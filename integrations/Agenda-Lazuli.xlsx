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dfd3f8901e45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enda" sheetId="1" r:id="Ra51f6052534147b0"/>
    <x:sheet xmlns:r="http://schemas.openxmlformats.org/officeDocument/2006/relationships" name="Horarios" sheetId="2" r:id="Rb4c5fd23f1314de2"/>
    <x:sheet xmlns:r="http://schemas.openxmlformats.org/officeDocument/2006/relationships" name="Solicitacoes" sheetId="3" r:id="R3b4c3261beb24b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/mm/yyyy"/>
    <x:numFmt numFmtId="201" formatCode="yyyy-mm-dd"/>
    <x:numFmt numFmtId="202" formatCode="hh:mm"/>
    <x:numFmt numFmtId="203" formatCode="0"/>
    <x:numFmt numFmtId="204" formatCode="dd/mm/yyyy hh:mm"/>
    <x:numFmt numFmtId="205" formatCode="@"/>
  </x:numFmts>
  <x:fonts count="7">
    <x:font>
      <x:sz val="11"/>
      <x:name val="Carlito"/>
    </x:font>
    <x:font>
      <x:sz val="11"/>
      <x:color rgb="FF252B41"/>
      <x:name val="Arial"/>
    </x:font>
    <x:font>
      <x:b/>
      <x:sz val="16"/>
      <x:color rgb="FF252B41"/>
      <x:name val="Arial"/>
    </x:font>
    <x:font>
      <x:i/>
      <x:sz val="11"/>
      <x:color rgb="FF676C7A"/>
      <x:name val="Arial"/>
    </x:font>
    <x:font>
      <x:b/>
      <x:sz val="11"/>
      <x:color rgb="FF97694B"/>
      <x:name val="Arial"/>
    </x:font>
    <x:font>
      <x:sz val="11"/>
      <x:color rgb="FF676C7A"/>
      <x:name val="Arial"/>
    </x:font>
    <x:font>
      <x:b/>
      <x:sz val="11"/>
      <x:color rgb="FF252B4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0CE"/>
      </x:patternFill>
    </x:fill>
    <x:fill>
      <x:patternFill patternType="solid">
        <x:fgColor rgb="FFFFF9EC"/>
      </x:patternFill>
    </x:fill>
    <x:fill>
      <x:patternFill patternType="solid">
        <x:fgColor rgb="FFECEEF2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7D4CE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202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center" vertical="center"/>
    </x:xf>
    <x:xf numFmtId="202" fontId="1" fillId="0" borderId="1" xfId="0" applyNumberFormat="1" applyFont="1" applyFill="1" applyBorder="1" applyAlignment="1">
      <x:alignment horizontal="center" vertical="center"/>
    </x:xf>
    <x:xf numFmtId="202" fontId="1" fillId="3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6">
    <x:dxf>
      <x:font>
        <x:b/>
        <x:color rgb="FFA12F26"/>
      </x:font>
      <x:fill>
        <x:patternFill>
          <x:bgColor rgb="FFFBE2DF"/>
        </x:patternFill>
      </x:fill>
    </x:dxf>
    <x:dxf>
      <x:font>
        <x:b/>
        <x:color rgb="FFA12F26"/>
      </x:font>
      <x:fill>
        <x:patternFill>
          <x:bgColor rgb="FFFBE2DF"/>
        </x:patternFill>
      </x:fill>
    </x:dxf>
    <x:dxf>
      <x:font>
        <x:color rgb="FF7B531D"/>
      </x:font>
      <x:fill>
        <x:patternFill>
          <x:bgColor rgb="FFFFF0CE"/>
        </x:patternFill>
      </x:fill>
    </x:dxf>
    <x:dxf>
      <x:font>
        <x:color rgb="FF252B41"/>
      </x:font>
      <x:fill>
        <x:patternFill>
          <x:bgColor rgb="FFEBEEF4"/>
        </x:patternFill>
      </x:fill>
    </x:dxf>
    <x:dxf>
      <x:font>
        <x:color rgb="FF7B531D"/>
      </x:font>
      <x:fill>
        <x:patternFill>
          <x:bgColor rgb="FFFFF0CE"/>
        </x:patternFill>
      </x:fill>
    </x:dxf>
    <x:dxf>
      <x:font>
        <x:color rgb="FF252B41"/>
      </x:font>
      <x:fill>
        <x:patternFill>
          <x:bgColor rgb="FFEBEE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736f95bce54a8d" /><Relationship Type="http://schemas.openxmlformats.org/officeDocument/2006/relationships/theme" Target="/xl/theme/theme1.xml" Id="R45fbad2d98e54f03" /><Relationship Type="http://schemas.openxmlformats.org/officeDocument/2006/relationships/sharedStrings" Target="/xl/sharedStrings.xml" Id="R3b627535bea145c6" /><Relationship Type="http://schemas.openxmlformats.org/officeDocument/2006/relationships/worksheet" Target="/xl/worksheets/sheet1.xml" Id="Ra51f6052534147b0" /><Relationship Type="http://schemas.openxmlformats.org/officeDocument/2006/relationships/worksheet" Target="/xl/worksheets/sheet2.xml" Id="Rb4c5fd23f1314de2" /><Relationship Type="http://schemas.openxmlformats.org/officeDocument/2006/relationships/worksheet" Target="/xl/worksheets/sheet3.xml" Id="R3b4c3261beb24be4" /></Relationships>
</file>

<file path=xl/tables/table1.xml><?xml version="1.0" encoding="utf-8"?>
<x:table xmlns:x="http://schemas.openxmlformats.org/spreadsheetml/2006/main" id="1" name="EscalaLazuli" displayName="EscalaLazuli" ref="A1:N441" headerRowCount="1" totalsRowCount="0" totalsRowShown="0">
  <x:tableColumns count="14">
    <x:tableColumn id="1" name="profissional"/>
    <x:tableColumn id="2" name="data"/>
    <x:tableColumn id="3" name="horario"/>
    <x:tableColumn id="4" name="modalidade"/>
    <x:tableColumn id="5" name="ativo"/>
    <x:tableColumn id="6" name="sala"/>
    <x:tableColumn id="7" name="duracao_min"/>
    <x:tableColumn id="8" name="intervalo_min"/>
    <x:tableColumn id="9" name="fim_sessao"/>
    <x:tableColumn id="10" name="fim_reserva"/>
    <x:tableColumn id="11" name="conflito_sala"/>
    <x:tableColumn id="12" name="conflito_prof"/>
    <x:tableColumn id="13" name="situacao"/>
    <x:tableColumn id="14" name="indic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SolicitacoesLazuli" displayName="SolicitacoesLazuli" ref="A1:P501" headerRowCount="1" totalsRowCount="0" totalsRowShown="0">
  <x:tableColumns count="16">
    <x:tableColumn id="1" name="id"/>
    <x:tableColumn id="2" name="criado_em"/>
    <x:tableColumn id="3" name="nome"/>
    <x:tableColumn id="4" name="whatsapp"/>
    <x:tableColumn id="5" name="profissional"/>
    <x:tableColumn id="6" name="data"/>
    <x:tableColumn id="7" name="horario"/>
    <x:tableColumn id="8" name="modalidade"/>
    <x:tableColumn id="9" name="status"/>
    <x:tableColumn id="10" name="consentimento"/>
    <x:tableColumn id="11" name="sala"/>
    <x:tableColumn id="12" name="duracao_min"/>
    <x:tableColumn id="13" name="intervalo_min"/>
    <x:tableColumn id="14" name="fim_reserva"/>
    <x:tableColumn id="15" name="conflito_sala"/>
    <x:tableColumn id="16" name="conflito_prof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3a737e01f240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4122963e854b75" /></Relationships>
</file>

<file path=xl/worksheets/sheet1.xml><?xml version="1.0" encoding="utf-8"?>
<x:worksheet xmlns:x="http://schemas.openxmlformats.org/spreadsheetml/2006/main">
  <x:sheetPr>
    <x:tabColor rgb="FF252B41"/>
  </x:sheetPr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3" hidden="0" customWidth="1"/>
    <x:col min="5" max="5" width="23" hidden="0" customWidth="1"/>
    <x:col min="4" max="4" width="22" hidden="0" customWidth="1"/>
    <x:col min="6" max="6" width="22" hidden="0" customWidth="1"/>
    <x:col min="7" max="7" width="3" hidden="0" customWidth="1"/>
    <x:col min="8" max="8" width="27" hidden="0" customWidth="1"/>
    <x:col min="9" max="9" width="18" hidden="0" customWidth="1"/>
    <x:col min="10" max="10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Lazuli — agenda das salas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4" t="str">
        <x:v>Escala inicial editável de 05 a 30 de outubro de 2026.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 t="str">
        <x:v>Dia consultado</x:v>
      </x:c>
      <x:c r="B4" s="6" t="d">
        <x:v>2026-10-05T00:00:00.000Z</x:v>
      </x:c>
      <x:c r="C4" s="2"/>
      <x:c r="D4" s="2"/>
      <x:c r="E4" s="2"/>
      <x:c r="F4" s="2"/>
      <x:c r="G4" s="2"/>
      <x:c r="H4" s="8" t="str">
        <x:v>Para disponibilizar no site</x:v>
      </x:c>
      <x:c r="I4" s="2"/>
      <x:c r="J4" s="2"/>
    </x:row>
    <x:row r="5" ht="24" customHeight="1">
      <x:c r="A5" s="2" t="str">
        <x:v>Sessão (min)</x:v>
      </x:c>
      <x:c r="B5" s="7" t="n">
        <x:v>50</x:v>
      </x:c>
      <x:c r="C5" s="2"/>
      <x:c r="D5" s="2"/>
      <x:c r="E5" s="2"/>
      <x:c r="F5" s="2"/>
      <x:c r="G5" s="2"/>
      <x:c r="H5" s="9" t="str">
        <x:v>Revise a profissional e a sala em Horarios.</x:v>
      </x:c>
      <x:c r="I5" s="2"/>
      <x:c r="J5" s="2"/>
    </x:row>
    <x:row r="6" ht="24" customHeight="1">
      <x:c r="A6" s="2" t="str">
        <x:v>Intervalo (min)</x:v>
      </x:c>
      <x:c r="B6" s="7" t="n">
        <x:v>10</x:v>
      </x:c>
      <x:c r="C6" s="2"/>
      <x:c r="D6" s="2"/>
      <x:c r="E6" s="2"/>
      <x:c r="F6" s="2"/>
      <x:c r="G6" s="2"/>
      <x:c r="H6" s="9" t="str">
        <x:v>Troque ativo de “não” para “sim” após revisar.</x:v>
      </x:c>
      <x:c r="I6" s="2"/>
      <x:c r="J6" s="2"/>
    </x:row>
    <x:row r="7" ht="24" customHeight="1">
      <x:c r="A7" s="2" t="str">
        <x:v>Funcionamento</x:v>
      </x:c>
      <x:c r="B7" s="2" t="str">
        <x:v>Seg–sex, 09h–20h</x:v>
      </x:c>
      <x:c r="C7" s="2"/>
      <x:c r="D7" s="2"/>
      <x:c r="E7" s="2"/>
      <x:c r="F7" s="2"/>
      <x:c r="G7" s="2"/>
      <x:c r="H7" s="9" t="str">
        <x:v>Solicitações recebidas ficam pendentes.</x:v>
      </x:c>
      <x:c r="I7" s="2"/>
      <x:c r="J7" s="2"/>
    </x:row>
    <x:row r="8" ht="24" customHeight="1">
      <x:c r="A8" s="2" t="str">
        <x:v>Salas físicas</x:v>
      </x:c>
      <x:c r="B8" s="2" t="n">
        <x:v>2</x:v>
      </x:c>
      <x:c r="C8" s="2"/>
      <x:c r="D8" s="2"/>
      <x:c r="E8" s="2"/>
      <x:c r="F8" s="2"/>
      <x:c r="G8" s="2"/>
      <x:c r="H8" s="9" t="str">
        <x:v>Status cancelado libera o horário.</x:v>
      </x:c>
      <x:c r="I8" s="2"/>
      <x:c r="J8" s="2"/>
    </x:row>
    <x:row r="9" ht="24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</x:row>
    <x:row r="10" ht="40" customHeight="1">
      <x:c r="A10" s="21" t="str">
        <x:v>Início</x:v>
      </x:c>
      <x:c r="B10" s="21" t="str">
        <x:v>Fim da sessão</x:v>
      </x:c>
      <x:c r="C10" s="21" t="str">
        <x:v>Sala 1</x:v>
      </x:c>
      <x:c r="D10" s="21" t="str">
        <x:v>Situação</x:v>
      </x:c>
      <x:c r="E10" s="21" t="str">
        <x:v>Sala 2</x:v>
      </x:c>
      <x:c r="F10" s="21" t="str">
        <x:v>Situação</x:v>
      </x:c>
      <x:c r="G10" s="2"/>
      <x:c r="H10" s="21" t="str">
        <x:v>Profissional</x:v>
      </x:c>
      <x:c r="I10" s="21" t="str">
        <x:v>Escala inicial</x:v>
      </x:c>
      <x:c r="J10" s="21" t="str">
        <x:v>Ativos no site</x:v>
      </x:c>
    </x:row>
    <x:row r="11" ht="31" customHeight="1">
      <x:c r="A11" s="24" t="n">
        <x:v>0.375</x:v>
      </x:c>
      <x:c r="B11" s="24" t="n">
        <x:f>A11+$B$5/1440</x:f>
        <x:v>0.4097222222222222</x:v>
      </x:c>
      <x:c r="C11" s="2" t="str">
        <x:f>IF(COUNTIFS('Horarios'!$B$2:$B$501,$B$4,'Horarios'!$C$2:$C$501,$A11,'Horarios'!$F$2:$F$501,"Sala 1")=0,"Sem escala",IF(COUNTIFS('Horarios'!$B$2:$B$501,$B$4,'Horarios'!$C$2:$C$501,$A11,'Horarios'!$F$2:$F$501,"Sala 1")&gt;1,"Escala duplicada",INDEX('Horarios'!$A$2:$A$501,SUMIFS('Horarios'!$N$2:$N$501,'Horarios'!$B$2:$B$501,$B$4,'Horarios'!$C$2:$C$501,$A11,'Horarios'!$F$2:$F$501,"Sala 1"))))</x:f>
        <x:v>Aline Reis</x:v>
      </x:c>
      <x:c r="D11" s="2" t="str">
        <x:f>IF(COUNTIFS('Horarios'!$B$2:$B$501,$B$4,'Horarios'!$C$2:$C$501,$A11,'Horarios'!$F$2:$F$501,"Sala 1")=0,"",IF(COUNTIFS('Horarios'!$B$2:$B$501,$B$4,'Horarios'!$C$2:$C$501,$A11,'Horarios'!$F$2:$F$501,"Sala 1")&gt;1,"Revisar",INDEX('Horarios'!$M$2:$M$501,SUMIFS('Horarios'!$N$2:$N$501,'Horarios'!$B$2:$B$501,$B$4,'Horarios'!$C$2:$C$501,$A11,'Horarios'!$F$2:$F$501,"Sala 1"))))</x:f>
        <x:v>Revisar escala</x:v>
      </x:c>
      <x:c r="E11" s="2" t="str">
        <x:f>IF(COUNTIFS('Horarios'!$B$2:$B$501,$B$4,'Horarios'!$C$2:$C$501,$A11,'Horarios'!$F$2:$F$501,"Sala 2")=0,"Sem escala",IF(COUNTIFS('Horarios'!$B$2:$B$501,$B$4,'Horarios'!$C$2:$C$501,$A11,'Horarios'!$F$2:$F$501,"Sala 2")&gt;1,"Escala duplicada",INDEX('Horarios'!$A$2:$A$501,SUMIFS('Horarios'!$N$2:$N$501,'Horarios'!$B$2:$B$501,$B$4,'Horarios'!$C$2:$C$501,$A11,'Horarios'!$F$2:$F$501,"Sala 2"))))</x:f>
        <x:v>Géssyca Martins</x:v>
      </x:c>
      <x:c r="F11" s="2" t="str">
        <x:f>IF(COUNTIFS('Horarios'!$B$2:$B$501,$B$4,'Horarios'!$C$2:$C$501,$A11,'Horarios'!$F$2:$F$501,"Sala 2")=0,"",IF(COUNTIFS('Horarios'!$B$2:$B$501,$B$4,'Horarios'!$C$2:$C$501,$A11,'Horarios'!$F$2:$F$501,"Sala 2")&gt;1,"Revisar",INDEX('Horarios'!$M$2:$M$501,SUMIFS('Horarios'!$N$2:$N$501,'Horarios'!$B$2:$B$501,$B$4,'Horarios'!$C$2:$C$501,$A11,'Horarios'!$F$2:$F$501,"Sala 2"))))</x:f>
        <x:v>Revisar escala</x:v>
      </x:c>
      <x:c r="G11" s="2"/>
      <x:c r="H11" s="2" t="str">
        <x:v>Aline Reis</x:v>
      </x:c>
      <x:c r="I11" s="2" t="n">
        <x:f>COUNTIFS('Horarios'!$A$2:$A$501,H11)</x:f>
        <x:v>149</x:v>
      </x:c>
      <x:c r="J11" s="2" t="n">
        <x:f>COUNTIFS('Horarios'!$A$2:$A$501,H11,'Horarios'!$E$2:$E$501,"sim")</x:f>
        <x:v>0</x:v>
      </x:c>
    </x:row>
    <x:row r="12" ht="31" customHeight="1">
      <x:c r="A12" s="24" t="n">
        <x:v>0.4166666666666667</x:v>
      </x:c>
      <x:c r="B12" s="24" t="n">
        <x:f>A12+$B$5/1440</x:f>
        <x:v>0.4513888888888889</x:v>
      </x:c>
      <x:c r="C12" s="2" t="str">
        <x:f>IF(COUNTIFS('Horarios'!$B$2:$B$501,$B$4,'Horarios'!$C$2:$C$501,$A12,'Horarios'!$F$2:$F$501,"Sala 1")=0,"Sem escala",IF(COUNTIFS('Horarios'!$B$2:$B$501,$B$4,'Horarios'!$C$2:$C$501,$A12,'Horarios'!$F$2:$F$501,"Sala 1")&gt;1,"Escala duplicada",INDEX('Horarios'!$A$2:$A$501,SUMIFS('Horarios'!$N$2:$N$501,'Horarios'!$B$2:$B$501,$B$4,'Horarios'!$C$2:$C$501,$A12,'Horarios'!$F$2:$F$501,"Sala 1"))))</x:f>
        <x:v>Aline Reis</x:v>
      </x:c>
      <x:c r="D12" s="2" t="str">
        <x:f>IF(COUNTIFS('Horarios'!$B$2:$B$501,$B$4,'Horarios'!$C$2:$C$501,$A12,'Horarios'!$F$2:$F$501,"Sala 1")=0,"",IF(COUNTIFS('Horarios'!$B$2:$B$501,$B$4,'Horarios'!$C$2:$C$501,$A12,'Horarios'!$F$2:$F$501,"Sala 1")&gt;1,"Revisar",INDEX('Horarios'!$M$2:$M$501,SUMIFS('Horarios'!$N$2:$N$501,'Horarios'!$B$2:$B$501,$B$4,'Horarios'!$C$2:$C$501,$A12,'Horarios'!$F$2:$F$501,"Sala 1"))))</x:f>
        <x:v>Revisar escala</x:v>
      </x:c>
      <x:c r="E12" s="2" t="str">
        <x:f>IF(COUNTIFS('Horarios'!$B$2:$B$501,$B$4,'Horarios'!$C$2:$C$501,$A12,'Horarios'!$F$2:$F$501,"Sala 2")=0,"Sem escala",IF(COUNTIFS('Horarios'!$B$2:$B$501,$B$4,'Horarios'!$C$2:$C$501,$A12,'Horarios'!$F$2:$F$501,"Sala 2")&gt;1,"Escala duplicada",INDEX('Horarios'!$A$2:$A$501,SUMIFS('Horarios'!$N$2:$N$501,'Horarios'!$B$2:$B$501,$B$4,'Horarios'!$C$2:$C$501,$A12,'Horarios'!$F$2:$F$501,"Sala 2"))))</x:f>
        <x:v>Géssyca Martins</x:v>
      </x:c>
      <x:c r="F12" s="2" t="str">
        <x:f>IF(COUNTIFS('Horarios'!$B$2:$B$501,$B$4,'Horarios'!$C$2:$C$501,$A12,'Horarios'!$F$2:$F$501,"Sala 2")=0,"",IF(COUNTIFS('Horarios'!$B$2:$B$501,$B$4,'Horarios'!$C$2:$C$501,$A12,'Horarios'!$F$2:$F$501,"Sala 2")&gt;1,"Revisar",INDEX('Horarios'!$M$2:$M$501,SUMIFS('Horarios'!$N$2:$N$501,'Horarios'!$B$2:$B$501,$B$4,'Horarios'!$C$2:$C$501,$A12,'Horarios'!$F$2:$F$501,"Sala 2"))))</x:f>
        <x:v>Revisar escala</x:v>
      </x:c>
      <x:c r="G12" s="2"/>
      <x:c r="H12" s="2" t="str">
        <x:v>Géssyca Martins</x:v>
      </x:c>
      <x:c r="I12" s="2" t="n">
        <x:f>COUNTIFS('Horarios'!$A$2:$A$501,H12)</x:f>
        <x:v>148</x:v>
      </x:c>
      <x:c r="J12" s="2" t="n">
        <x:f>COUNTIFS('Horarios'!$A$2:$A$501,H12,'Horarios'!$E$2:$E$501,"sim")</x:f>
        <x:v>0</x:v>
      </x:c>
    </x:row>
    <x:row r="13" ht="31" customHeight="1">
      <x:c r="A13" s="24" t="n">
        <x:v>0.4583333333333333</x:v>
      </x:c>
      <x:c r="B13" s="24" t="n">
        <x:f>A13+$B$5/1440</x:f>
        <x:v>0.4930555555555555</x:v>
      </x:c>
      <x:c r="C13" s="2" t="str">
        <x:f>IF(COUNTIFS('Horarios'!$B$2:$B$501,$B$4,'Horarios'!$C$2:$C$501,$A13,'Horarios'!$F$2:$F$501,"Sala 1")=0,"Sem escala",IF(COUNTIFS('Horarios'!$B$2:$B$501,$B$4,'Horarios'!$C$2:$C$501,$A13,'Horarios'!$F$2:$F$501,"Sala 1")&gt;1,"Escala duplicada",INDEX('Horarios'!$A$2:$A$501,SUMIFS('Horarios'!$N$2:$N$501,'Horarios'!$B$2:$B$501,$B$4,'Horarios'!$C$2:$C$501,$A13,'Horarios'!$F$2:$F$501,"Sala 1"))))</x:f>
        <x:v>Aline Reis</x:v>
      </x:c>
      <x:c r="D13" s="2" t="str">
        <x:f>IF(COUNTIFS('Horarios'!$B$2:$B$501,$B$4,'Horarios'!$C$2:$C$501,$A13,'Horarios'!$F$2:$F$501,"Sala 1")=0,"",IF(COUNTIFS('Horarios'!$B$2:$B$501,$B$4,'Horarios'!$C$2:$C$501,$A13,'Horarios'!$F$2:$F$501,"Sala 1")&gt;1,"Revisar",INDEX('Horarios'!$M$2:$M$501,SUMIFS('Horarios'!$N$2:$N$501,'Horarios'!$B$2:$B$501,$B$4,'Horarios'!$C$2:$C$501,$A13,'Horarios'!$F$2:$F$501,"Sala 1"))))</x:f>
        <x:v>Revisar escala</x:v>
      </x:c>
      <x:c r="E13" s="2" t="str">
        <x:f>IF(COUNTIFS('Horarios'!$B$2:$B$501,$B$4,'Horarios'!$C$2:$C$501,$A13,'Horarios'!$F$2:$F$501,"Sala 2")=0,"Sem escala",IF(COUNTIFS('Horarios'!$B$2:$B$501,$B$4,'Horarios'!$C$2:$C$501,$A13,'Horarios'!$F$2:$F$501,"Sala 2")&gt;1,"Escala duplicada",INDEX('Horarios'!$A$2:$A$501,SUMIFS('Horarios'!$N$2:$N$501,'Horarios'!$B$2:$B$501,$B$4,'Horarios'!$C$2:$C$501,$A13,'Horarios'!$F$2:$F$501,"Sala 2"))))</x:f>
        <x:v>Géssyca Martins</x:v>
      </x:c>
      <x:c r="F13" s="2" t="str">
        <x:f>IF(COUNTIFS('Horarios'!$B$2:$B$501,$B$4,'Horarios'!$C$2:$C$501,$A13,'Horarios'!$F$2:$F$501,"Sala 2")=0,"",IF(COUNTIFS('Horarios'!$B$2:$B$501,$B$4,'Horarios'!$C$2:$C$501,$A13,'Horarios'!$F$2:$F$501,"Sala 2")&gt;1,"Revisar",INDEX('Horarios'!$M$2:$M$501,SUMIFS('Horarios'!$N$2:$N$501,'Horarios'!$B$2:$B$501,$B$4,'Horarios'!$C$2:$C$501,$A13,'Horarios'!$F$2:$F$501,"Sala 2"))))</x:f>
        <x:v>Revisar escala</x:v>
      </x:c>
      <x:c r="G13" s="2"/>
      <x:c r="H13" s="2" t="str">
        <x:v>Laura Casanova</x:v>
      </x:c>
      <x:c r="I13" s="2" t="n">
        <x:f>COUNTIFS('Horarios'!$A$2:$A$501,H13)</x:f>
        <x:v>143</x:v>
      </x:c>
      <x:c r="J13" s="2" t="n">
        <x:f>COUNTIFS('Horarios'!$A$2:$A$501,H13,'Horarios'!$E$2:$E$501,"sim")</x:f>
        <x:v>0</x:v>
      </x:c>
    </x:row>
    <x:row r="14" ht="31" customHeight="1">
      <x:c r="A14" s="24" t="n">
        <x:v>0.5</x:v>
      </x:c>
      <x:c r="B14" s="24" t="n">
        <x:f>A14+$B$5/1440</x:f>
        <x:v>0.5347222222222222</x:v>
      </x:c>
      <x:c r="C14" s="2" t="str">
        <x:f>IF(COUNTIFS('Horarios'!$B$2:$B$501,$B$4,'Horarios'!$C$2:$C$501,$A14,'Horarios'!$F$2:$F$501,"Sala 1")=0,"Sem escala",IF(COUNTIFS('Horarios'!$B$2:$B$501,$B$4,'Horarios'!$C$2:$C$501,$A14,'Horarios'!$F$2:$F$501,"Sala 1")&gt;1,"Escala duplicada",INDEX('Horarios'!$A$2:$A$501,SUMIFS('Horarios'!$N$2:$N$501,'Horarios'!$B$2:$B$501,$B$4,'Horarios'!$C$2:$C$501,$A14,'Horarios'!$F$2:$F$501,"Sala 1"))))</x:f>
        <x:v>Aline Reis</x:v>
      </x:c>
      <x:c r="D14" s="2" t="str">
        <x:f>IF(COUNTIFS('Horarios'!$B$2:$B$501,$B$4,'Horarios'!$C$2:$C$501,$A14,'Horarios'!$F$2:$F$501,"Sala 1")=0,"",IF(COUNTIFS('Horarios'!$B$2:$B$501,$B$4,'Horarios'!$C$2:$C$501,$A14,'Horarios'!$F$2:$F$501,"Sala 1")&gt;1,"Revisar",INDEX('Horarios'!$M$2:$M$501,SUMIFS('Horarios'!$N$2:$N$501,'Horarios'!$B$2:$B$501,$B$4,'Horarios'!$C$2:$C$501,$A14,'Horarios'!$F$2:$F$501,"Sala 1"))))</x:f>
        <x:v>Revisar escala</x:v>
      </x:c>
      <x:c r="E14" s="2" t="str">
        <x:f>IF(COUNTIFS('Horarios'!$B$2:$B$501,$B$4,'Horarios'!$C$2:$C$501,$A14,'Horarios'!$F$2:$F$501,"Sala 2")=0,"Sem escala",IF(COUNTIFS('Horarios'!$B$2:$B$501,$B$4,'Horarios'!$C$2:$C$501,$A14,'Horarios'!$F$2:$F$501,"Sala 2")&gt;1,"Escala duplicada",INDEX('Horarios'!$A$2:$A$501,SUMIFS('Horarios'!$N$2:$N$501,'Horarios'!$B$2:$B$501,$B$4,'Horarios'!$C$2:$C$501,$A14,'Horarios'!$F$2:$F$501,"Sala 2"))))</x:f>
        <x:v>Géssyca Martins</x:v>
      </x:c>
      <x:c r="F14" s="2" t="str">
        <x:f>IF(COUNTIFS('Horarios'!$B$2:$B$501,$B$4,'Horarios'!$C$2:$C$501,$A14,'Horarios'!$F$2:$F$501,"Sala 2")=0,"",IF(COUNTIFS('Horarios'!$B$2:$B$501,$B$4,'Horarios'!$C$2:$C$501,$A14,'Horarios'!$F$2:$F$501,"Sala 2")&gt;1,"Revisar",INDEX('Horarios'!$M$2:$M$501,SUMIFS('Horarios'!$N$2:$N$501,'Horarios'!$B$2:$B$501,$B$4,'Horarios'!$C$2:$C$501,$A14,'Horarios'!$F$2:$F$501,"Sala 2"))))</x:f>
        <x:v>Revisar escala</x:v>
      </x:c>
      <x:c r="G14" s="2"/>
      <x:c r="H14" s="2"/>
      <x:c r="I14" s="2"/>
      <x:c r="J14" s="2"/>
    </x:row>
    <x:row r="15" ht="31" customHeight="1">
      <x:c r="A15" s="24" t="n">
        <x:v>0.5416666666666666</x:v>
      </x:c>
      <x:c r="B15" s="24" t="n">
        <x:f>A15+$B$5/1440</x:f>
        <x:v>0.5763888888888888</x:v>
      </x:c>
      <x:c r="C15" s="2" t="str">
        <x:f>IF(COUNTIFS('Horarios'!$B$2:$B$501,$B$4,'Horarios'!$C$2:$C$501,$A15,'Horarios'!$F$2:$F$501,"Sala 1")=0,"Sem escala",IF(COUNTIFS('Horarios'!$B$2:$B$501,$B$4,'Horarios'!$C$2:$C$501,$A15,'Horarios'!$F$2:$F$501,"Sala 1")&gt;1,"Escala duplicada",INDEX('Horarios'!$A$2:$A$501,SUMIFS('Horarios'!$N$2:$N$501,'Horarios'!$B$2:$B$501,$B$4,'Horarios'!$C$2:$C$501,$A15,'Horarios'!$F$2:$F$501,"Sala 1"))))</x:f>
        <x:v>Aline Reis</x:v>
      </x:c>
      <x:c r="D15" s="2" t="str">
        <x:f>IF(COUNTIFS('Horarios'!$B$2:$B$501,$B$4,'Horarios'!$C$2:$C$501,$A15,'Horarios'!$F$2:$F$501,"Sala 1")=0,"",IF(COUNTIFS('Horarios'!$B$2:$B$501,$B$4,'Horarios'!$C$2:$C$501,$A15,'Horarios'!$F$2:$F$501,"Sala 1")&gt;1,"Revisar",INDEX('Horarios'!$M$2:$M$501,SUMIFS('Horarios'!$N$2:$N$501,'Horarios'!$B$2:$B$501,$B$4,'Horarios'!$C$2:$C$501,$A15,'Horarios'!$F$2:$F$501,"Sala 1"))))</x:f>
        <x:v>Revisar escala</x:v>
      </x:c>
      <x:c r="E15" s="2" t="str">
        <x:f>IF(COUNTIFS('Horarios'!$B$2:$B$501,$B$4,'Horarios'!$C$2:$C$501,$A15,'Horarios'!$F$2:$F$501,"Sala 2")=0,"Sem escala",IF(COUNTIFS('Horarios'!$B$2:$B$501,$B$4,'Horarios'!$C$2:$C$501,$A15,'Horarios'!$F$2:$F$501,"Sala 2")&gt;1,"Escala duplicada",INDEX('Horarios'!$A$2:$A$501,SUMIFS('Horarios'!$N$2:$N$501,'Horarios'!$B$2:$B$501,$B$4,'Horarios'!$C$2:$C$501,$A15,'Horarios'!$F$2:$F$501,"Sala 2"))))</x:f>
        <x:v>Géssyca Martins</x:v>
      </x:c>
      <x:c r="F15" s="2" t="str">
        <x:f>IF(COUNTIFS('Horarios'!$B$2:$B$501,$B$4,'Horarios'!$C$2:$C$501,$A15,'Horarios'!$F$2:$F$501,"Sala 2")=0,"",IF(COUNTIFS('Horarios'!$B$2:$B$501,$B$4,'Horarios'!$C$2:$C$501,$A15,'Horarios'!$F$2:$F$501,"Sala 2")&gt;1,"Revisar",INDEX('Horarios'!$M$2:$M$501,SUMIFS('Horarios'!$N$2:$N$501,'Horarios'!$B$2:$B$501,$B$4,'Horarios'!$C$2:$C$501,$A15,'Horarios'!$F$2:$F$501,"Sala 2"))))</x:f>
        <x:v>Revisar escala</x:v>
      </x:c>
      <x:c r="G15" s="2"/>
      <x:c r="H15" s="2"/>
      <x:c r="I15" s="2"/>
      <x:c r="J15" s="2"/>
    </x:row>
    <x:row r="16" ht="31" customHeight="1">
      <x:c r="A16" s="24" t="n">
        <x:v>0.5833333333333334</x:v>
      </x:c>
      <x:c r="B16" s="24" t="n">
        <x:f>A16+$B$5/1440</x:f>
        <x:v>0.6180555555555556</x:v>
      </x:c>
      <x:c r="C16" s="2" t="str">
        <x:f>IF(COUNTIFS('Horarios'!$B$2:$B$501,$B$4,'Horarios'!$C$2:$C$501,$A16,'Horarios'!$F$2:$F$501,"Sala 1")=0,"Sem escala",IF(COUNTIFS('Horarios'!$B$2:$B$501,$B$4,'Horarios'!$C$2:$C$501,$A16,'Horarios'!$F$2:$F$501,"Sala 1")&gt;1,"Escala duplicada",INDEX('Horarios'!$A$2:$A$501,SUMIFS('Horarios'!$N$2:$N$501,'Horarios'!$B$2:$B$501,$B$4,'Horarios'!$C$2:$C$501,$A16,'Horarios'!$F$2:$F$501,"Sala 1"))))</x:f>
        <x:v>Laura Casanova</x:v>
      </x:c>
      <x:c r="D16" s="2" t="str">
        <x:f>IF(COUNTIFS('Horarios'!$B$2:$B$501,$B$4,'Horarios'!$C$2:$C$501,$A16,'Horarios'!$F$2:$F$501,"Sala 1")=0,"",IF(COUNTIFS('Horarios'!$B$2:$B$501,$B$4,'Horarios'!$C$2:$C$501,$A16,'Horarios'!$F$2:$F$501,"Sala 1")&gt;1,"Revisar",INDEX('Horarios'!$M$2:$M$501,SUMIFS('Horarios'!$N$2:$N$501,'Horarios'!$B$2:$B$501,$B$4,'Horarios'!$C$2:$C$501,$A16,'Horarios'!$F$2:$F$501,"Sala 1"))))</x:f>
        <x:v>Revisar escala</x:v>
      </x:c>
      <x:c r="E16" s="2" t="str">
        <x:f>IF(COUNTIFS('Horarios'!$B$2:$B$501,$B$4,'Horarios'!$C$2:$C$501,$A16,'Horarios'!$F$2:$F$501,"Sala 2")=0,"Sem escala",IF(COUNTIFS('Horarios'!$B$2:$B$501,$B$4,'Horarios'!$C$2:$C$501,$A16,'Horarios'!$F$2:$F$501,"Sala 2")&gt;1,"Escala duplicada",INDEX('Horarios'!$A$2:$A$501,SUMIFS('Horarios'!$N$2:$N$501,'Horarios'!$B$2:$B$501,$B$4,'Horarios'!$C$2:$C$501,$A16,'Horarios'!$F$2:$F$501,"Sala 2"))))</x:f>
        <x:v>Aline Reis</x:v>
      </x:c>
      <x:c r="F16" s="2" t="str">
        <x:f>IF(COUNTIFS('Horarios'!$B$2:$B$501,$B$4,'Horarios'!$C$2:$C$501,$A16,'Horarios'!$F$2:$F$501,"Sala 2")=0,"",IF(COUNTIFS('Horarios'!$B$2:$B$501,$B$4,'Horarios'!$C$2:$C$501,$A16,'Horarios'!$F$2:$F$501,"Sala 2")&gt;1,"Revisar",INDEX('Horarios'!$M$2:$M$501,SUMIFS('Horarios'!$N$2:$N$501,'Horarios'!$B$2:$B$501,$B$4,'Horarios'!$C$2:$C$501,$A16,'Horarios'!$F$2:$F$501,"Sala 2"))))</x:f>
        <x:v>Revisar escala</x:v>
      </x:c>
      <x:c r="G16" s="2"/>
      <x:c r="H16" s="9" t="str">
        <x:v>Última sessão às 19h; sala livre às 20h.</x:v>
      </x:c>
      <x:c r="I16" s="2"/>
      <x:c r="J16" s="2"/>
    </x:row>
    <x:row r="17" ht="31" customHeight="1">
      <x:c r="A17" s="24" t="n">
        <x:v>0.625</x:v>
      </x:c>
      <x:c r="B17" s="24" t="n">
        <x:f>A17+$B$5/1440</x:f>
        <x:v>0.6597222222222222</x:v>
      </x:c>
      <x:c r="C17" s="2" t="str">
        <x:f>IF(COUNTIFS('Horarios'!$B$2:$B$501,$B$4,'Horarios'!$C$2:$C$501,$A17,'Horarios'!$F$2:$F$501,"Sala 1")=0,"Sem escala",IF(COUNTIFS('Horarios'!$B$2:$B$501,$B$4,'Horarios'!$C$2:$C$501,$A17,'Horarios'!$F$2:$F$501,"Sala 1")&gt;1,"Escala duplicada",INDEX('Horarios'!$A$2:$A$501,SUMIFS('Horarios'!$N$2:$N$501,'Horarios'!$B$2:$B$501,$B$4,'Horarios'!$C$2:$C$501,$A17,'Horarios'!$F$2:$F$501,"Sala 1"))))</x:f>
        <x:v>Laura Casanova</x:v>
      </x:c>
      <x:c r="D17" s="2" t="str">
        <x:f>IF(COUNTIFS('Horarios'!$B$2:$B$501,$B$4,'Horarios'!$C$2:$C$501,$A17,'Horarios'!$F$2:$F$501,"Sala 1")=0,"",IF(COUNTIFS('Horarios'!$B$2:$B$501,$B$4,'Horarios'!$C$2:$C$501,$A17,'Horarios'!$F$2:$F$501,"Sala 1")&gt;1,"Revisar",INDEX('Horarios'!$M$2:$M$501,SUMIFS('Horarios'!$N$2:$N$501,'Horarios'!$B$2:$B$501,$B$4,'Horarios'!$C$2:$C$501,$A17,'Horarios'!$F$2:$F$501,"Sala 1"))))</x:f>
        <x:v>Revisar escala</x:v>
      </x:c>
      <x:c r="E17" s="2" t="str">
        <x:f>IF(COUNTIFS('Horarios'!$B$2:$B$501,$B$4,'Horarios'!$C$2:$C$501,$A17,'Horarios'!$F$2:$F$501,"Sala 2")=0,"Sem escala",IF(COUNTIFS('Horarios'!$B$2:$B$501,$B$4,'Horarios'!$C$2:$C$501,$A17,'Horarios'!$F$2:$F$501,"Sala 2")&gt;1,"Escala duplicada",INDEX('Horarios'!$A$2:$A$501,SUMIFS('Horarios'!$N$2:$N$501,'Horarios'!$B$2:$B$501,$B$4,'Horarios'!$C$2:$C$501,$A17,'Horarios'!$F$2:$F$501,"Sala 2"))))</x:f>
        <x:v>Aline Reis</x:v>
      </x:c>
      <x:c r="F17" s="2" t="str">
        <x:f>IF(COUNTIFS('Horarios'!$B$2:$B$501,$B$4,'Horarios'!$C$2:$C$501,$A17,'Horarios'!$F$2:$F$501,"Sala 2")=0,"",IF(COUNTIFS('Horarios'!$B$2:$B$501,$B$4,'Horarios'!$C$2:$C$501,$A17,'Horarios'!$F$2:$F$501,"Sala 2")&gt;1,"Revisar",INDEX('Horarios'!$M$2:$M$501,SUMIFS('Horarios'!$N$2:$N$501,'Horarios'!$B$2:$B$501,$B$4,'Horarios'!$C$2:$C$501,$A17,'Horarios'!$F$2:$F$501,"Sala 2"))))</x:f>
        <x:v>Revisar escala</x:v>
      </x:c>
      <x:c r="G17" s="2"/>
      <x:c r="H17" s="9" t="str">
        <x:v>A escala alterna as profissionais entre as salas.</x:v>
      </x:c>
      <x:c r="I17" s="2"/>
      <x:c r="J17" s="2"/>
    </x:row>
    <x:row r="18" ht="31" customHeight="1">
      <x:c r="A18" s="24" t="n">
        <x:v>0.6666666666666666</x:v>
      </x:c>
      <x:c r="B18" s="24" t="n">
        <x:f>A18+$B$5/1440</x:f>
        <x:v>0.7013888888888888</x:v>
      </x:c>
      <x:c r="C18" s="2" t="str">
        <x:f>IF(COUNTIFS('Horarios'!$B$2:$B$501,$B$4,'Horarios'!$C$2:$C$501,$A18,'Horarios'!$F$2:$F$501,"Sala 1")=0,"Sem escala",IF(COUNTIFS('Horarios'!$B$2:$B$501,$B$4,'Horarios'!$C$2:$C$501,$A18,'Horarios'!$F$2:$F$501,"Sala 1")&gt;1,"Escala duplicada",INDEX('Horarios'!$A$2:$A$501,SUMIFS('Horarios'!$N$2:$N$501,'Horarios'!$B$2:$B$501,$B$4,'Horarios'!$C$2:$C$501,$A18,'Horarios'!$F$2:$F$501,"Sala 1"))))</x:f>
        <x:v>Laura Casanova</x:v>
      </x:c>
      <x:c r="D18" s="2" t="str">
        <x:f>IF(COUNTIFS('Horarios'!$B$2:$B$501,$B$4,'Horarios'!$C$2:$C$501,$A18,'Horarios'!$F$2:$F$501,"Sala 1")=0,"",IF(COUNTIFS('Horarios'!$B$2:$B$501,$B$4,'Horarios'!$C$2:$C$501,$A18,'Horarios'!$F$2:$F$501,"Sala 1")&gt;1,"Revisar",INDEX('Horarios'!$M$2:$M$501,SUMIFS('Horarios'!$N$2:$N$501,'Horarios'!$B$2:$B$501,$B$4,'Horarios'!$C$2:$C$501,$A18,'Horarios'!$F$2:$F$501,"Sala 1"))))</x:f>
        <x:v>Revisar escala</x:v>
      </x:c>
      <x:c r="E18" s="2" t="str">
        <x:f>IF(COUNTIFS('Horarios'!$B$2:$B$501,$B$4,'Horarios'!$C$2:$C$501,$A18,'Horarios'!$F$2:$F$501,"Sala 2")=0,"Sem escala",IF(COUNTIFS('Horarios'!$B$2:$B$501,$B$4,'Horarios'!$C$2:$C$501,$A18,'Horarios'!$F$2:$F$501,"Sala 2")&gt;1,"Escala duplicada",INDEX('Horarios'!$A$2:$A$501,SUMIFS('Horarios'!$N$2:$N$501,'Horarios'!$B$2:$B$501,$B$4,'Horarios'!$C$2:$C$501,$A18,'Horarios'!$F$2:$F$501,"Sala 2"))))</x:f>
        <x:v>Aline Reis</x:v>
      </x:c>
      <x:c r="F18" s="2" t="str">
        <x:f>IF(COUNTIFS('Horarios'!$B$2:$B$501,$B$4,'Horarios'!$C$2:$C$501,$A18,'Horarios'!$F$2:$F$501,"Sala 2")=0,"",IF(COUNTIFS('Horarios'!$B$2:$B$501,$B$4,'Horarios'!$C$2:$C$501,$A18,'Horarios'!$F$2:$F$501,"Sala 2")&gt;1,"Revisar",INDEX('Horarios'!$M$2:$M$501,SUMIFS('Horarios'!$N$2:$N$501,'Horarios'!$B$2:$B$501,$B$4,'Horarios'!$C$2:$C$501,$A18,'Horarios'!$F$2:$F$501,"Sala 2"))))</x:f>
        <x:v>Revisar escala</x:v>
      </x:c>
      <x:c r="G18" s="2"/>
      <x:c r="H18" s="9" t="str">
        <x:v>Ajuste folgas, almoço e feriados em Horarios.</x:v>
      </x:c>
      <x:c r="I18" s="2"/>
      <x:c r="J18" s="2"/>
    </x:row>
    <x:row r="19" ht="31" customHeight="1">
      <x:c r="A19" s="24" t="n">
        <x:v>0.7083333333333334</x:v>
      </x:c>
      <x:c r="B19" s="24" t="n">
        <x:f>A19+$B$5/1440</x:f>
        <x:v>0.7430555555555556</x:v>
      </x:c>
      <x:c r="C19" s="2" t="str">
        <x:f>IF(COUNTIFS('Horarios'!$B$2:$B$501,$B$4,'Horarios'!$C$2:$C$501,$A19,'Horarios'!$F$2:$F$501,"Sala 1")=0,"Sem escala",IF(COUNTIFS('Horarios'!$B$2:$B$501,$B$4,'Horarios'!$C$2:$C$501,$A19,'Horarios'!$F$2:$F$501,"Sala 1")&gt;1,"Escala duplicada",INDEX('Horarios'!$A$2:$A$501,SUMIFS('Horarios'!$N$2:$N$501,'Horarios'!$B$2:$B$501,$B$4,'Horarios'!$C$2:$C$501,$A19,'Horarios'!$F$2:$F$501,"Sala 1"))))</x:f>
        <x:v>Laura Casanova</x:v>
      </x:c>
      <x:c r="D19" s="2" t="str">
        <x:f>IF(COUNTIFS('Horarios'!$B$2:$B$501,$B$4,'Horarios'!$C$2:$C$501,$A19,'Horarios'!$F$2:$F$501,"Sala 1")=0,"",IF(COUNTIFS('Horarios'!$B$2:$B$501,$B$4,'Horarios'!$C$2:$C$501,$A19,'Horarios'!$F$2:$F$501,"Sala 1")&gt;1,"Revisar",INDEX('Horarios'!$M$2:$M$501,SUMIFS('Horarios'!$N$2:$N$501,'Horarios'!$B$2:$B$501,$B$4,'Horarios'!$C$2:$C$501,$A19,'Horarios'!$F$2:$F$501,"Sala 1"))))</x:f>
        <x:v>Revisar escala</x:v>
      </x:c>
      <x:c r="E19" s="2" t="str">
        <x:f>IF(COUNTIFS('Horarios'!$B$2:$B$501,$B$4,'Horarios'!$C$2:$C$501,$A19,'Horarios'!$F$2:$F$501,"Sala 2")=0,"Sem escala",IF(COUNTIFS('Horarios'!$B$2:$B$501,$B$4,'Horarios'!$C$2:$C$501,$A19,'Horarios'!$F$2:$F$501,"Sala 2")&gt;1,"Escala duplicada",INDEX('Horarios'!$A$2:$A$501,SUMIFS('Horarios'!$N$2:$N$501,'Horarios'!$B$2:$B$501,$B$4,'Horarios'!$C$2:$C$501,$A19,'Horarios'!$F$2:$F$501,"Sala 2"))))</x:f>
        <x:v>Aline Reis</x:v>
      </x:c>
      <x:c r="F19" s="2" t="str">
        <x:f>IF(COUNTIFS('Horarios'!$B$2:$B$501,$B$4,'Horarios'!$C$2:$C$501,$A19,'Horarios'!$F$2:$F$501,"Sala 2")=0,"",IF(COUNTIFS('Horarios'!$B$2:$B$501,$B$4,'Horarios'!$C$2:$C$501,$A19,'Horarios'!$F$2:$F$501,"Sala 2")&gt;1,"Revisar",INDEX('Horarios'!$M$2:$M$501,SUMIFS('Horarios'!$N$2:$N$501,'Horarios'!$B$2:$B$501,$B$4,'Horarios'!$C$2:$C$501,$A19,'Horarios'!$F$2:$F$501,"Sala 2"))))</x:f>
        <x:v>Revisar escala</x:v>
      </x:c>
      <x:c r="G19" s="2"/>
      <x:c r="H19" s="2"/>
      <x:c r="I19" s="2"/>
      <x:c r="J19" s="2"/>
    </x:row>
    <x:row r="20" ht="31" customHeight="1">
      <x:c r="A20" s="24" t="n">
        <x:v>0.75</x:v>
      </x:c>
      <x:c r="B20" s="24" t="n">
        <x:f>A20+$B$5/1440</x:f>
        <x:v>0.7847222222222222</x:v>
      </x:c>
      <x:c r="C20" s="2" t="str">
        <x:f>IF(COUNTIFS('Horarios'!$B$2:$B$501,$B$4,'Horarios'!$C$2:$C$501,$A20,'Horarios'!$F$2:$F$501,"Sala 1")=0,"Sem escala",IF(COUNTIFS('Horarios'!$B$2:$B$501,$B$4,'Horarios'!$C$2:$C$501,$A20,'Horarios'!$F$2:$F$501,"Sala 1")&gt;1,"Escala duplicada",INDEX('Horarios'!$A$2:$A$501,SUMIFS('Horarios'!$N$2:$N$501,'Horarios'!$B$2:$B$501,$B$4,'Horarios'!$C$2:$C$501,$A20,'Horarios'!$F$2:$F$501,"Sala 1"))))</x:f>
        <x:v>Laura Casanova</x:v>
      </x:c>
      <x:c r="D20" s="2" t="str">
        <x:f>IF(COUNTIFS('Horarios'!$B$2:$B$501,$B$4,'Horarios'!$C$2:$C$501,$A20,'Horarios'!$F$2:$F$501,"Sala 1")=0,"",IF(COUNTIFS('Horarios'!$B$2:$B$501,$B$4,'Horarios'!$C$2:$C$501,$A20,'Horarios'!$F$2:$F$501,"Sala 1")&gt;1,"Revisar",INDEX('Horarios'!$M$2:$M$501,SUMIFS('Horarios'!$N$2:$N$501,'Horarios'!$B$2:$B$501,$B$4,'Horarios'!$C$2:$C$501,$A20,'Horarios'!$F$2:$F$501,"Sala 1"))))</x:f>
        <x:v>Revisar escala</x:v>
      </x:c>
      <x:c r="E20" s="2" t="str">
        <x:f>IF(COUNTIFS('Horarios'!$B$2:$B$501,$B$4,'Horarios'!$C$2:$C$501,$A20,'Horarios'!$F$2:$F$501,"Sala 2")=0,"Sem escala",IF(COUNTIFS('Horarios'!$B$2:$B$501,$B$4,'Horarios'!$C$2:$C$501,$A20,'Horarios'!$F$2:$F$501,"Sala 2")&gt;1,"Escala duplicada",INDEX('Horarios'!$A$2:$A$501,SUMIFS('Horarios'!$N$2:$N$501,'Horarios'!$B$2:$B$501,$B$4,'Horarios'!$C$2:$C$501,$A20,'Horarios'!$F$2:$F$501,"Sala 2"))))</x:f>
        <x:v>Aline Reis</x:v>
      </x:c>
      <x:c r="F20" s="2" t="str">
        <x:f>IF(COUNTIFS('Horarios'!$B$2:$B$501,$B$4,'Horarios'!$C$2:$C$501,$A20,'Horarios'!$F$2:$F$501,"Sala 2")=0,"",IF(COUNTIFS('Horarios'!$B$2:$B$501,$B$4,'Horarios'!$C$2:$C$501,$A20,'Horarios'!$F$2:$F$501,"Sala 2")&gt;1,"Revisar",INDEX('Horarios'!$M$2:$M$501,SUMIFS('Horarios'!$N$2:$N$501,'Horarios'!$B$2:$B$501,$B$4,'Horarios'!$C$2:$C$501,$A20,'Horarios'!$F$2:$F$501,"Sala 2"))))</x:f>
        <x:v>Revisar escala</x:v>
      </x:c>
      <x:c r="G20" s="2"/>
      <x:c r="H20" s="2"/>
      <x:c r="I20" s="2"/>
      <x:c r="J20" s="2"/>
    </x:row>
    <x:row r="21" ht="31" customHeight="1">
      <x:c r="A21" s="25" t="n">
        <x:v>0.7916666666666666</x:v>
      </x:c>
      <x:c r="B21" s="25" t="n">
        <x:f>A21+$B$5/1440</x:f>
        <x:v>0.8263888888888888</x:v>
      </x:c>
      <x:c r="C21" s="23" t="str">
        <x:f>IF(COUNTIFS('Horarios'!$B$2:$B$501,$B$4,'Horarios'!$C$2:$C$501,$A21,'Horarios'!$F$2:$F$501,"Sala 1")=0,"Sem escala",IF(COUNTIFS('Horarios'!$B$2:$B$501,$B$4,'Horarios'!$C$2:$C$501,$A21,'Horarios'!$F$2:$F$501,"Sala 1")&gt;1,"Escala duplicada",INDEX('Horarios'!$A$2:$A$501,SUMIFS('Horarios'!$N$2:$N$501,'Horarios'!$B$2:$B$501,$B$4,'Horarios'!$C$2:$C$501,$A21,'Horarios'!$F$2:$F$501,"Sala 1"))))</x:f>
        <x:v>Laura Casanova</x:v>
      </x:c>
      <x:c r="D21" s="23" t="str">
        <x:f>IF(COUNTIFS('Horarios'!$B$2:$B$501,$B$4,'Horarios'!$C$2:$C$501,$A21,'Horarios'!$F$2:$F$501,"Sala 1")=0,"",IF(COUNTIFS('Horarios'!$B$2:$B$501,$B$4,'Horarios'!$C$2:$C$501,$A21,'Horarios'!$F$2:$F$501,"Sala 1")&gt;1,"Revisar",INDEX('Horarios'!$M$2:$M$501,SUMIFS('Horarios'!$N$2:$N$501,'Horarios'!$B$2:$B$501,$B$4,'Horarios'!$C$2:$C$501,$A21,'Horarios'!$F$2:$F$501,"Sala 1"))))</x:f>
        <x:v>Revisar escala</x:v>
      </x:c>
      <x:c r="E21" s="23" t="str">
        <x:f>IF(COUNTIFS('Horarios'!$B$2:$B$501,$B$4,'Horarios'!$C$2:$C$501,$A21,'Horarios'!$F$2:$F$501,"Sala 2")=0,"Sem escala",IF(COUNTIFS('Horarios'!$B$2:$B$501,$B$4,'Horarios'!$C$2:$C$501,$A21,'Horarios'!$F$2:$F$501,"Sala 2")&gt;1,"Escala duplicada",INDEX('Horarios'!$A$2:$A$501,SUMIFS('Horarios'!$N$2:$N$501,'Horarios'!$B$2:$B$501,$B$4,'Horarios'!$C$2:$C$501,$A21,'Horarios'!$F$2:$F$501,"Sala 2"))))</x:f>
        <x:v>Aline Reis</x:v>
      </x:c>
      <x:c r="F21" s="23" t="str">
        <x:f>IF(COUNTIFS('Horarios'!$B$2:$B$501,$B$4,'Horarios'!$C$2:$C$501,$A21,'Horarios'!$F$2:$F$501,"Sala 2")=0,"",IF(COUNTIFS('Horarios'!$B$2:$B$501,$B$4,'Horarios'!$C$2:$C$501,$A21,'Horarios'!$F$2:$F$501,"Sala 2")&gt;1,"Revisar",INDEX('Horarios'!$M$2:$M$501,SUMIFS('Horarios'!$N$2:$N$501,'Horarios'!$B$2:$B$501,$B$4,'Horarios'!$C$2:$C$501,$A21,'Horarios'!$F$2:$F$501,"Sala 2"))))</x:f>
        <x:v>Revisar escala</x:v>
      </x:c>
      <x:c r="G21" s="2"/>
      <x:c r="H21" s="2"/>
      <x:c r="I21" s="2"/>
      <x:c r="J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</x:sheetData>
  <x:conditionalFormatting sqref="D11:D21">
    <x:cfRule type="containsText" dxfId="2" priority="1" operator="containsText" text="Revisar"/>
    <x:cfRule type="containsText" dxfId="3" priority="2" operator="containsText" text="Ocupado"/>
  </x:conditionalFormatting>
  <x:conditionalFormatting sqref="F11:F21">
    <x:cfRule type="containsText" dxfId="4" priority="3" operator="containsText" text="Revisar"/>
    <x:cfRule type="containsText" dxfId="5" priority="4" operator="containsText" text="Ocupado"/>
  </x:conditionalFormatting>
  <x:dataValidations count="1">
    <x:dataValidation type="whole" operator="between" sqref="B5:B6">
      <x:formula1>1</x:formula1>
      <x:formula2>180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7694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23" hidden="0" customWidth="1"/>
    <x:col min="14" max="14" width="34" hidden="0" customWidth="1"/>
  </x:cols>
  <x:sheetData>
    <x:row r="1" ht="40" customHeight="1">
      <x:c r="A1" s="21" t="str">
        <x:v>profissional</x:v>
      </x:c>
      <x:c r="B1" s="21" t="str">
        <x:v>data</x:v>
      </x:c>
      <x:c r="C1" s="21" t="str">
        <x:v>horario</x:v>
      </x:c>
      <x:c r="D1" s="21" t="str">
        <x:v>modalidade</x:v>
      </x:c>
      <x:c r="E1" s="21" t="str">
        <x:v>ativo</x:v>
      </x:c>
      <x:c r="F1" s="21" t="str">
        <x:v>sala</x:v>
      </x:c>
      <x:c r="G1" s="21" t="str">
        <x:v>duracao_min</x:v>
      </x:c>
      <x:c r="H1" s="21" t="str">
        <x:v>intervalo_min</x:v>
      </x:c>
      <x:c r="I1" s="21" t="str">
        <x:v>fim_sessao</x:v>
      </x:c>
      <x:c r="J1" s="21" t="str">
        <x:v>fim_reserva</x:v>
      </x:c>
      <x:c r="K1" s="21" t="str">
        <x:v>conflito_sala</x:v>
      </x:c>
      <x:c r="L1" s="21" t="str">
        <x:v>conflito_prof</x:v>
      </x:c>
      <x:c r="M1" s="21" t="str">
        <x:v>situacao</x:v>
      </x:c>
      <x:c r="N1" s="21" t="str">
        <x:v>indice</x:v>
      </x:c>
    </x:row>
    <x:row r="2" ht="24" customHeight="1">
      <x:c r="A2" s="13" t="str">
        <x:v>Aline Reis</x:v>
      </x:c>
      <x:c r="B2" s="14" t="d">
        <x:v>2026-10-05T00:00:00.000Z</x:v>
      </x:c>
      <x:c r="C2" s="26" t="n">
        <x:v>0.375</x:v>
      </x:c>
      <x:c r="D2" s="13" t="str">
        <x:v>presencial</x:v>
      </x:c>
      <x:c r="E2" s="13" t="str">
        <x:v>não</x:v>
      </x:c>
      <x:c r="F2" s="13" t="str">
        <x:v>Sala 1</x:v>
      </x:c>
      <x:c r="G2" s="12" t="n">
        <x:f>IF(A2="","",'Agenda'!$B$5)</x:f>
        <x:v>50</x:v>
      </x:c>
      <x:c r="H2" s="12" t="n">
        <x:f>IF(A2="","",'Agenda'!$B$6)</x:f>
        <x:v>10</x:v>
      </x:c>
      <x:c r="I2" s="24" t="n">
        <x:f>IF(A2="","",C2+G2/1440)</x:f>
        <x:v>0.4097222222222222</x:v>
      </x:c>
      <x:c r="J2" s="24" t="n">
        <x:f>IF(A2="","",C2+(G2+H2)/1440)</x:f>
        <x:v>0.4166666666666667</x:v>
      </x:c>
      <x:c r="K2" s="27" t="n">
        <x:f>IF(A2="","",IF(E2&lt;&gt;"sim",0,COUNTIFS($B$2:$B$501,B2,$F$2:$F$501,F2,$E$2:$E$501,"sim",$C$2:$C$501,"&lt;"&amp;J2,$J$2:$J$501,"&gt;"&amp;C2)-1))</x:f>
        <x:v>0</x:v>
      </x:c>
      <x:c r="L2" s="27" t="n">
        <x:f>IF(A2="","",IF(E2&lt;&gt;"sim",0,COUNTIFS($B$2:$B$501,B2,$A$2:$A$501,A2,$E$2:$E$501,"sim",$C$2:$C$501,"&lt;"&amp;J2,$J$2:$J$501,"&gt;"&amp;C2)-1))</x:f>
        <x:v>0</x:v>
      </x:c>
      <x:c r="M2" s="2" t="str">
        <x:f>IF(A2="","",IF(E2&lt;&gt;"sim","Revisar escala",IF(OR(K2&gt;0,L2&gt;0),"Conflito de escala",IF(COUNTIFS('Solicitacoes'!$F$2:$F$501,B2,'Solicitacoes'!$K$2:$K$501,F2,'Solicitacoes'!$I$2:$I$501,"pendente",'Solicitacoes'!$G$2:$G$501,"&lt;"&amp;J2,'Solicitacoes'!$N$2:$N$501,"&gt;"&amp;C2)+COUNTIFS('Solicitacoes'!$F$2:$F$501,B2,'Solicitacoes'!$E$2:$E$501,A2,'Solicitacoes'!$I$2:$I$501,"pendente",'Solicitacoes'!$G$2:$G$501,"&lt;"&amp;J2,'Solicitacoes'!$N$2:$N$501,"&gt;"&amp;C2)+COUNTIFS('Solicitacoes'!$F$2:$F$501,B2,'Solicitacoes'!$K$2:$K$501,F2,'Solicitacoes'!$I$2:$I$501,"confirmado",'Solicitacoes'!$G$2:$G$501,"&lt;"&amp;J2,'Solicitacoes'!$N$2:$N$501,"&gt;"&amp;C2)+COUNTIFS('Solicitacoes'!$F$2:$F$501,B2,'Solicitacoes'!$E$2:$E$501,A2,'Solicitacoes'!$I$2:$I$501,"confirmado",'Solicitacoes'!$G$2:$G$501,"&lt;"&amp;J2,'Solicitacoes'!$N$2:$N$501,"&gt;"&amp;C2)&gt;0,"Ocupado","Disponível"))))</x:f>
        <x:v>Revisar escala</x:v>
      </x:c>
      <x:c r="N2" s="2" t="n">
        <x:f>IF(A2="","",ROW()-1)</x:f>
        <x:v>1</x:v>
      </x:c>
    </x:row>
    <x:row r="3" ht="24" customHeight="1">
      <x:c r="A3" s="13" t="str">
        <x:v>Géssyca Martins</x:v>
      </x:c>
      <x:c r="B3" s="14" t="d">
        <x:v>2026-10-05T00:00:00.000Z</x:v>
      </x:c>
      <x:c r="C3" s="26" t="n">
        <x:v>0.375</x:v>
      </x:c>
      <x:c r="D3" s="13" t="str">
        <x:v>presencial</x:v>
      </x:c>
      <x:c r="E3" s="13" t="str">
        <x:v>não</x:v>
      </x:c>
      <x:c r="F3" s="13" t="str">
        <x:v>Sala 2</x:v>
      </x:c>
      <x:c r="G3" s="12" t="n">
        <x:f>IF(A3="","",'Agenda'!$B$5)</x:f>
        <x:v>50</x:v>
      </x:c>
      <x:c r="H3" s="12" t="n">
        <x:f>IF(A3="","",'Agenda'!$B$6)</x:f>
        <x:v>10</x:v>
      </x:c>
      <x:c r="I3" s="24" t="n">
        <x:f>IF(A3="","",C3+G3/1440)</x:f>
        <x:v>0.4097222222222222</x:v>
      </x:c>
      <x:c r="J3" s="24" t="n">
        <x:f>IF(A3="","",C3+(G3+H3)/1440)</x:f>
        <x:v>0.4166666666666667</x:v>
      </x:c>
      <x:c r="K3" s="27" t="n">
        <x:f>IF(A3="","",IF(E3&lt;&gt;"sim",0,COUNTIFS($B$2:$B$501,B3,$F$2:$F$501,F3,$E$2:$E$501,"sim",$C$2:$C$501,"&lt;"&amp;J3,$J$2:$J$501,"&gt;"&amp;C3)-1))</x:f>
        <x:v>0</x:v>
      </x:c>
      <x:c r="L3" s="27" t="n">
        <x:f>IF(A3="","",IF(E3&lt;&gt;"sim",0,COUNTIFS($B$2:$B$501,B3,$A$2:$A$501,A3,$E$2:$E$501,"sim",$C$2:$C$501,"&lt;"&amp;J3,$J$2:$J$501,"&gt;"&amp;C3)-1))</x:f>
        <x:v>0</x:v>
      </x:c>
      <x:c r="M3" s="2" t="str">
        <x:f>IF(A3="","",IF(E3&lt;&gt;"sim","Revisar escala",IF(OR(K3&gt;0,L3&gt;0),"Conflito de escala",IF(COUNTIFS('Solicitacoes'!$F$2:$F$501,B3,'Solicitacoes'!$K$2:$K$501,F3,'Solicitacoes'!$I$2:$I$501,"pendente",'Solicitacoes'!$G$2:$G$501,"&lt;"&amp;J3,'Solicitacoes'!$N$2:$N$501,"&gt;"&amp;C3)+COUNTIFS('Solicitacoes'!$F$2:$F$501,B3,'Solicitacoes'!$E$2:$E$501,A3,'Solicitacoes'!$I$2:$I$501,"pendente",'Solicitacoes'!$G$2:$G$501,"&lt;"&amp;J3,'Solicitacoes'!$N$2:$N$501,"&gt;"&amp;C3)+COUNTIFS('Solicitacoes'!$F$2:$F$501,B3,'Solicitacoes'!$K$2:$K$501,F3,'Solicitacoes'!$I$2:$I$501,"confirmado",'Solicitacoes'!$G$2:$G$501,"&lt;"&amp;J3,'Solicitacoes'!$N$2:$N$501,"&gt;"&amp;C3)+COUNTIFS('Solicitacoes'!$F$2:$F$501,B3,'Solicitacoes'!$E$2:$E$501,A3,'Solicitacoes'!$I$2:$I$501,"confirmado",'Solicitacoes'!$G$2:$G$501,"&lt;"&amp;J3,'Solicitacoes'!$N$2:$N$501,"&gt;"&amp;C3)&gt;0,"Ocupado","Disponível"))))</x:f>
        <x:v>Revisar escala</x:v>
      </x:c>
      <x:c r="N3" s="2" t="n">
        <x:f>IF(A3="","",ROW()-1)</x:f>
        <x:v>2</x:v>
      </x:c>
    </x:row>
    <x:row r="4" ht="24" customHeight="1">
      <x:c r="A4" s="13" t="str">
        <x:v>Aline Reis</x:v>
      </x:c>
      <x:c r="B4" s="14" t="d">
        <x:v>2026-10-05T00:00:00.000Z</x:v>
      </x:c>
      <x:c r="C4" s="26" t="n">
        <x:v>0.4166666666666667</x:v>
      </x:c>
      <x:c r="D4" s="13" t="str">
        <x:v>presencial</x:v>
      </x:c>
      <x:c r="E4" s="13" t="str">
        <x:v>não</x:v>
      </x:c>
      <x:c r="F4" s="13" t="str">
        <x:v>Sala 1</x:v>
      </x:c>
      <x:c r="G4" s="12" t="n">
        <x:f>IF(A4="","",'Agenda'!$B$5)</x:f>
        <x:v>50</x:v>
      </x:c>
      <x:c r="H4" s="12" t="n">
        <x:f>IF(A4="","",'Agenda'!$B$6)</x:f>
        <x:v>10</x:v>
      </x:c>
      <x:c r="I4" s="24" t="n">
        <x:f>IF(A4="","",C4+G4/1440)</x:f>
        <x:v>0.4513888888888889</x:v>
      </x:c>
      <x:c r="J4" s="24" t="n">
        <x:f>IF(A4="","",C4+(G4+H4)/1440)</x:f>
        <x:v>0.45833333333333337</x:v>
      </x:c>
      <x:c r="K4" s="27" t="n">
        <x:f>IF(A4="","",IF(E4&lt;&gt;"sim",0,COUNTIFS($B$2:$B$501,B4,$F$2:$F$501,F4,$E$2:$E$501,"sim",$C$2:$C$501,"&lt;"&amp;J4,$J$2:$J$501,"&gt;"&amp;C4)-1))</x:f>
        <x:v>0</x:v>
      </x:c>
      <x:c r="L4" s="27" t="n">
        <x:f>IF(A4="","",IF(E4&lt;&gt;"sim",0,COUNTIFS($B$2:$B$501,B4,$A$2:$A$501,A4,$E$2:$E$501,"sim",$C$2:$C$501,"&lt;"&amp;J4,$J$2:$J$501,"&gt;"&amp;C4)-1))</x:f>
        <x:v>0</x:v>
      </x:c>
      <x:c r="M4" s="2" t="str">
        <x:f>IF(A4="","",IF(E4&lt;&gt;"sim","Revisar escala",IF(OR(K4&gt;0,L4&gt;0),"Conflito de escala",IF(COUNTIFS('Solicitacoes'!$F$2:$F$501,B4,'Solicitacoes'!$K$2:$K$501,F4,'Solicitacoes'!$I$2:$I$501,"pendente",'Solicitacoes'!$G$2:$G$501,"&lt;"&amp;J4,'Solicitacoes'!$N$2:$N$501,"&gt;"&amp;C4)+COUNTIFS('Solicitacoes'!$F$2:$F$501,B4,'Solicitacoes'!$E$2:$E$501,A4,'Solicitacoes'!$I$2:$I$501,"pendente",'Solicitacoes'!$G$2:$G$501,"&lt;"&amp;J4,'Solicitacoes'!$N$2:$N$501,"&gt;"&amp;C4)+COUNTIFS('Solicitacoes'!$F$2:$F$501,B4,'Solicitacoes'!$K$2:$K$501,F4,'Solicitacoes'!$I$2:$I$501,"confirmado",'Solicitacoes'!$G$2:$G$501,"&lt;"&amp;J4,'Solicitacoes'!$N$2:$N$501,"&gt;"&amp;C4)+COUNTIFS('Solicitacoes'!$F$2:$F$501,B4,'Solicitacoes'!$E$2:$E$501,A4,'Solicitacoes'!$I$2:$I$501,"confirmado",'Solicitacoes'!$G$2:$G$501,"&lt;"&amp;J4,'Solicitacoes'!$N$2:$N$501,"&gt;"&amp;C4)&gt;0,"Ocupado","Disponível"))))</x:f>
        <x:v>Revisar escala</x:v>
      </x:c>
      <x:c r="N4" s="2" t="n">
        <x:f>IF(A4="","",ROW()-1)</x:f>
        <x:v>3</x:v>
      </x:c>
    </x:row>
    <x:row r="5" ht="24" customHeight="1">
      <x:c r="A5" s="13" t="str">
        <x:v>Géssyca Martins</x:v>
      </x:c>
      <x:c r="B5" s="14" t="d">
        <x:v>2026-10-05T00:00:00.000Z</x:v>
      </x:c>
      <x:c r="C5" s="26" t="n">
        <x:v>0.4166666666666667</x:v>
      </x:c>
      <x:c r="D5" s="13" t="str">
        <x:v>presencial</x:v>
      </x:c>
      <x:c r="E5" s="13" t="str">
        <x:v>não</x:v>
      </x:c>
      <x:c r="F5" s="13" t="str">
        <x:v>Sala 2</x:v>
      </x:c>
      <x:c r="G5" s="12" t="n">
        <x:f>IF(A5="","",'Agenda'!$B$5)</x:f>
        <x:v>50</x:v>
      </x:c>
      <x:c r="H5" s="12" t="n">
        <x:f>IF(A5="","",'Agenda'!$B$6)</x:f>
        <x:v>10</x:v>
      </x:c>
      <x:c r="I5" s="24" t="n">
        <x:f>IF(A5="","",C5+G5/1440)</x:f>
        <x:v>0.4513888888888889</x:v>
      </x:c>
      <x:c r="J5" s="24" t="n">
        <x:f>IF(A5="","",C5+(G5+H5)/1440)</x:f>
        <x:v>0.45833333333333337</x:v>
      </x:c>
      <x:c r="K5" s="27" t="n">
        <x:f>IF(A5="","",IF(E5&lt;&gt;"sim",0,COUNTIFS($B$2:$B$501,B5,$F$2:$F$501,F5,$E$2:$E$501,"sim",$C$2:$C$501,"&lt;"&amp;J5,$J$2:$J$501,"&gt;"&amp;C5)-1))</x:f>
        <x:v>0</x:v>
      </x:c>
      <x:c r="L5" s="27" t="n">
        <x:f>IF(A5="","",IF(E5&lt;&gt;"sim",0,COUNTIFS($B$2:$B$501,B5,$A$2:$A$501,A5,$E$2:$E$501,"sim",$C$2:$C$501,"&lt;"&amp;J5,$J$2:$J$501,"&gt;"&amp;C5)-1))</x:f>
        <x:v>0</x:v>
      </x:c>
      <x:c r="M5" s="2" t="str">
        <x:f>IF(A5="","",IF(E5&lt;&gt;"sim","Revisar escala",IF(OR(K5&gt;0,L5&gt;0),"Conflito de escala",IF(COUNTIFS('Solicitacoes'!$F$2:$F$501,B5,'Solicitacoes'!$K$2:$K$501,F5,'Solicitacoes'!$I$2:$I$501,"pendente",'Solicitacoes'!$G$2:$G$501,"&lt;"&amp;J5,'Solicitacoes'!$N$2:$N$501,"&gt;"&amp;C5)+COUNTIFS('Solicitacoes'!$F$2:$F$501,B5,'Solicitacoes'!$E$2:$E$501,A5,'Solicitacoes'!$I$2:$I$501,"pendente",'Solicitacoes'!$G$2:$G$501,"&lt;"&amp;J5,'Solicitacoes'!$N$2:$N$501,"&gt;"&amp;C5)+COUNTIFS('Solicitacoes'!$F$2:$F$501,B5,'Solicitacoes'!$K$2:$K$501,F5,'Solicitacoes'!$I$2:$I$501,"confirmado",'Solicitacoes'!$G$2:$G$501,"&lt;"&amp;J5,'Solicitacoes'!$N$2:$N$501,"&gt;"&amp;C5)+COUNTIFS('Solicitacoes'!$F$2:$F$501,B5,'Solicitacoes'!$E$2:$E$501,A5,'Solicitacoes'!$I$2:$I$501,"confirmado",'Solicitacoes'!$G$2:$G$501,"&lt;"&amp;J5,'Solicitacoes'!$N$2:$N$501,"&gt;"&amp;C5)&gt;0,"Ocupado","Disponível"))))</x:f>
        <x:v>Revisar escala</x:v>
      </x:c>
      <x:c r="N5" s="2" t="n">
        <x:f>IF(A5="","",ROW()-1)</x:f>
        <x:v>4</x:v>
      </x:c>
    </x:row>
    <x:row r="6" ht="24" customHeight="1">
      <x:c r="A6" s="13" t="str">
        <x:v>Aline Reis</x:v>
      </x:c>
      <x:c r="B6" s="14" t="d">
        <x:v>2026-10-05T00:00:00.000Z</x:v>
      </x:c>
      <x:c r="C6" s="26" t="n">
        <x:v>0.4583333333333333</x:v>
      </x:c>
      <x:c r="D6" s="13" t="str">
        <x:v>presencial</x:v>
      </x:c>
      <x:c r="E6" s="13" t="str">
        <x:v>não</x:v>
      </x:c>
      <x:c r="F6" s="13" t="str">
        <x:v>Sala 1</x:v>
      </x:c>
      <x:c r="G6" s="12" t="n">
        <x:f>IF(A6="","",'Agenda'!$B$5)</x:f>
        <x:v>50</x:v>
      </x:c>
      <x:c r="H6" s="12" t="n">
        <x:f>IF(A6="","",'Agenda'!$B$6)</x:f>
        <x:v>10</x:v>
      </x:c>
      <x:c r="I6" s="24" t="n">
        <x:f>IF(A6="","",C6+G6/1440)</x:f>
        <x:v>0.4930555555555555</x:v>
      </x:c>
      <x:c r="J6" s="24" t="n">
        <x:f>IF(A6="","",C6+(G6+H6)/1440)</x:f>
        <x:v>0.5</x:v>
      </x:c>
      <x:c r="K6" s="27" t="n">
        <x:f>IF(A6="","",IF(E6&lt;&gt;"sim",0,COUNTIFS($B$2:$B$501,B6,$F$2:$F$501,F6,$E$2:$E$501,"sim",$C$2:$C$501,"&lt;"&amp;J6,$J$2:$J$501,"&gt;"&amp;C6)-1))</x:f>
        <x:v>0</x:v>
      </x:c>
      <x:c r="L6" s="27" t="n">
        <x:f>IF(A6="","",IF(E6&lt;&gt;"sim",0,COUNTIFS($B$2:$B$501,B6,$A$2:$A$501,A6,$E$2:$E$501,"sim",$C$2:$C$501,"&lt;"&amp;J6,$J$2:$J$501,"&gt;"&amp;C6)-1))</x:f>
        <x:v>0</x:v>
      </x:c>
      <x:c r="M6" s="2" t="str">
        <x:f>IF(A6="","",IF(E6&lt;&gt;"sim","Revisar escala",IF(OR(K6&gt;0,L6&gt;0),"Conflito de escala",IF(COUNTIFS('Solicitacoes'!$F$2:$F$501,B6,'Solicitacoes'!$K$2:$K$501,F6,'Solicitacoes'!$I$2:$I$501,"pendente",'Solicitacoes'!$G$2:$G$501,"&lt;"&amp;J6,'Solicitacoes'!$N$2:$N$501,"&gt;"&amp;C6)+COUNTIFS('Solicitacoes'!$F$2:$F$501,B6,'Solicitacoes'!$E$2:$E$501,A6,'Solicitacoes'!$I$2:$I$501,"pendente",'Solicitacoes'!$G$2:$G$501,"&lt;"&amp;J6,'Solicitacoes'!$N$2:$N$501,"&gt;"&amp;C6)+COUNTIFS('Solicitacoes'!$F$2:$F$501,B6,'Solicitacoes'!$K$2:$K$501,F6,'Solicitacoes'!$I$2:$I$501,"confirmado",'Solicitacoes'!$G$2:$G$501,"&lt;"&amp;J6,'Solicitacoes'!$N$2:$N$501,"&gt;"&amp;C6)+COUNTIFS('Solicitacoes'!$F$2:$F$501,B6,'Solicitacoes'!$E$2:$E$501,A6,'Solicitacoes'!$I$2:$I$501,"confirmado",'Solicitacoes'!$G$2:$G$501,"&lt;"&amp;J6,'Solicitacoes'!$N$2:$N$501,"&gt;"&amp;C6)&gt;0,"Ocupado","Disponível"))))</x:f>
        <x:v>Revisar escala</x:v>
      </x:c>
      <x:c r="N6" s="2" t="n">
        <x:f>IF(A6="","",ROW()-1)</x:f>
        <x:v>5</x:v>
      </x:c>
    </x:row>
    <x:row r="7" ht="24" customHeight="1">
      <x:c r="A7" s="13" t="str">
        <x:v>Géssyca Martins</x:v>
      </x:c>
      <x:c r="B7" s="14" t="d">
        <x:v>2026-10-05T00:00:00.000Z</x:v>
      </x:c>
      <x:c r="C7" s="26" t="n">
        <x:v>0.4583333333333333</x:v>
      </x:c>
      <x:c r="D7" s="13" t="str">
        <x:v>presencial</x:v>
      </x:c>
      <x:c r="E7" s="13" t="str">
        <x:v>não</x:v>
      </x:c>
      <x:c r="F7" s="13" t="str">
        <x:v>Sala 2</x:v>
      </x:c>
      <x:c r="G7" s="12" t="n">
        <x:f>IF(A7="","",'Agenda'!$B$5)</x:f>
        <x:v>50</x:v>
      </x:c>
      <x:c r="H7" s="12" t="n">
        <x:f>IF(A7="","",'Agenda'!$B$6)</x:f>
        <x:v>10</x:v>
      </x:c>
      <x:c r="I7" s="24" t="n">
        <x:f>IF(A7="","",C7+G7/1440)</x:f>
        <x:v>0.4930555555555555</x:v>
      </x:c>
      <x:c r="J7" s="24" t="n">
        <x:f>IF(A7="","",C7+(G7+H7)/1440)</x:f>
        <x:v>0.5</x:v>
      </x:c>
      <x:c r="K7" s="27" t="n">
        <x:f>IF(A7="","",IF(E7&lt;&gt;"sim",0,COUNTIFS($B$2:$B$501,B7,$F$2:$F$501,F7,$E$2:$E$501,"sim",$C$2:$C$501,"&lt;"&amp;J7,$J$2:$J$501,"&gt;"&amp;C7)-1))</x:f>
        <x:v>0</x:v>
      </x:c>
      <x:c r="L7" s="27" t="n">
        <x:f>IF(A7="","",IF(E7&lt;&gt;"sim",0,COUNTIFS($B$2:$B$501,B7,$A$2:$A$501,A7,$E$2:$E$501,"sim",$C$2:$C$501,"&lt;"&amp;J7,$J$2:$J$501,"&gt;"&amp;C7)-1))</x:f>
        <x:v>0</x:v>
      </x:c>
      <x:c r="M7" s="2" t="str">
        <x:f>IF(A7="","",IF(E7&lt;&gt;"sim","Revisar escala",IF(OR(K7&gt;0,L7&gt;0),"Conflito de escala",IF(COUNTIFS('Solicitacoes'!$F$2:$F$501,B7,'Solicitacoes'!$K$2:$K$501,F7,'Solicitacoes'!$I$2:$I$501,"pendente",'Solicitacoes'!$G$2:$G$501,"&lt;"&amp;J7,'Solicitacoes'!$N$2:$N$501,"&gt;"&amp;C7)+COUNTIFS('Solicitacoes'!$F$2:$F$501,B7,'Solicitacoes'!$E$2:$E$501,A7,'Solicitacoes'!$I$2:$I$501,"pendente",'Solicitacoes'!$G$2:$G$501,"&lt;"&amp;J7,'Solicitacoes'!$N$2:$N$501,"&gt;"&amp;C7)+COUNTIFS('Solicitacoes'!$F$2:$F$501,B7,'Solicitacoes'!$K$2:$K$501,F7,'Solicitacoes'!$I$2:$I$501,"confirmado",'Solicitacoes'!$G$2:$G$501,"&lt;"&amp;J7,'Solicitacoes'!$N$2:$N$501,"&gt;"&amp;C7)+COUNTIFS('Solicitacoes'!$F$2:$F$501,B7,'Solicitacoes'!$E$2:$E$501,A7,'Solicitacoes'!$I$2:$I$501,"confirmado",'Solicitacoes'!$G$2:$G$501,"&lt;"&amp;J7,'Solicitacoes'!$N$2:$N$501,"&gt;"&amp;C7)&gt;0,"Ocupado","Disponível"))))</x:f>
        <x:v>Revisar escala</x:v>
      </x:c>
      <x:c r="N7" s="2" t="n">
        <x:f>IF(A7="","",ROW()-1)</x:f>
        <x:v>6</x:v>
      </x:c>
    </x:row>
    <x:row r="8" ht="24" customHeight="1">
      <x:c r="A8" s="13" t="str">
        <x:v>Aline Reis</x:v>
      </x:c>
      <x:c r="B8" s="14" t="d">
        <x:v>2026-10-05T00:00:00.000Z</x:v>
      </x:c>
      <x:c r="C8" s="26" t="n">
        <x:v>0.5</x:v>
      </x:c>
      <x:c r="D8" s="13" t="str">
        <x:v>presencial</x:v>
      </x:c>
      <x:c r="E8" s="13" t="str">
        <x:v>não</x:v>
      </x:c>
      <x:c r="F8" s="13" t="str">
        <x:v>Sala 1</x:v>
      </x:c>
      <x:c r="G8" s="12" t="n">
        <x:f>IF(A8="","",'Agenda'!$B$5)</x:f>
        <x:v>50</x:v>
      </x:c>
      <x:c r="H8" s="12" t="n">
        <x:f>IF(A8="","",'Agenda'!$B$6)</x:f>
        <x:v>10</x:v>
      </x:c>
      <x:c r="I8" s="24" t="n">
        <x:f>IF(A8="","",C8+G8/1440)</x:f>
        <x:v>0.5347222222222222</x:v>
      </x:c>
      <x:c r="J8" s="24" t="n">
        <x:f>IF(A8="","",C8+(G8+H8)/1440)</x:f>
        <x:v>0.5416666666666666</x:v>
      </x:c>
      <x:c r="K8" s="27" t="n">
        <x:f>IF(A8="","",IF(E8&lt;&gt;"sim",0,COUNTIFS($B$2:$B$501,B8,$F$2:$F$501,F8,$E$2:$E$501,"sim",$C$2:$C$501,"&lt;"&amp;J8,$J$2:$J$501,"&gt;"&amp;C8)-1))</x:f>
        <x:v>0</x:v>
      </x:c>
      <x:c r="L8" s="27" t="n">
        <x:f>IF(A8="","",IF(E8&lt;&gt;"sim",0,COUNTIFS($B$2:$B$501,B8,$A$2:$A$501,A8,$E$2:$E$501,"sim",$C$2:$C$501,"&lt;"&amp;J8,$J$2:$J$501,"&gt;"&amp;C8)-1))</x:f>
        <x:v>0</x:v>
      </x:c>
      <x:c r="M8" s="2" t="str">
        <x:f>IF(A8="","",IF(E8&lt;&gt;"sim","Revisar escala",IF(OR(K8&gt;0,L8&gt;0),"Conflito de escala",IF(COUNTIFS('Solicitacoes'!$F$2:$F$501,B8,'Solicitacoes'!$K$2:$K$501,F8,'Solicitacoes'!$I$2:$I$501,"pendente",'Solicitacoes'!$G$2:$G$501,"&lt;"&amp;J8,'Solicitacoes'!$N$2:$N$501,"&gt;"&amp;C8)+COUNTIFS('Solicitacoes'!$F$2:$F$501,B8,'Solicitacoes'!$E$2:$E$501,A8,'Solicitacoes'!$I$2:$I$501,"pendente",'Solicitacoes'!$G$2:$G$501,"&lt;"&amp;J8,'Solicitacoes'!$N$2:$N$501,"&gt;"&amp;C8)+COUNTIFS('Solicitacoes'!$F$2:$F$501,B8,'Solicitacoes'!$K$2:$K$501,F8,'Solicitacoes'!$I$2:$I$501,"confirmado",'Solicitacoes'!$G$2:$G$501,"&lt;"&amp;J8,'Solicitacoes'!$N$2:$N$501,"&gt;"&amp;C8)+COUNTIFS('Solicitacoes'!$F$2:$F$501,B8,'Solicitacoes'!$E$2:$E$501,A8,'Solicitacoes'!$I$2:$I$501,"confirmado",'Solicitacoes'!$G$2:$G$501,"&lt;"&amp;J8,'Solicitacoes'!$N$2:$N$501,"&gt;"&amp;C8)&gt;0,"Ocupado","Disponível"))))</x:f>
        <x:v>Revisar escala</x:v>
      </x:c>
      <x:c r="N8" s="2" t="n">
        <x:f>IF(A8="","",ROW()-1)</x:f>
        <x:v>7</x:v>
      </x:c>
    </x:row>
    <x:row r="9" ht="24" customHeight="1">
      <x:c r="A9" s="13" t="str">
        <x:v>Géssyca Martins</x:v>
      </x:c>
      <x:c r="B9" s="14" t="d">
        <x:v>2026-10-05T00:00:00.000Z</x:v>
      </x:c>
      <x:c r="C9" s="26" t="n">
        <x:v>0.5</x:v>
      </x:c>
      <x:c r="D9" s="13" t="str">
        <x:v>presencial</x:v>
      </x:c>
      <x:c r="E9" s="13" t="str">
        <x:v>não</x:v>
      </x:c>
      <x:c r="F9" s="13" t="str">
        <x:v>Sala 2</x:v>
      </x:c>
      <x:c r="G9" s="12" t="n">
        <x:f>IF(A9="","",'Agenda'!$B$5)</x:f>
        <x:v>50</x:v>
      </x:c>
      <x:c r="H9" s="12" t="n">
        <x:f>IF(A9="","",'Agenda'!$B$6)</x:f>
        <x:v>10</x:v>
      </x:c>
      <x:c r="I9" s="24" t="n">
        <x:f>IF(A9="","",C9+G9/1440)</x:f>
        <x:v>0.5347222222222222</x:v>
      </x:c>
      <x:c r="J9" s="24" t="n">
        <x:f>IF(A9="","",C9+(G9+H9)/1440)</x:f>
        <x:v>0.5416666666666666</x:v>
      </x:c>
      <x:c r="K9" s="27" t="n">
        <x:f>IF(A9="","",IF(E9&lt;&gt;"sim",0,COUNTIFS($B$2:$B$501,B9,$F$2:$F$501,F9,$E$2:$E$501,"sim",$C$2:$C$501,"&lt;"&amp;J9,$J$2:$J$501,"&gt;"&amp;C9)-1))</x:f>
        <x:v>0</x:v>
      </x:c>
      <x:c r="L9" s="27" t="n">
        <x:f>IF(A9="","",IF(E9&lt;&gt;"sim",0,COUNTIFS($B$2:$B$501,B9,$A$2:$A$501,A9,$E$2:$E$501,"sim",$C$2:$C$501,"&lt;"&amp;J9,$J$2:$J$501,"&gt;"&amp;C9)-1))</x:f>
        <x:v>0</x:v>
      </x:c>
      <x:c r="M9" s="2" t="str">
        <x:f>IF(A9="","",IF(E9&lt;&gt;"sim","Revisar escala",IF(OR(K9&gt;0,L9&gt;0),"Conflito de escala",IF(COUNTIFS('Solicitacoes'!$F$2:$F$501,B9,'Solicitacoes'!$K$2:$K$501,F9,'Solicitacoes'!$I$2:$I$501,"pendente",'Solicitacoes'!$G$2:$G$501,"&lt;"&amp;J9,'Solicitacoes'!$N$2:$N$501,"&gt;"&amp;C9)+COUNTIFS('Solicitacoes'!$F$2:$F$501,B9,'Solicitacoes'!$E$2:$E$501,A9,'Solicitacoes'!$I$2:$I$501,"pendente",'Solicitacoes'!$G$2:$G$501,"&lt;"&amp;J9,'Solicitacoes'!$N$2:$N$501,"&gt;"&amp;C9)+COUNTIFS('Solicitacoes'!$F$2:$F$501,B9,'Solicitacoes'!$K$2:$K$501,F9,'Solicitacoes'!$I$2:$I$501,"confirmado",'Solicitacoes'!$G$2:$G$501,"&lt;"&amp;J9,'Solicitacoes'!$N$2:$N$501,"&gt;"&amp;C9)+COUNTIFS('Solicitacoes'!$F$2:$F$501,B9,'Solicitacoes'!$E$2:$E$501,A9,'Solicitacoes'!$I$2:$I$501,"confirmado",'Solicitacoes'!$G$2:$G$501,"&lt;"&amp;J9,'Solicitacoes'!$N$2:$N$501,"&gt;"&amp;C9)&gt;0,"Ocupado","Disponível"))))</x:f>
        <x:v>Revisar escala</x:v>
      </x:c>
      <x:c r="N9" s="2" t="n">
        <x:f>IF(A9="","",ROW()-1)</x:f>
        <x:v>8</x:v>
      </x:c>
    </x:row>
    <x:row r="10" ht="24" customHeight="1">
      <x:c r="A10" s="13" t="str">
        <x:v>Aline Reis</x:v>
      </x:c>
      <x:c r="B10" s="14" t="d">
        <x:v>2026-10-05T00:00:00.000Z</x:v>
      </x:c>
      <x:c r="C10" s="26" t="n">
        <x:v>0.5416666666666666</x:v>
      </x:c>
      <x:c r="D10" s="13" t="str">
        <x:v>presencial</x:v>
      </x:c>
      <x:c r="E10" s="13" t="str">
        <x:v>não</x:v>
      </x:c>
      <x:c r="F10" s="13" t="str">
        <x:v>Sala 1</x:v>
      </x:c>
      <x:c r="G10" s="12" t="n">
        <x:f>IF(A10="","",'Agenda'!$B$5)</x:f>
        <x:v>50</x:v>
      </x:c>
      <x:c r="H10" s="12" t="n">
        <x:f>IF(A10="","",'Agenda'!$B$6)</x:f>
        <x:v>10</x:v>
      </x:c>
      <x:c r="I10" s="24" t="n">
        <x:f>IF(A10="","",C10+G10/1440)</x:f>
        <x:v>0.5763888888888888</x:v>
      </x:c>
      <x:c r="J10" s="24" t="n">
        <x:f>IF(A10="","",C10+(G10+H10)/1440)</x:f>
        <x:v>0.5833333333333333</x:v>
      </x:c>
      <x:c r="K10" s="27" t="n">
        <x:f>IF(A10="","",IF(E10&lt;&gt;"sim",0,COUNTIFS($B$2:$B$501,B10,$F$2:$F$501,F10,$E$2:$E$501,"sim",$C$2:$C$501,"&lt;"&amp;J10,$J$2:$J$501,"&gt;"&amp;C10)-1))</x:f>
        <x:v>0</x:v>
      </x:c>
      <x:c r="L10" s="27" t="n">
        <x:f>IF(A10="","",IF(E10&lt;&gt;"sim",0,COUNTIFS($B$2:$B$501,B10,$A$2:$A$501,A10,$E$2:$E$501,"sim",$C$2:$C$501,"&lt;"&amp;J10,$J$2:$J$501,"&gt;"&amp;C10)-1))</x:f>
        <x:v>0</x:v>
      </x:c>
      <x:c r="M10" s="2" t="str">
        <x:f>IF(A10="","",IF(E10&lt;&gt;"sim","Revisar escala",IF(OR(K10&gt;0,L10&gt;0),"Conflito de escala",IF(COUNTIFS('Solicitacoes'!$F$2:$F$501,B10,'Solicitacoes'!$K$2:$K$501,F10,'Solicitacoes'!$I$2:$I$501,"pendente",'Solicitacoes'!$G$2:$G$501,"&lt;"&amp;J10,'Solicitacoes'!$N$2:$N$501,"&gt;"&amp;C10)+COUNTIFS('Solicitacoes'!$F$2:$F$501,B10,'Solicitacoes'!$E$2:$E$501,A10,'Solicitacoes'!$I$2:$I$501,"pendente",'Solicitacoes'!$G$2:$G$501,"&lt;"&amp;J10,'Solicitacoes'!$N$2:$N$501,"&gt;"&amp;C10)+COUNTIFS('Solicitacoes'!$F$2:$F$501,B10,'Solicitacoes'!$K$2:$K$501,F10,'Solicitacoes'!$I$2:$I$501,"confirmado",'Solicitacoes'!$G$2:$G$501,"&lt;"&amp;J10,'Solicitacoes'!$N$2:$N$501,"&gt;"&amp;C10)+COUNTIFS('Solicitacoes'!$F$2:$F$501,B10,'Solicitacoes'!$E$2:$E$501,A10,'Solicitacoes'!$I$2:$I$501,"confirmado",'Solicitacoes'!$G$2:$G$501,"&lt;"&amp;J10,'Solicitacoes'!$N$2:$N$501,"&gt;"&amp;C10)&gt;0,"Ocupado","Disponível"))))</x:f>
        <x:v>Revisar escala</x:v>
      </x:c>
      <x:c r="N10" s="2" t="n">
        <x:f>IF(A10="","",ROW()-1)</x:f>
        <x:v>9</x:v>
      </x:c>
    </x:row>
    <x:row r="11" ht="24" customHeight="1">
      <x:c r="A11" s="13" t="str">
        <x:v>Géssyca Martins</x:v>
      </x:c>
      <x:c r="B11" s="14" t="d">
        <x:v>2026-10-05T00:00:00.000Z</x:v>
      </x:c>
      <x:c r="C11" s="26" t="n">
        <x:v>0.5416666666666666</x:v>
      </x:c>
      <x:c r="D11" s="13" t="str">
        <x:v>presencial</x:v>
      </x:c>
      <x:c r="E11" s="13" t="str">
        <x:v>não</x:v>
      </x:c>
      <x:c r="F11" s="13" t="str">
        <x:v>Sala 2</x:v>
      </x:c>
      <x:c r="G11" s="12" t="n">
        <x:f>IF(A11="","",'Agenda'!$B$5)</x:f>
        <x:v>50</x:v>
      </x:c>
      <x:c r="H11" s="12" t="n">
        <x:f>IF(A11="","",'Agenda'!$B$6)</x:f>
        <x:v>10</x:v>
      </x:c>
      <x:c r="I11" s="24" t="n">
        <x:f>IF(A11="","",C11+G11/1440)</x:f>
        <x:v>0.5763888888888888</x:v>
      </x:c>
      <x:c r="J11" s="24" t="n">
        <x:f>IF(A11="","",C11+(G11+H11)/1440)</x:f>
        <x:v>0.5833333333333333</x:v>
      </x:c>
      <x:c r="K11" s="27" t="n">
        <x:f>IF(A11="","",IF(E11&lt;&gt;"sim",0,COUNTIFS($B$2:$B$501,B11,$F$2:$F$501,F11,$E$2:$E$501,"sim",$C$2:$C$501,"&lt;"&amp;J11,$J$2:$J$501,"&gt;"&amp;C11)-1))</x:f>
        <x:v>0</x:v>
      </x:c>
      <x:c r="L11" s="27" t="n">
        <x:f>IF(A11="","",IF(E11&lt;&gt;"sim",0,COUNTIFS($B$2:$B$501,B11,$A$2:$A$501,A11,$E$2:$E$501,"sim",$C$2:$C$501,"&lt;"&amp;J11,$J$2:$J$501,"&gt;"&amp;C11)-1))</x:f>
        <x:v>0</x:v>
      </x:c>
      <x:c r="M11" s="2" t="str">
        <x:f>IF(A11="","",IF(E11&lt;&gt;"sim","Revisar escala",IF(OR(K11&gt;0,L11&gt;0),"Conflito de escala",IF(COUNTIFS('Solicitacoes'!$F$2:$F$501,B11,'Solicitacoes'!$K$2:$K$501,F11,'Solicitacoes'!$I$2:$I$501,"pendente",'Solicitacoes'!$G$2:$G$501,"&lt;"&amp;J11,'Solicitacoes'!$N$2:$N$501,"&gt;"&amp;C11)+COUNTIFS('Solicitacoes'!$F$2:$F$501,B11,'Solicitacoes'!$E$2:$E$501,A11,'Solicitacoes'!$I$2:$I$501,"pendente",'Solicitacoes'!$G$2:$G$501,"&lt;"&amp;J11,'Solicitacoes'!$N$2:$N$501,"&gt;"&amp;C11)+COUNTIFS('Solicitacoes'!$F$2:$F$501,B11,'Solicitacoes'!$K$2:$K$501,F11,'Solicitacoes'!$I$2:$I$501,"confirmado",'Solicitacoes'!$G$2:$G$501,"&lt;"&amp;J11,'Solicitacoes'!$N$2:$N$501,"&gt;"&amp;C11)+COUNTIFS('Solicitacoes'!$F$2:$F$501,B11,'Solicitacoes'!$E$2:$E$501,A11,'Solicitacoes'!$I$2:$I$501,"confirmado",'Solicitacoes'!$G$2:$G$501,"&lt;"&amp;J11,'Solicitacoes'!$N$2:$N$501,"&gt;"&amp;C11)&gt;0,"Ocupado","Disponível"))))</x:f>
        <x:v>Revisar escala</x:v>
      </x:c>
      <x:c r="N11" s="2" t="n">
        <x:f>IF(A11="","",ROW()-1)</x:f>
        <x:v>10</x:v>
      </x:c>
    </x:row>
    <x:row r="12" ht="24" customHeight="1">
      <x:c r="A12" s="13" t="str">
        <x:v>Laura Casanova</x:v>
      </x:c>
      <x:c r="B12" s="14" t="d">
        <x:v>2026-10-05T00:00:00.000Z</x:v>
      </x:c>
      <x:c r="C12" s="26" t="n">
        <x:v>0.5833333333333334</x:v>
      </x:c>
      <x:c r="D12" s="13" t="str">
        <x:v>presencial</x:v>
      </x:c>
      <x:c r="E12" s="13" t="str">
        <x:v>não</x:v>
      </x:c>
      <x:c r="F12" s="13" t="str">
        <x:v>Sala 1</x:v>
      </x:c>
      <x:c r="G12" s="12" t="n">
        <x:f>IF(A12="","",'Agenda'!$B$5)</x:f>
        <x:v>50</x:v>
      </x:c>
      <x:c r="H12" s="12" t="n">
        <x:f>IF(A12="","",'Agenda'!$B$6)</x:f>
        <x:v>10</x:v>
      </x:c>
      <x:c r="I12" s="24" t="n">
        <x:f>IF(A12="","",C12+G12/1440)</x:f>
        <x:v>0.6180555555555556</x:v>
      </x:c>
      <x:c r="J12" s="24" t="n">
        <x:f>IF(A12="","",C12+(G12+H12)/1440)</x:f>
        <x:v>0.625</x:v>
      </x:c>
      <x:c r="K12" s="27" t="n">
        <x:f>IF(A12="","",IF(E12&lt;&gt;"sim",0,COUNTIFS($B$2:$B$501,B12,$F$2:$F$501,F12,$E$2:$E$501,"sim",$C$2:$C$501,"&lt;"&amp;J12,$J$2:$J$501,"&gt;"&amp;C12)-1))</x:f>
        <x:v>0</x:v>
      </x:c>
      <x:c r="L12" s="27" t="n">
        <x:f>IF(A12="","",IF(E12&lt;&gt;"sim",0,COUNTIFS($B$2:$B$501,B12,$A$2:$A$501,A12,$E$2:$E$501,"sim",$C$2:$C$501,"&lt;"&amp;J12,$J$2:$J$501,"&gt;"&amp;C12)-1))</x:f>
        <x:v>0</x:v>
      </x:c>
      <x:c r="M12" s="2" t="str">
        <x:f>IF(A12="","",IF(E12&lt;&gt;"sim","Revisar escala",IF(OR(K12&gt;0,L12&gt;0),"Conflito de escala",IF(COUNTIFS('Solicitacoes'!$F$2:$F$501,B12,'Solicitacoes'!$K$2:$K$501,F12,'Solicitacoes'!$I$2:$I$501,"pendente",'Solicitacoes'!$G$2:$G$501,"&lt;"&amp;J12,'Solicitacoes'!$N$2:$N$501,"&gt;"&amp;C12)+COUNTIFS('Solicitacoes'!$F$2:$F$501,B12,'Solicitacoes'!$E$2:$E$501,A12,'Solicitacoes'!$I$2:$I$501,"pendente",'Solicitacoes'!$G$2:$G$501,"&lt;"&amp;J12,'Solicitacoes'!$N$2:$N$501,"&gt;"&amp;C12)+COUNTIFS('Solicitacoes'!$F$2:$F$501,B12,'Solicitacoes'!$K$2:$K$501,F12,'Solicitacoes'!$I$2:$I$501,"confirmado",'Solicitacoes'!$G$2:$G$501,"&lt;"&amp;J12,'Solicitacoes'!$N$2:$N$501,"&gt;"&amp;C12)+COUNTIFS('Solicitacoes'!$F$2:$F$501,B12,'Solicitacoes'!$E$2:$E$501,A12,'Solicitacoes'!$I$2:$I$501,"confirmado",'Solicitacoes'!$G$2:$G$501,"&lt;"&amp;J12,'Solicitacoes'!$N$2:$N$501,"&gt;"&amp;C12)&gt;0,"Ocupado","Disponível"))))</x:f>
        <x:v>Revisar escala</x:v>
      </x:c>
      <x:c r="N12" s="2" t="n">
        <x:f>IF(A12="","",ROW()-1)</x:f>
        <x:v>11</x:v>
      </x:c>
    </x:row>
    <x:row r="13" ht="24" customHeight="1">
      <x:c r="A13" s="13" t="str">
        <x:v>Aline Reis</x:v>
      </x:c>
      <x:c r="B13" s="14" t="d">
        <x:v>2026-10-05T00:00:00.000Z</x:v>
      </x:c>
      <x:c r="C13" s="26" t="n">
        <x:v>0.5833333333333334</x:v>
      </x:c>
      <x:c r="D13" s="13" t="str">
        <x:v>presencial</x:v>
      </x:c>
      <x:c r="E13" s="13" t="str">
        <x:v>não</x:v>
      </x:c>
      <x:c r="F13" s="13" t="str">
        <x:v>Sala 2</x:v>
      </x:c>
      <x:c r="G13" s="12" t="n">
        <x:f>IF(A13="","",'Agenda'!$B$5)</x:f>
        <x:v>50</x:v>
      </x:c>
      <x:c r="H13" s="12" t="n">
        <x:f>IF(A13="","",'Agenda'!$B$6)</x:f>
        <x:v>10</x:v>
      </x:c>
      <x:c r="I13" s="24" t="n">
        <x:f>IF(A13="","",C13+G13/1440)</x:f>
        <x:v>0.6180555555555556</x:v>
      </x:c>
      <x:c r="J13" s="24" t="n">
        <x:f>IF(A13="","",C13+(G13+H13)/1440)</x:f>
        <x:v>0.625</x:v>
      </x:c>
      <x:c r="K13" s="27" t="n">
        <x:f>IF(A13="","",IF(E13&lt;&gt;"sim",0,COUNTIFS($B$2:$B$501,B13,$F$2:$F$501,F13,$E$2:$E$501,"sim",$C$2:$C$501,"&lt;"&amp;J13,$J$2:$J$501,"&gt;"&amp;C13)-1))</x:f>
        <x:v>0</x:v>
      </x:c>
      <x:c r="L13" s="27" t="n">
        <x:f>IF(A13="","",IF(E13&lt;&gt;"sim",0,COUNTIFS($B$2:$B$501,B13,$A$2:$A$501,A13,$E$2:$E$501,"sim",$C$2:$C$501,"&lt;"&amp;J13,$J$2:$J$501,"&gt;"&amp;C13)-1))</x:f>
        <x:v>0</x:v>
      </x:c>
      <x:c r="M13" s="2" t="str">
        <x:f>IF(A13="","",IF(E13&lt;&gt;"sim","Revisar escala",IF(OR(K13&gt;0,L13&gt;0),"Conflito de escala",IF(COUNTIFS('Solicitacoes'!$F$2:$F$501,B13,'Solicitacoes'!$K$2:$K$501,F13,'Solicitacoes'!$I$2:$I$501,"pendente",'Solicitacoes'!$G$2:$G$501,"&lt;"&amp;J13,'Solicitacoes'!$N$2:$N$501,"&gt;"&amp;C13)+COUNTIFS('Solicitacoes'!$F$2:$F$501,B13,'Solicitacoes'!$E$2:$E$501,A13,'Solicitacoes'!$I$2:$I$501,"pendente",'Solicitacoes'!$G$2:$G$501,"&lt;"&amp;J13,'Solicitacoes'!$N$2:$N$501,"&gt;"&amp;C13)+COUNTIFS('Solicitacoes'!$F$2:$F$501,B13,'Solicitacoes'!$K$2:$K$501,F13,'Solicitacoes'!$I$2:$I$501,"confirmado",'Solicitacoes'!$G$2:$G$501,"&lt;"&amp;J13,'Solicitacoes'!$N$2:$N$501,"&gt;"&amp;C13)+COUNTIFS('Solicitacoes'!$F$2:$F$501,B13,'Solicitacoes'!$E$2:$E$501,A13,'Solicitacoes'!$I$2:$I$501,"confirmado",'Solicitacoes'!$G$2:$G$501,"&lt;"&amp;J13,'Solicitacoes'!$N$2:$N$501,"&gt;"&amp;C13)&gt;0,"Ocupado","Disponível"))))</x:f>
        <x:v>Revisar escala</x:v>
      </x:c>
      <x:c r="N13" s="2" t="n">
        <x:f>IF(A13="","",ROW()-1)</x:f>
        <x:v>12</x:v>
      </x:c>
    </x:row>
    <x:row r="14" ht="24" customHeight="1">
      <x:c r="A14" s="13" t="str">
        <x:v>Laura Casanova</x:v>
      </x:c>
      <x:c r="B14" s="14" t="d">
        <x:v>2026-10-05T00:00:00.000Z</x:v>
      </x:c>
      <x:c r="C14" s="26" t="n">
        <x:v>0.625</x:v>
      </x:c>
      <x:c r="D14" s="13" t="str">
        <x:v>presencial</x:v>
      </x:c>
      <x:c r="E14" s="13" t="str">
        <x:v>não</x:v>
      </x:c>
      <x:c r="F14" s="13" t="str">
        <x:v>Sala 1</x:v>
      </x:c>
      <x:c r="G14" s="12" t="n">
        <x:f>IF(A14="","",'Agenda'!$B$5)</x:f>
        <x:v>50</x:v>
      </x:c>
      <x:c r="H14" s="12" t="n">
        <x:f>IF(A14="","",'Agenda'!$B$6)</x:f>
        <x:v>10</x:v>
      </x:c>
      <x:c r="I14" s="24" t="n">
        <x:f>IF(A14="","",C14+G14/1440)</x:f>
        <x:v>0.6597222222222222</x:v>
      </x:c>
      <x:c r="J14" s="24" t="n">
        <x:f>IF(A14="","",C14+(G14+H14)/1440)</x:f>
        <x:v>0.6666666666666666</x:v>
      </x:c>
      <x:c r="K14" s="27" t="n">
        <x:f>IF(A14="","",IF(E14&lt;&gt;"sim",0,COUNTIFS($B$2:$B$501,B14,$F$2:$F$501,F14,$E$2:$E$501,"sim",$C$2:$C$501,"&lt;"&amp;J14,$J$2:$J$501,"&gt;"&amp;C14)-1))</x:f>
        <x:v>0</x:v>
      </x:c>
      <x:c r="L14" s="27" t="n">
        <x:f>IF(A14="","",IF(E14&lt;&gt;"sim",0,COUNTIFS($B$2:$B$501,B14,$A$2:$A$501,A14,$E$2:$E$501,"sim",$C$2:$C$501,"&lt;"&amp;J14,$J$2:$J$501,"&gt;"&amp;C14)-1))</x:f>
        <x:v>0</x:v>
      </x:c>
      <x:c r="M14" s="2" t="str">
        <x:f>IF(A14="","",IF(E14&lt;&gt;"sim","Revisar escala",IF(OR(K14&gt;0,L14&gt;0),"Conflito de escala",IF(COUNTIFS('Solicitacoes'!$F$2:$F$501,B14,'Solicitacoes'!$K$2:$K$501,F14,'Solicitacoes'!$I$2:$I$501,"pendente",'Solicitacoes'!$G$2:$G$501,"&lt;"&amp;J14,'Solicitacoes'!$N$2:$N$501,"&gt;"&amp;C14)+COUNTIFS('Solicitacoes'!$F$2:$F$501,B14,'Solicitacoes'!$E$2:$E$501,A14,'Solicitacoes'!$I$2:$I$501,"pendente",'Solicitacoes'!$G$2:$G$501,"&lt;"&amp;J14,'Solicitacoes'!$N$2:$N$501,"&gt;"&amp;C14)+COUNTIFS('Solicitacoes'!$F$2:$F$501,B14,'Solicitacoes'!$K$2:$K$501,F14,'Solicitacoes'!$I$2:$I$501,"confirmado",'Solicitacoes'!$G$2:$G$501,"&lt;"&amp;J14,'Solicitacoes'!$N$2:$N$501,"&gt;"&amp;C14)+COUNTIFS('Solicitacoes'!$F$2:$F$501,B14,'Solicitacoes'!$E$2:$E$501,A14,'Solicitacoes'!$I$2:$I$501,"confirmado",'Solicitacoes'!$G$2:$G$501,"&lt;"&amp;J14,'Solicitacoes'!$N$2:$N$501,"&gt;"&amp;C14)&gt;0,"Ocupado","Disponível"))))</x:f>
        <x:v>Revisar escala</x:v>
      </x:c>
      <x:c r="N14" s="2" t="n">
        <x:f>IF(A14="","",ROW()-1)</x:f>
        <x:v>13</x:v>
      </x:c>
    </x:row>
    <x:row r="15" ht="24" customHeight="1">
      <x:c r="A15" s="13" t="str">
        <x:v>Aline Reis</x:v>
      </x:c>
      <x:c r="B15" s="14" t="d">
        <x:v>2026-10-05T00:00:00.000Z</x:v>
      </x:c>
      <x:c r="C15" s="26" t="n">
        <x:v>0.625</x:v>
      </x:c>
      <x:c r="D15" s="13" t="str">
        <x:v>presencial</x:v>
      </x:c>
      <x:c r="E15" s="13" t="str">
        <x:v>não</x:v>
      </x:c>
      <x:c r="F15" s="13" t="str">
        <x:v>Sala 2</x:v>
      </x:c>
      <x:c r="G15" s="12" t="n">
        <x:f>IF(A15="","",'Agenda'!$B$5)</x:f>
        <x:v>50</x:v>
      </x:c>
      <x:c r="H15" s="12" t="n">
        <x:f>IF(A15="","",'Agenda'!$B$6)</x:f>
        <x:v>10</x:v>
      </x:c>
      <x:c r="I15" s="24" t="n">
        <x:f>IF(A15="","",C15+G15/1440)</x:f>
        <x:v>0.6597222222222222</x:v>
      </x:c>
      <x:c r="J15" s="24" t="n">
        <x:f>IF(A15="","",C15+(G15+H15)/1440)</x:f>
        <x:v>0.6666666666666666</x:v>
      </x:c>
      <x:c r="K15" s="27" t="n">
        <x:f>IF(A15="","",IF(E15&lt;&gt;"sim",0,COUNTIFS($B$2:$B$501,B15,$F$2:$F$501,F15,$E$2:$E$501,"sim",$C$2:$C$501,"&lt;"&amp;J15,$J$2:$J$501,"&gt;"&amp;C15)-1))</x:f>
        <x:v>0</x:v>
      </x:c>
      <x:c r="L15" s="27" t="n">
        <x:f>IF(A15="","",IF(E15&lt;&gt;"sim",0,COUNTIFS($B$2:$B$501,B15,$A$2:$A$501,A15,$E$2:$E$501,"sim",$C$2:$C$501,"&lt;"&amp;J15,$J$2:$J$501,"&gt;"&amp;C15)-1))</x:f>
        <x:v>0</x:v>
      </x:c>
      <x:c r="M15" s="2" t="str">
        <x:f>IF(A15="","",IF(E15&lt;&gt;"sim","Revisar escala",IF(OR(K15&gt;0,L15&gt;0),"Conflito de escala",IF(COUNTIFS('Solicitacoes'!$F$2:$F$501,B15,'Solicitacoes'!$K$2:$K$501,F15,'Solicitacoes'!$I$2:$I$501,"pendente",'Solicitacoes'!$G$2:$G$501,"&lt;"&amp;J15,'Solicitacoes'!$N$2:$N$501,"&gt;"&amp;C15)+COUNTIFS('Solicitacoes'!$F$2:$F$501,B15,'Solicitacoes'!$E$2:$E$501,A15,'Solicitacoes'!$I$2:$I$501,"pendente",'Solicitacoes'!$G$2:$G$501,"&lt;"&amp;J15,'Solicitacoes'!$N$2:$N$501,"&gt;"&amp;C15)+COUNTIFS('Solicitacoes'!$F$2:$F$501,B15,'Solicitacoes'!$K$2:$K$501,F15,'Solicitacoes'!$I$2:$I$501,"confirmado",'Solicitacoes'!$G$2:$G$501,"&lt;"&amp;J15,'Solicitacoes'!$N$2:$N$501,"&gt;"&amp;C15)+COUNTIFS('Solicitacoes'!$F$2:$F$501,B15,'Solicitacoes'!$E$2:$E$501,A15,'Solicitacoes'!$I$2:$I$501,"confirmado",'Solicitacoes'!$G$2:$G$501,"&lt;"&amp;J15,'Solicitacoes'!$N$2:$N$501,"&gt;"&amp;C15)&gt;0,"Ocupado","Disponível"))))</x:f>
        <x:v>Revisar escala</x:v>
      </x:c>
      <x:c r="N15" s="2" t="n">
        <x:f>IF(A15="","",ROW()-1)</x:f>
        <x:v>14</x:v>
      </x:c>
    </x:row>
    <x:row r="16" ht="24" customHeight="1">
      <x:c r="A16" s="13" t="str">
        <x:v>Laura Casanova</x:v>
      </x:c>
      <x:c r="B16" s="14" t="d">
        <x:v>2026-10-05T00:00:00.000Z</x:v>
      </x:c>
      <x:c r="C16" s="26" t="n">
        <x:v>0.6666666666666666</x:v>
      </x:c>
      <x:c r="D16" s="13" t="str">
        <x:v>presencial</x:v>
      </x:c>
      <x:c r="E16" s="13" t="str">
        <x:v>não</x:v>
      </x:c>
      <x:c r="F16" s="13" t="str">
        <x:v>Sala 1</x:v>
      </x:c>
      <x:c r="G16" s="12" t="n">
        <x:f>IF(A16="","",'Agenda'!$B$5)</x:f>
        <x:v>50</x:v>
      </x:c>
      <x:c r="H16" s="12" t="n">
        <x:f>IF(A16="","",'Agenda'!$B$6)</x:f>
        <x:v>10</x:v>
      </x:c>
      <x:c r="I16" s="24" t="n">
        <x:f>IF(A16="","",C16+G16/1440)</x:f>
        <x:v>0.7013888888888888</x:v>
      </x:c>
      <x:c r="J16" s="24" t="n">
        <x:f>IF(A16="","",C16+(G16+H16)/1440)</x:f>
        <x:v>0.7083333333333333</x:v>
      </x:c>
      <x:c r="K16" s="27" t="n">
        <x:f>IF(A16="","",IF(E16&lt;&gt;"sim",0,COUNTIFS($B$2:$B$501,B16,$F$2:$F$501,F16,$E$2:$E$501,"sim",$C$2:$C$501,"&lt;"&amp;J16,$J$2:$J$501,"&gt;"&amp;C16)-1))</x:f>
        <x:v>0</x:v>
      </x:c>
      <x:c r="L16" s="27" t="n">
        <x:f>IF(A16="","",IF(E16&lt;&gt;"sim",0,COUNTIFS($B$2:$B$501,B16,$A$2:$A$501,A16,$E$2:$E$501,"sim",$C$2:$C$501,"&lt;"&amp;J16,$J$2:$J$501,"&gt;"&amp;C16)-1))</x:f>
        <x:v>0</x:v>
      </x:c>
      <x:c r="M16" s="2" t="str">
        <x:f>IF(A16="","",IF(E16&lt;&gt;"sim","Revisar escala",IF(OR(K16&gt;0,L16&gt;0),"Conflito de escala",IF(COUNTIFS('Solicitacoes'!$F$2:$F$501,B16,'Solicitacoes'!$K$2:$K$501,F16,'Solicitacoes'!$I$2:$I$501,"pendente",'Solicitacoes'!$G$2:$G$501,"&lt;"&amp;J16,'Solicitacoes'!$N$2:$N$501,"&gt;"&amp;C16)+COUNTIFS('Solicitacoes'!$F$2:$F$501,B16,'Solicitacoes'!$E$2:$E$501,A16,'Solicitacoes'!$I$2:$I$501,"pendente",'Solicitacoes'!$G$2:$G$501,"&lt;"&amp;J16,'Solicitacoes'!$N$2:$N$501,"&gt;"&amp;C16)+COUNTIFS('Solicitacoes'!$F$2:$F$501,B16,'Solicitacoes'!$K$2:$K$501,F16,'Solicitacoes'!$I$2:$I$501,"confirmado",'Solicitacoes'!$G$2:$G$501,"&lt;"&amp;J16,'Solicitacoes'!$N$2:$N$501,"&gt;"&amp;C16)+COUNTIFS('Solicitacoes'!$F$2:$F$501,B16,'Solicitacoes'!$E$2:$E$501,A16,'Solicitacoes'!$I$2:$I$501,"confirmado",'Solicitacoes'!$G$2:$G$501,"&lt;"&amp;J16,'Solicitacoes'!$N$2:$N$501,"&gt;"&amp;C16)&gt;0,"Ocupado","Disponível"))))</x:f>
        <x:v>Revisar escala</x:v>
      </x:c>
      <x:c r="N16" s="2" t="n">
        <x:f>IF(A16="","",ROW()-1)</x:f>
        <x:v>15</x:v>
      </x:c>
    </x:row>
    <x:row r="17" ht="24" customHeight="1">
      <x:c r="A17" s="13" t="str">
        <x:v>Aline Reis</x:v>
      </x:c>
      <x:c r="B17" s="14" t="d">
        <x:v>2026-10-05T00:00:00.000Z</x:v>
      </x:c>
      <x:c r="C17" s="26" t="n">
        <x:v>0.6666666666666666</x:v>
      </x:c>
      <x:c r="D17" s="13" t="str">
        <x:v>presencial</x:v>
      </x:c>
      <x:c r="E17" s="13" t="str">
        <x:v>não</x:v>
      </x:c>
      <x:c r="F17" s="13" t="str">
        <x:v>Sala 2</x:v>
      </x:c>
      <x:c r="G17" s="12" t="n">
        <x:f>IF(A17="","",'Agenda'!$B$5)</x:f>
        <x:v>50</x:v>
      </x:c>
      <x:c r="H17" s="12" t="n">
        <x:f>IF(A17="","",'Agenda'!$B$6)</x:f>
        <x:v>10</x:v>
      </x:c>
      <x:c r="I17" s="24" t="n">
        <x:f>IF(A17="","",C17+G17/1440)</x:f>
        <x:v>0.7013888888888888</x:v>
      </x:c>
      <x:c r="J17" s="24" t="n">
        <x:f>IF(A17="","",C17+(G17+H17)/1440)</x:f>
        <x:v>0.7083333333333333</x:v>
      </x:c>
      <x:c r="K17" s="27" t="n">
        <x:f>IF(A17="","",IF(E17&lt;&gt;"sim",0,COUNTIFS($B$2:$B$501,B17,$F$2:$F$501,F17,$E$2:$E$501,"sim",$C$2:$C$501,"&lt;"&amp;J17,$J$2:$J$501,"&gt;"&amp;C17)-1))</x:f>
        <x:v>0</x:v>
      </x:c>
      <x:c r="L17" s="27" t="n">
        <x:f>IF(A17="","",IF(E17&lt;&gt;"sim",0,COUNTIFS($B$2:$B$501,B17,$A$2:$A$501,A17,$E$2:$E$501,"sim",$C$2:$C$501,"&lt;"&amp;J17,$J$2:$J$501,"&gt;"&amp;C17)-1))</x:f>
        <x:v>0</x:v>
      </x:c>
      <x:c r="M17" s="2" t="str">
        <x:f>IF(A17="","",IF(E17&lt;&gt;"sim","Revisar escala",IF(OR(K17&gt;0,L17&gt;0),"Conflito de escala",IF(COUNTIFS('Solicitacoes'!$F$2:$F$501,B17,'Solicitacoes'!$K$2:$K$501,F17,'Solicitacoes'!$I$2:$I$501,"pendente",'Solicitacoes'!$G$2:$G$501,"&lt;"&amp;J17,'Solicitacoes'!$N$2:$N$501,"&gt;"&amp;C17)+COUNTIFS('Solicitacoes'!$F$2:$F$501,B17,'Solicitacoes'!$E$2:$E$501,A17,'Solicitacoes'!$I$2:$I$501,"pendente",'Solicitacoes'!$G$2:$G$501,"&lt;"&amp;J17,'Solicitacoes'!$N$2:$N$501,"&gt;"&amp;C17)+COUNTIFS('Solicitacoes'!$F$2:$F$501,B17,'Solicitacoes'!$K$2:$K$501,F17,'Solicitacoes'!$I$2:$I$501,"confirmado",'Solicitacoes'!$G$2:$G$501,"&lt;"&amp;J17,'Solicitacoes'!$N$2:$N$501,"&gt;"&amp;C17)+COUNTIFS('Solicitacoes'!$F$2:$F$501,B17,'Solicitacoes'!$E$2:$E$501,A17,'Solicitacoes'!$I$2:$I$501,"confirmado",'Solicitacoes'!$G$2:$G$501,"&lt;"&amp;J17,'Solicitacoes'!$N$2:$N$501,"&gt;"&amp;C17)&gt;0,"Ocupado","Disponível"))))</x:f>
        <x:v>Revisar escala</x:v>
      </x:c>
      <x:c r="N17" s="2" t="n">
        <x:f>IF(A17="","",ROW()-1)</x:f>
        <x:v>16</x:v>
      </x:c>
    </x:row>
    <x:row r="18" ht="24" customHeight="1">
      <x:c r="A18" s="13" t="str">
        <x:v>Laura Casanova</x:v>
      </x:c>
      <x:c r="B18" s="14" t="d">
        <x:v>2026-10-05T00:00:00.000Z</x:v>
      </x:c>
      <x:c r="C18" s="26" t="n">
        <x:v>0.7083333333333334</x:v>
      </x:c>
      <x:c r="D18" s="13" t="str">
        <x:v>presencial</x:v>
      </x:c>
      <x:c r="E18" s="13" t="str">
        <x:v>não</x:v>
      </x:c>
      <x:c r="F18" s="13" t="str">
        <x:v>Sala 1</x:v>
      </x:c>
      <x:c r="G18" s="12" t="n">
        <x:f>IF(A18="","",'Agenda'!$B$5)</x:f>
        <x:v>50</x:v>
      </x:c>
      <x:c r="H18" s="12" t="n">
        <x:f>IF(A18="","",'Agenda'!$B$6)</x:f>
        <x:v>10</x:v>
      </x:c>
      <x:c r="I18" s="24" t="n">
        <x:f>IF(A18="","",C18+G18/1440)</x:f>
        <x:v>0.7430555555555556</x:v>
      </x:c>
      <x:c r="J18" s="24" t="n">
        <x:f>IF(A18="","",C18+(G18+H18)/1440)</x:f>
        <x:v>0.75</x:v>
      </x:c>
      <x:c r="K18" s="27" t="n">
        <x:f>IF(A18="","",IF(E18&lt;&gt;"sim",0,COUNTIFS($B$2:$B$501,B18,$F$2:$F$501,F18,$E$2:$E$501,"sim",$C$2:$C$501,"&lt;"&amp;J18,$J$2:$J$501,"&gt;"&amp;C18)-1))</x:f>
        <x:v>0</x:v>
      </x:c>
      <x:c r="L18" s="27" t="n">
        <x:f>IF(A18="","",IF(E18&lt;&gt;"sim",0,COUNTIFS($B$2:$B$501,B18,$A$2:$A$501,A18,$E$2:$E$501,"sim",$C$2:$C$501,"&lt;"&amp;J18,$J$2:$J$501,"&gt;"&amp;C18)-1))</x:f>
        <x:v>0</x:v>
      </x:c>
      <x:c r="M18" s="2" t="str">
        <x:f>IF(A18="","",IF(E18&lt;&gt;"sim","Revisar escala",IF(OR(K18&gt;0,L18&gt;0),"Conflito de escala",IF(COUNTIFS('Solicitacoes'!$F$2:$F$501,B18,'Solicitacoes'!$K$2:$K$501,F18,'Solicitacoes'!$I$2:$I$501,"pendente",'Solicitacoes'!$G$2:$G$501,"&lt;"&amp;J18,'Solicitacoes'!$N$2:$N$501,"&gt;"&amp;C18)+COUNTIFS('Solicitacoes'!$F$2:$F$501,B18,'Solicitacoes'!$E$2:$E$501,A18,'Solicitacoes'!$I$2:$I$501,"pendente",'Solicitacoes'!$G$2:$G$501,"&lt;"&amp;J18,'Solicitacoes'!$N$2:$N$501,"&gt;"&amp;C18)+COUNTIFS('Solicitacoes'!$F$2:$F$501,B18,'Solicitacoes'!$K$2:$K$501,F18,'Solicitacoes'!$I$2:$I$501,"confirmado",'Solicitacoes'!$G$2:$G$501,"&lt;"&amp;J18,'Solicitacoes'!$N$2:$N$501,"&gt;"&amp;C18)+COUNTIFS('Solicitacoes'!$F$2:$F$501,B18,'Solicitacoes'!$E$2:$E$501,A18,'Solicitacoes'!$I$2:$I$501,"confirmado",'Solicitacoes'!$G$2:$G$501,"&lt;"&amp;J18,'Solicitacoes'!$N$2:$N$501,"&gt;"&amp;C18)&gt;0,"Ocupado","Disponível"))))</x:f>
        <x:v>Revisar escala</x:v>
      </x:c>
      <x:c r="N18" s="2" t="n">
        <x:f>IF(A18="","",ROW()-1)</x:f>
        <x:v>17</x:v>
      </x:c>
    </x:row>
    <x:row r="19" ht="24" customHeight="1">
      <x:c r="A19" s="13" t="str">
        <x:v>Aline Reis</x:v>
      </x:c>
      <x:c r="B19" s="14" t="d">
        <x:v>2026-10-05T00:00:00.000Z</x:v>
      </x:c>
      <x:c r="C19" s="26" t="n">
        <x:v>0.7083333333333334</x:v>
      </x:c>
      <x:c r="D19" s="13" t="str">
        <x:v>presencial</x:v>
      </x:c>
      <x:c r="E19" s="13" t="str">
        <x:v>não</x:v>
      </x:c>
      <x:c r="F19" s="13" t="str">
        <x:v>Sala 2</x:v>
      </x:c>
      <x:c r="G19" s="12" t="n">
        <x:f>IF(A19="","",'Agenda'!$B$5)</x:f>
        <x:v>50</x:v>
      </x:c>
      <x:c r="H19" s="12" t="n">
        <x:f>IF(A19="","",'Agenda'!$B$6)</x:f>
        <x:v>10</x:v>
      </x:c>
      <x:c r="I19" s="24" t="n">
        <x:f>IF(A19="","",C19+G19/1440)</x:f>
        <x:v>0.7430555555555556</x:v>
      </x:c>
      <x:c r="J19" s="24" t="n">
        <x:f>IF(A19="","",C19+(G19+H19)/1440)</x:f>
        <x:v>0.75</x:v>
      </x:c>
      <x:c r="K19" s="27" t="n">
        <x:f>IF(A19="","",IF(E19&lt;&gt;"sim",0,COUNTIFS($B$2:$B$501,B19,$F$2:$F$501,F19,$E$2:$E$501,"sim",$C$2:$C$501,"&lt;"&amp;J19,$J$2:$J$501,"&gt;"&amp;C19)-1))</x:f>
        <x:v>0</x:v>
      </x:c>
      <x:c r="L19" s="27" t="n">
        <x:f>IF(A19="","",IF(E19&lt;&gt;"sim",0,COUNTIFS($B$2:$B$501,B19,$A$2:$A$501,A19,$E$2:$E$501,"sim",$C$2:$C$501,"&lt;"&amp;J19,$J$2:$J$501,"&gt;"&amp;C19)-1))</x:f>
        <x:v>0</x:v>
      </x:c>
      <x:c r="M19" s="2" t="str">
        <x:f>IF(A19="","",IF(E19&lt;&gt;"sim","Revisar escala",IF(OR(K19&gt;0,L19&gt;0),"Conflito de escala",IF(COUNTIFS('Solicitacoes'!$F$2:$F$501,B19,'Solicitacoes'!$K$2:$K$501,F19,'Solicitacoes'!$I$2:$I$501,"pendente",'Solicitacoes'!$G$2:$G$501,"&lt;"&amp;J19,'Solicitacoes'!$N$2:$N$501,"&gt;"&amp;C19)+COUNTIFS('Solicitacoes'!$F$2:$F$501,B19,'Solicitacoes'!$E$2:$E$501,A19,'Solicitacoes'!$I$2:$I$501,"pendente",'Solicitacoes'!$G$2:$G$501,"&lt;"&amp;J19,'Solicitacoes'!$N$2:$N$501,"&gt;"&amp;C19)+COUNTIFS('Solicitacoes'!$F$2:$F$501,B19,'Solicitacoes'!$K$2:$K$501,F19,'Solicitacoes'!$I$2:$I$501,"confirmado",'Solicitacoes'!$G$2:$G$501,"&lt;"&amp;J19,'Solicitacoes'!$N$2:$N$501,"&gt;"&amp;C19)+COUNTIFS('Solicitacoes'!$F$2:$F$501,B19,'Solicitacoes'!$E$2:$E$501,A19,'Solicitacoes'!$I$2:$I$501,"confirmado",'Solicitacoes'!$G$2:$G$501,"&lt;"&amp;J19,'Solicitacoes'!$N$2:$N$501,"&gt;"&amp;C19)&gt;0,"Ocupado","Disponível"))))</x:f>
        <x:v>Revisar escala</x:v>
      </x:c>
      <x:c r="N19" s="2" t="n">
        <x:f>IF(A19="","",ROW()-1)</x:f>
        <x:v>18</x:v>
      </x:c>
    </x:row>
    <x:row r="20" ht="24" customHeight="1">
      <x:c r="A20" s="13" t="str">
        <x:v>Laura Casanova</x:v>
      </x:c>
      <x:c r="B20" s="14" t="d">
        <x:v>2026-10-05T00:00:00.000Z</x:v>
      </x:c>
      <x:c r="C20" s="26" t="n">
        <x:v>0.75</x:v>
      </x:c>
      <x:c r="D20" s="13" t="str">
        <x:v>presencial</x:v>
      </x:c>
      <x:c r="E20" s="13" t="str">
        <x:v>não</x:v>
      </x:c>
      <x:c r="F20" s="13" t="str">
        <x:v>Sala 1</x:v>
      </x:c>
      <x:c r="G20" s="12" t="n">
        <x:f>IF(A20="","",'Agenda'!$B$5)</x:f>
        <x:v>50</x:v>
      </x:c>
      <x:c r="H20" s="12" t="n">
        <x:f>IF(A20="","",'Agenda'!$B$6)</x:f>
        <x:v>10</x:v>
      </x:c>
      <x:c r="I20" s="24" t="n">
        <x:f>IF(A20="","",C20+G20/1440)</x:f>
        <x:v>0.7847222222222222</x:v>
      </x:c>
      <x:c r="J20" s="24" t="n">
        <x:f>IF(A20="","",C20+(G20+H20)/1440)</x:f>
        <x:v>0.7916666666666666</x:v>
      </x:c>
      <x:c r="K20" s="27" t="n">
        <x:f>IF(A20="","",IF(E20&lt;&gt;"sim",0,COUNTIFS($B$2:$B$501,B20,$F$2:$F$501,F20,$E$2:$E$501,"sim",$C$2:$C$501,"&lt;"&amp;J20,$J$2:$J$501,"&gt;"&amp;C20)-1))</x:f>
        <x:v>0</x:v>
      </x:c>
      <x:c r="L20" s="27" t="n">
        <x:f>IF(A20="","",IF(E20&lt;&gt;"sim",0,COUNTIFS($B$2:$B$501,B20,$A$2:$A$501,A20,$E$2:$E$501,"sim",$C$2:$C$501,"&lt;"&amp;J20,$J$2:$J$501,"&gt;"&amp;C20)-1))</x:f>
        <x:v>0</x:v>
      </x:c>
      <x:c r="M20" s="2" t="str">
        <x:f>IF(A20="","",IF(E20&lt;&gt;"sim","Revisar escala",IF(OR(K20&gt;0,L20&gt;0),"Conflito de escala",IF(COUNTIFS('Solicitacoes'!$F$2:$F$501,B20,'Solicitacoes'!$K$2:$K$501,F20,'Solicitacoes'!$I$2:$I$501,"pendente",'Solicitacoes'!$G$2:$G$501,"&lt;"&amp;J20,'Solicitacoes'!$N$2:$N$501,"&gt;"&amp;C20)+COUNTIFS('Solicitacoes'!$F$2:$F$501,B20,'Solicitacoes'!$E$2:$E$501,A20,'Solicitacoes'!$I$2:$I$501,"pendente",'Solicitacoes'!$G$2:$G$501,"&lt;"&amp;J20,'Solicitacoes'!$N$2:$N$501,"&gt;"&amp;C20)+COUNTIFS('Solicitacoes'!$F$2:$F$501,B20,'Solicitacoes'!$K$2:$K$501,F20,'Solicitacoes'!$I$2:$I$501,"confirmado",'Solicitacoes'!$G$2:$G$501,"&lt;"&amp;J20,'Solicitacoes'!$N$2:$N$501,"&gt;"&amp;C20)+COUNTIFS('Solicitacoes'!$F$2:$F$501,B20,'Solicitacoes'!$E$2:$E$501,A20,'Solicitacoes'!$I$2:$I$501,"confirmado",'Solicitacoes'!$G$2:$G$501,"&lt;"&amp;J20,'Solicitacoes'!$N$2:$N$501,"&gt;"&amp;C20)&gt;0,"Ocupado","Disponível"))))</x:f>
        <x:v>Revisar escala</x:v>
      </x:c>
      <x:c r="N20" s="2" t="n">
        <x:f>IF(A20="","",ROW()-1)</x:f>
        <x:v>19</x:v>
      </x:c>
    </x:row>
    <x:row r="21" ht="24" customHeight="1">
      <x:c r="A21" s="13" t="str">
        <x:v>Aline Reis</x:v>
      </x:c>
      <x:c r="B21" s="14" t="d">
        <x:v>2026-10-05T00:00:00.000Z</x:v>
      </x:c>
      <x:c r="C21" s="26" t="n">
        <x:v>0.75</x:v>
      </x:c>
      <x:c r="D21" s="13" t="str">
        <x:v>presencial</x:v>
      </x:c>
      <x:c r="E21" s="13" t="str">
        <x:v>não</x:v>
      </x:c>
      <x:c r="F21" s="13" t="str">
        <x:v>Sala 2</x:v>
      </x:c>
      <x:c r="G21" s="12" t="n">
        <x:f>IF(A21="","",'Agenda'!$B$5)</x:f>
        <x:v>50</x:v>
      </x:c>
      <x:c r="H21" s="12" t="n">
        <x:f>IF(A21="","",'Agenda'!$B$6)</x:f>
        <x:v>10</x:v>
      </x:c>
      <x:c r="I21" s="24" t="n">
        <x:f>IF(A21="","",C21+G21/1440)</x:f>
        <x:v>0.7847222222222222</x:v>
      </x:c>
      <x:c r="J21" s="24" t="n">
        <x:f>IF(A21="","",C21+(G21+H21)/1440)</x:f>
        <x:v>0.7916666666666666</x:v>
      </x:c>
      <x:c r="K21" s="27" t="n">
        <x:f>IF(A21="","",IF(E21&lt;&gt;"sim",0,COUNTIFS($B$2:$B$501,B21,$F$2:$F$501,F21,$E$2:$E$501,"sim",$C$2:$C$501,"&lt;"&amp;J21,$J$2:$J$501,"&gt;"&amp;C21)-1))</x:f>
        <x:v>0</x:v>
      </x:c>
      <x:c r="L21" s="27" t="n">
        <x:f>IF(A21="","",IF(E21&lt;&gt;"sim",0,COUNTIFS($B$2:$B$501,B21,$A$2:$A$501,A21,$E$2:$E$501,"sim",$C$2:$C$501,"&lt;"&amp;J21,$J$2:$J$501,"&gt;"&amp;C21)-1))</x:f>
        <x:v>0</x:v>
      </x:c>
      <x:c r="M21" s="2" t="str">
        <x:f>IF(A21="","",IF(E21&lt;&gt;"sim","Revisar escala",IF(OR(K21&gt;0,L21&gt;0),"Conflito de escala",IF(COUNTIFS('Solicitacoes'!$F$2:$F$501,B21,'Solicitacoes'!$K$2:$K$501,F21,'Solicitacoes'!$I$2:$I$501,"pendente",'Solicitacoes'!$G$2:$G$501,"&lt;"&amp;J21,'Solicitacoes'!$N$2:$N$501,"&gt;"&amp;C21)+COUNTIFS('Solicitacoes'!$F$2:$F$501,B21,'Solicitacoes'!$E$2:$E$501,A21,'Solicitacoes'!$I$2:$I$501,"pendente",'Solicitacoes'!$G$2:$G$501,"&lt;"&amp;J21,'Solicitacoes'!$N$2:$N$501,"&gt;"&amp;C21)+COUNTIFS('Solicitacoes'!$F$2:$F$501,B21,'Solicitacoes'!$K$2:$K$501,F21,'Solicitacoes'!$I$2:$I$501,"confirmado",'Solicitacoes'!$G$2:$G$501,"&lt;"&amp;J21,'Solicitacoes'!$N$2:$N$501,"&gt;"&amp;C21)+COUNTIFS('Solicitacoes'!$F$2:$F$501,B21,'Solicitacoes'!$E$2:$E$501,A21,'Solicitacoes'!$I$2:$I$501,"confirmado",'Solicitacoes'!$G$2:$G$501,"&lt;"&amp;J21,'Solicitacoes'!$N$2:$N$501,"&gt;"&amp;C21)&gt;0,"Ocupado","Disponível"))))</x:f>
        <x:v>Revisar escala</x:v>
      </x:c>
      <x:c r="N21" s="2" t="n">
        <x:f>IF(A21="","",ROW()-1)</x:f>
        <x:v>20</x:v>
      </x:c>
    </x:row>
    <x:row r="22" ht="24" customHeight="1">
      <x:c r="A22" s="13" t="str">
        <x:v>Laura Casanova</x:v>
      </x:c>
      <x:c r="B22" s="14" t="d">
        <x:v>2026-10-05T00:00:00.000Z</x:v>
      </x:c>
      <x:c r="C22" s="26" t="n">
        <x:v>0.7916666666666666</x:v>
      </x:c>
      <x:c r="D22" s="13" t="str">
        <x:v>presencial</x:v>
      </x:c>
      <x:c r="E22" s="13" t="str">
        <x:v>não</x:v>
      </x:c>
      <x:c r="F22" s="13" t="str">
        <x:v>Sala 1</x:v>
      </x:c>
      <x:c r="G22" s="12" t="n">
        <x:f>IF(A22="","",'Agenda'!$B$5)</x:f>
        <x:v>50</x:v>
      </x:c>
      <x:c r="H22" s="12" t="n">
        <x:f>IF(A22="","",'Agenda'!$B$6)</x:f>
        <x:v>10</x:v>
      </x:c>
      <x:c r="I22" s="24" t="n">
        <x:f>IF(A22="","",C22+G22/1440)</x:f>
        <x:v>0.8263888888888888</x:v>
      </x:c>
      <x:c r="J22" s="24" t="n">
        <x:f>IF(A22="","",C22+(G22+H22)/1440)</x:f>
        <x:v>0.8333333333333333</x:v>
      </x:c>
      <x:c r="K22" s="27" t="n">
        <x:f>IF(A22="","",IF(E22&lt;&gt;"sim",0,COUNTIFS($B$2:$B$501,B22,$F$2:$F$501,F22,$E$2:$E$501,"sim",$C$2:$C$501,"&lt;"&amp;J22,$J$2:$J$501,"&gt;"&amp;C22)-1))</x:f>
        <x:v>0</x:v>
      </x:c>
      <x:c r="L22" s="27" t="n">
        <x:f>IF(A22="","",IF(E22&lt;&gt;"sim",0,COUNTIFS($B$2:$B$501,B22,$A$2:$A$501,A22,$E$2:$E$501,"sim",$C$2:$C$501,"&lt;"&amp;J22,$J$2:$J$501,"&gt;"&amp;C22)-1))</x:f>
        <x:v>0</x:v>
      </x:c>
      <x:c r="M22" s="2" t="str">
        <x:f>IF(A22="","",IF(E22&lt;&gt;"sim","Revisar escala",IF(OR(K22&gt;0,L22&gt;0),"Conflito de escala",IF(COUNTIFS('Solicitacoes'!$F$2:$F$501,B22,'Solicitacoes'!$K$2:$K$501,F22,'Solicitacoes'!$I$2:$I$501,"pendente",'Solicitacoes'!$G$2:$G$501,"&lt;"&amp;J22,'Solicitacoes'!$N$2:$N$501,"&gt;"&amp;C22)+COUNTIFS('Solicitacoes'!$F$2:$F$501,B22,'Solicitacoes'!$E$2:$E$501,A22,'Solicitacoes'!$I$2:$I$501,"pendente",'Solicitacoes'!$G$2:$G$501,"&lt;"&amp;J22,'Solicitacoes'!$N$2:$N$501,"&gt;"&amp;C22)+COUNTIFS('Solicitacoes'!$F$2:$F$501,B22,'Solicitacoes'!$K$2:$K$501,F22,'Solicitacoes'!$I$2:$I$501,"confirmado",'Solicitacoes'!$G$2:$G$501,"&lt;"&amp;J22,'Solicitacoes'!$N$2:$N$501,"&gt;"&amp;C22)+COUNTIFS('Solicitacoes'!$F$2:$F$501,B22,'Solicitacoes'!$E$2:$E$501,A22,'Solicitacoes'!$I$2:$I$501,"confirmado",'Solicitacoes'!$G$2:$G$501,"&lt;"&amp;J22,'Solicitacoes'!$N$2:$N$501,"&gt;"&amp;C22)&gt;0,"Ocupado","Disponível"))))</x:f>
        <x:v>Revisar escala</x:v>
      </x:c>
      <x:c r="N22" s="2" t="n">
        <x:f>IF(A22="","",ROW()-1)</x:f>
        <x:v>21</x:v>
      </x:c>
    </x:row>
    <x:row r="23" ht="24" customHeight="1">
      <x:c r="A23" s="13" t="str">
        <x:v>Aline Reis</x:v>
      </x:c>
      <x:c r="B23" s="14" t="d">
        <x:v>2026-10-05T00:00:00.000Z</x:v>
      </x:c>
      <x:c r="C23" s="26" t="n">
        <x:v>0.7916666666666666</x:v>
      </x:c>
      <x:c r="D23" s="13" t="str">
        <x:v>presencial</x:v>
      </x:c>
      <x:c r="E23" s="13" t="str">
        <x:v>não</x:v>
      </x:c>
      <x:c r="F23" s="13" t="str">
        <x:v>Sala 2</x:v>
      </x:c>
      <x:c r="G23" s="12" t="n">
        <x:f>IF(A23="","",'Agenda'!$B$5)</x:f>
        <x:v>50</x:v>
      </x:c>
      <x:c r="H23" s="12" t="n">
        <x:f>IF(A23="","",'Agenda'!$B$6)</x:f>
        <x:v>10</x:v>
      </x:c>
      <x:c r="I23" s="24" t="n">
        <x:f>IF(A23="","",C23+G23/1440)</x:f>
        <x:v>0.8263888888888888</x:v>
      </x:c>
      <x:c r="J23" s="24" t="n">
        <x:f>IF(A23="","",C23+(G23+H23)/1440)</x:f>
        <x:v>0.8333333333333333</x:v>
      </x:c>
      <x:c r="K23" s="27" t="n">
        <x:f>IF(A23="","",IF(E23&lt;&gt;"sim",0,COUNTIFS($B$2:$B$501,B23,$F$2:$F$501,F23,$E$2:$E$501,"sim",$C$2:$C$501,"&lt;"&amp;J23,$J$2:$J$501,"&gt;"&amp;C23)-1))</x:f>
        <x:v>0</x:v>
      </x:c>
      <x:c r="L23" s="27" t="n">
        <x:f>IF(A23="","",IF(E23&lt;&gt;"sim",0,COUNTIFS($B$2:$B$501,B23,$A$2:$A$501,A23,$E$2:$E$501,"sim",$C$2:$C$501,"&lt;"&amp;J23,$J$2:$J$501,"&gt;"&amp;C23)-1))</x:f>
        <x:v>0</x:v>
      </x:c>
      <x:c r="M23" s="2" t="str">
        <x:f>IF(A23="","",IF(E23&lt;&gt;"sim","Revisar escala",IF(OR(K23&gt;0,L23&gt;0),"Conflito de escala",IF(COUNTIFS('Solicitacoes'!$F$2:$F$501,B23,'Solicitacoes'!$K$2:$K$501,F23,'Solicitacoes'!$I$2:$I$501,"pendente",'Solicitacoes'!$G$2:$G$501,"&lt;"&amp;J23,'Solicitacoes'!$N$2:$N$501,"&gt;"&amp;C23)+COUNTIFS('Solicitacoes'!$F$2:$F$501,B23,'Solicitacoes'!$E$2:$E$501,A23,'Solicitacoes'!$I$2:$I$501,"pendente",'Solicitacoes'!$G$2:$G$501,"&lt;"&amp;J23,'Solicitacoes'!$N$2:$N$501,"&gt;"&amp;C23)+COUNTIFS('Solicitacoes'!$F$2:$F$501,B23,'Solicitacoes'!$K$2:$K$501,F23,'Solicitacoes'!$I$2:$I$501,"confirmado",'Solicitacoes'!$G$2:$G$501,"&lt;"&amp;J23,'Solicitacoes'!$N$2:$N$501,"&gt;"&amp;C23)+COUNTIFS('Solicitacoes'!$F$2:$F$501,B23,'Solicitacoes'!$E$2:$E$501,A23,'Solicitacoes'!$I$2:$I$501,"confirmado",'Solicitacoes'!$G$2:$G$501,"&lt;"&amp;J23,'Solicitacoes'!$N$2:$N$501,"&gt;"&amp;C23)&gt;0,"Ocupado","Disponível"))))</x:f>
        <x:v>Revisar escala</x:v>
      </x:c>
      <x:c r="N23" s="2" t="n">
        <x:f>IF(A23="","",ROW()-1)</x:f>
        <x:v>22</x:v>
      </x:c>
    </x:row>
    <x:row r="24" ht="24" customHeight="1">
      <x:c r="A24" s="13" t="str">
        <x:v>Géssyca Martins</x:v>
      </x:c>
      <x:c r="B24" s="14" t="d">
        <x:v>2026-10-06T00:00:00.000Z</x:v>
      </x:c>
      <x:c r="C24" s="26" t="n">
        <x:v>0.375</x:v>
      </x:c>
      <x:c r="D24" s="13" t="str">
        <x:v>presencial</x:v>
      </x:c>
      <x:c r="E24" s="13" t="str">
        <x:v>não</x:v>
      </x:c>
      <x:c r="F24" s="13" t="str">
        <x:v>Sala 1</x:v>
      </x:c>
      <x:c r="G24" s="12" t="n">
        <x:f>IF(A24="","",'Agenda'!$B$5)</x:f>
        <x:v>50</x:v>
      </x:c>
      <x:c r="H24" s="12" t="n">
        <x:f>IF(A24="","",'Agenda'!$B$6)</x:f>
        <x:v>10</x:v>
      </x:c>
      <x:c r="I24" s="24" t="n">
        <x:f>IF(A24="","",C24+G24/1440)</x:f>
        <x:v>0.4097222222222222</x:v>
      </x:c>
      <x:c r="J24" s="24" t="n">
        <x:f>IF(A24="","",C24+(G24+H24)/1440)</x:f>
        <x:v>0.4166666666666667</x:v>
      </x:c>
      <x:c r="K24" s="27" t="n">
        <x:f>IF(A24="","",IF(E24&lt;&gt;"sim",0,COUNTIFS($B$2:$B$501,B24,$F$2:$F$501,F24,$E$2:$E$501,"sim",$C$2:$C$501,"&lt;"&amp;J24,$J$2:$J$501,"&gt;"&amp;C24)-1))</x:f>
        <x:v>0</x:v>
      </x:c>
      <x:c r="L24" s="27" t="n">
        <x:f>IF(A24="","",IF(E24&lt;&gt;"sim",0,COUNTIFS($B$2:$B$501,B24,$A$2:$A$501,A24,$E$2:$E$501,"sim",$C$2:$C$501,"&lt;"&amp;J24,$J$2:$J$501,"&gt;"&amp;C24)-1))</x:f>
        <x:v>0</x:v>
      </x:c>
      <x:c r="M24" s="2" t="str">
        <x:f>IF(A24="","",IF(E24&lt;&gt;"sim","Revisar escala",IF(OR(K24&gt;0,L24&gt;0),"Conflito de escala",IF(COUNTIFS('Solicitacoes'!$F$2:$F$501,B24,'Solicitacoes'!$K$2:$K$501,F24,'Solicitacoes'!$I$2:$I$501,"pendente",'Solicitacoes'!$G$2:$G$501,"&lt;"&amp;J24,'Solicitacoes'!$N$2:$N$501,"&gt;"&amp;C24)+COUNTIFS('Solicitacoes'!$F$2:$F$501,B24,'Solicitacoes'!$E$2:$E$501,A24,'Solicitacoes'!$I$2:$I$501,"pendente",'Solicitacoes'!$G$2:$G$501,"&lt;"&amp;J24,'Solicitacoes'!$N$2:$N$501,"&gt;"&amp;C24)+COUNTIFS('Solicitacoes'!$F$2:$F$501,B24,'Solicitacoes'!$K$2:$K$501,F24,'Solicitacoes'!$I$2:$I$501,"confirmado",'Solicitacoes'!$G$2:$G$501,"&lt;"&amp;J24,'Solicitacoes'!$N$2:$N$501,"&gt;"&amp;C24)+COUNTIFS('Solicitacoes'!$F$2:$F$501,B24,'Solicitacoes'!$E$2:$E$501,A24,'Solicitacoes'!$I$2:$I$501,"confirmado",'Solicitacoes'!$G$2:$G$501,"&lt;"&amp;J24,'Solicitacoes'!$N$2:$N$501,"&gt;"&amp;C24)&gt;0,"Ocupado","Disponível"))))</x:f>
        <x:v>Revisar escala</x:v>
      </x:c>
      <x:c r="N24" s="2" t="n">
        <x:f>IF(A24="","",ROW()-1)</x:f>
        <x:v>23</x:v>
      </x:c>
    </x:row>
    <x:row r="25" ht="24" customHeight="1">
      <x:c r="A25" s="13" t="str">
        <x:v>Laura Casanova</x:v>
      </x:c>
      <x:c r="B25" s="14" t="d">
        <x:v>2026-10-06T00:00:00.000Z</x:v>
      </x:c>
      <x:c r="C25" s="26" t="n">
        <x:v>0.375</x:v>
      </x:c>
      <x:c r="D25" s="13" t="str">
        <x:v>presencial</x:v>
      </x:c>
      <x:c r="E25" s="13" t="str">
        <x:v>não</x:v>
      </x:c>
      <x:c r="F25" s="13" t="str">
        <x:v>Sala 2</x:v>
      </x:c>
      <x:c r="G25" s="12" t="n">
        <x:f>IF(A25="","",'Agenda'!$B$5)</x:f>
        <x:v>50</x:v>
      </x:c>
      <x:c r="H25" s="12" t="n">
        <x:f>IF(A25="","",'Agenda'!$B$6)</x:f>
        <x:v>10</x:v>
      </x:c>
      <x:c r="I25" s="24" t="n">
        <x:f>IF(A25="","",C25+G25/1440)</x:f>
        <x:v>0.4097222222222222</x:v>
      </x:c>
      <x:c r="J25" s="24" t="n">
        <x:f>IF(A25="","",C25+(G25+H25)/1440)</x:f>
        <x:v>0.4166666666666667</x:v>
      </x:c>
      <x:c r="K25" s="27" t="n">
        <x:f>IF(A25="","",IF(E25&lt;&gt;"sim",0,COUNTIFS($B$2:$B$501,B25,$F$2:$F$501,F25,$E$2:$E$501,"sim",$C$2:$C$501,"&lt;"&amp;J25,$J$2:$J$501,"&gt;"&amp;C25)-1))</x:f>
        <x:v>0</x:v>
      </x:c>
      <x:c r="L25" s="27" t="n">
        <x:f>IF(A25="","",IF(E25&lt;&gt;"sim",0,COUNTIFS($B$2:$B$501,B25,$A$2:$A$501,A25,$E$2:$E$501,"sim",$C$2:$C$501,"&lt;"&amp;J25,$J$2:$J$501,"&gt;"&amp;C25)-1))</x:f>
        <x:v>0</x:v>
      </x:c>
      <x:c r="M25" s="2" t="str">
        <x:f>IF(A25="","",IF(E25&lt;&gt;"sim","Revisar escala",IF(OR(K25&gt;0,L25&gt;0),"Conflito de escala",IF(COUNTIFS('Solicitacoes'!$F$2:$F$501,B25,'Solicitacoes'!$K$2:$K$501,F25,'Solicitacoes'!$I$2:$I$501,"pendente",'Solicitacoes'!$G$2:$G$501,"&lt;"&amp;J25,'Solicitacoes'!$N$2:$N$501,"&gt;"&amp;C25)+COUNTIFS('Solicitacoes'!$F$2:$F$501,B25,'Solicitacoes'!$E$2:$E$501,A25,'Solicitacoes'!$I$2:$I$501,"pendente",'Solicitacoes'!$G$2:$G$501,"&lt;"&amp;J25,'Solicitacoes'!$N$2:$N$501,"&gt;"&amp;C25)+COUNTIFS('Solicitacoes'!$F$2:$F$501,B25,'Solicitacoes'!$K$2:$K$501,F25,'Solicitacoes'!$I$2:$I$501,"confirmado",'Solicitacoes'!$G$2:$G$501,"&lt;"&amp;J25,'Solicitacoes'!$N$2:$N$501,"&gt;"&amp;C25)+COUNTIFS('Solicitacoes'!$F$2:$F$501,B25,'Solicitacoes'!$E$2:$E$501,A25,'Solicitacoes'!$I$2:$I$501,"confirmado",'Solicitacoes'!$G$2:$G$501,"&lt;"&amp;J25,'Solicitacoes'!$N$2:$N$501,"&gt;"&amp;C25)&gt;0,"Ocupado","Disponível"))))</x:f>
        <x:v>Revisar escala</x:v>
      </x:c>
      <x:c r="N25" s="2" t="n">
        <x:f>IF(A25="","",ROW()-1)</x:f>
        <x:v>24</x:v>
      </x:c>
    </x:row>
    <x:row r="26" ht="24" customHeight="1">
      <x:c r="A26" s="13" t="str">
        <x:v>Géssyca Martins</x:v>
      </x:c>
      <x:c r="B26" s="14" t="d">
        <x:v>2026-10-06T00:00:00.000Z</x:v>
      </x:c>
      <x:c r="C26" s="26" t="n">
        <x:v>0.4166666666666667</x:v>
      </x:c>
      <x:c r="D26" s="13" t="str">
        <x:v>presencial</x:v>
      </x:c>
      <x:c r="E26" s="13" t="str">
        <x:v>não</x:v>
      </x:c>
      <x:c r="F26" s="13" t="str">
        <x:v>Sala 1</x:v>
      </x:c>
      <x:c r="G26" s="12" t="n">
        <x:f>IF(A26="","",'Agenda'!$B$5)</x:f>
        <x:v>50</x:v>
      </x:c>
      <x:c r="H26" s="12" t="n">
        <x:f>IF(A26="","",'Agenda'!$B$6)</x:f>
        <x:v>10</x:v>
      </x:c>
      <x:c r="I26" s="24" t="n">
        <x:f>IF(A26="","",C26+G26/1440)</x:f>
        <x:v>0.4513888888888889</x:v>
      </x:c>
      <x:c r="J26" s="24" t="n">
        <x:f>IF(A26="","",C26+(G26+H26)/1440)</x:f>
        <x:v>0.45833333333333337</x:v>
      </x:c>
      <x:c r="K26" s="27" t="n">
        <x:f>IF(A26="","",IF(E26&lt;&gt;"sim",0,COUNTIFS($B$2:$B$501,B26,$F$2:$F$501,F26,$E$2:$E$501,"sim",$C$2:$C$501,"&lt;"&amp;J26,$J$2:$J$501,"&gt;"&amp;C26)-1))</x:f>
        <x:v>0</x:v>
      </x:c>
      <x:c r="L26" s="27" t="n">
        <x:f>IF(A26="","",IF(E26&lt;&gt;"sim",0,COUNTIFS($B$2:$B$501,B26,$A$2:$A$501,A26,$E$2:$E$501,"sim",$C$2:$C$501,"&lt;"&amp;J26,$J$2:$J$501,"&gt;"&amp;C26)-1))</x:f>
        <x:v>0</x:v>
      </x:c>
      <x:c r="M26" s="2" t="str">
        <x:f>IF(A26="","",IF(E26&lt;&gt;"sim","Revisar escala",IF(OR(K26&gt;0,L26&gt;0),"Conflito de escala",IF(COUNTIFS('Solicitacoes'!$F$2:$F$501,B26,'Solicitacoes'!$K$2:$K$501,F26,'Solicitacoes'!$I$2:$I$501,"pendente",'Solicitacoes'!$G$2:$G$501,"&lt;"&amp;J26,'Solicitacoes'!$N$2:$N$501,"&gt;"&amp;C26)+COUNTIFS('Solicitacoes'!$F$2:$F$501,B26,'Solicitacoes'!$E$2:$E$501,A26,'Solicitacoes'!$I$2:$I$501,"pendente",'Solicitacoes'!$G$2:$G$501,"&lt;"&amp;J26,'Solicitacoes'!$N$2:$N$501,"&gt;"&amp;C26)+COUNTIFS('Solicitacoes'!$F$2:$F$501,B26,'Solicitacoes'!$K$2:$K$501,F26,'Solicitacoes'!$I$2:$I$501,"confirmado",'Solicitacoes'!$G$2:$G$501,"&lt;"&amp;J26,'Solicitacoes'!$N$2:$N$501,"&gt;"&amp;C26)+COUNTIFS('Solicitacoes'!$F$2:$F$501,B26,'Solicitacoes'!$E$2:$E$501,A26,'Solicitacoes'!$I$2:$I$501,"confirmado",'Solicitacoes'!$G$2:$G$501,"&lt;"&amp;J26,'Solicitacoes'!$N$2:$N$501,"&gt;"&amp;C26)&gt;0,"Ocupado","Disponível"))))</x:f>
        <x:v>Revisar escala</x:v>
      </x:c>
      <x:c r="N26" s="2" t="n">
        <x:f>IF(A26="","",ROW()-1)</x:f>
        <x:v>25</x:v>
      </x:c>
    </x:row>
    <x:row r="27" ht="24" customHeight="1">
      <x:c r="A27" s="13" t="str">
        <x:v>Laura Casanova</x:v>
      </x:c>
      <x:c r="B27" s="14" t="d">
        <x:v>2026-10-06T00:00:00.000Z</x:v>
      </x:c>
      <x:c r="C27" s="26" t="n">
        <x:v>0.4166666666666667</x:v>
      </x:c>
      <x:c r="D27" s="13" t="str">
        <x:v>presencial</x:v>
      </x:c>
      <x:c r="E27" s="13" t="str">
        <x:v>não</x:v>
      </x:c>
      <x:c r="F27" s="13" t="str">
        <x:v>Sala 2</x:v>
      </x:c>
      <x:c r="G27" s="12" t="n">
        <x:f>IF(A27="","",'Agenda'!$B$5)</x:f>
        <x:v>50</x:v>
      </x:c>
      <x:c r="H27" s="12" t="n">
        <x:f>IF(A27="","",'Agenda'!$B$6)</x:f>
        <x:v>10</x:v>
      </x:c>
      <x:c r="I27" s="24" t="n">
        <x:f>IF(A27="","",C27+G27/1440)</x:f>
        <x:v>0.4513888888888889</x:v>
      </x:c>
      <x:c r="J27" s="24" t="n">
        <x:f>IF(A27="","",C27+(G27+H27)/1440)</x:f>
        <x:v>0.45833333333333337</x:v>
      </x:c>
      <x:c r="K27" s="27" t="n">
        <x:f>IF(A27="","",IF(E27&lt;&gt;"sim",0,COUNTIFS($B$2:$B$501,B27,$F$2:$F$501,F27,$E$2:$E$501,"sim",$C$2:$C$501,"&lt;"&amp;J27,$J$2:$J$501,"&gt;"&amp;C27)-1))</x:f>
        <x:v>0</x:v>
      </x:c>
      <x:c r="L27" s="27" t="n">
        <x:f>IF(A27="","",IF(E27&lt;&gt;"sim",0,COUNTIFS($B$2:$B$501,B27,$A$2:$A$501,A27,$E$2:$E$501,"sim",$C$2:$C$501,"&lt;"&amp;J27,$J$2:$J$501,"&gt;"&amp;C27)-1))</x:f>
        <x:v>0</x:v>
      </x:c>
      <x:c r="M27" s="2" t="str">
        <x:f>IF(A27="","",IF(E27&lt;&gt;"sim","Revisar escala",IF(OR(K27&gt;0,L27&gt;0),"Conflito de escala",IF(COUNTIFS('Solicitacoes'!$F$2:$F$501,B27,'Solicitacoes'!$K$2:$K$501,F27,'Solicitacoes'!$I$2:$I$501,"pendente",'Solicitacoes'!$G$2:$G$501,"&lt;"&amp;J27,'Solicitacoes'!$N$2:$N$501,"&gt;"&amp;C27)+COUNTIFS('Solicitacoes'!$F$2:$F$501,B27,'Solicitacoes'!$E$2:$E$501,A27,'Solicitacoes'!$I$2:$I$501,"pendente",'Solicitacoes'!$G$2:$G$501,"&lt;"&amp;J27,'Solicitacoes'!$N$2:$N$501,"&gt;"&amp;C27)+COUNTIFS('Solicitacoes'!$F$2:$F$501,B27,'Solicitacoes'!$K$2:$K$501,F27,'Solicitacoes'!$I$2:$I$501,"confirmado",'Solicitacoes'!$G$2:$G$501,"&lt;"&amp;J27,'Solicitacoes'!$N$2:$N$501,"&gt;"&amp;C27)+COUNTIFS('Solicitacoes'!$F$2:$F$501,B27,'Solicitacoes'!$E$2:$E$501,A27,'Solicitacoes'!$I$2:$I$501,"confirmado",'Solicitacoes'!$G$2:$G$501,"&lt;"&amp;J27,'Solicitacoes'!$N$2:$N$501,"&gt;"&amp;C27)&gt;0,"Ocupado","Disponível"))))</x:f>
        <x:v>Revisar escala</x:v>
      </x:c>
      <x:c r="N27" s="2" t="n">
        <x:f>IF(A27="","",ROW()-1)</x:f>
        <x:v>26</x:v>
      </x:c>
    </x:row>
    <x:row r="28" ht="24" customHeight="1">
      <x:c r="A28" s="13" t="str">
        <x:v>Géssyca Martins</x:v>
      </x:c>
      <x:c r="B28" s="14" t="d">
        <x:v>2026-10-06T00:00:00.000Z</x:v>
      </x:c>
      <x:c r="C28" s="26" t="n">
        <x:v>0.4583333333333333</x:v>
      </x:c>
      <x:c r="D28" s="13" t="str">
        <x:v>presencial</x:v>
      </x:c>
      <x:c r="E28" s="13" t="str">
        <x:v>não</x:v>
      </x:c>
      <x:c r="F28" s="13" t="str">
        <x:v>Sala 1</x:v>
      </x:c>
      <x:c r="G28" s="12" t="n">
        <x:f>IF(A28="","",'Agenda'!$B$5)</x:f>
        <x:v>50</x:v>
      </x:c>
      <x:c r="H28" s="12" t="n">
        <x:f>IF(A28="","",'Agenda'!$B$6)</x:f>
        <x:v>10</x:v>
      </x:c>
      <x:c r="I28" s="24" t="n">
        <x:f>IF(A28="","",C28+G28/1440)</x:f>
        <x:v>0.4930555555555555</x:v>
      </x:c>
      <x:c r="J28" s="24" t="n">
        <x:f>IF(A28="","",C28+(G28+H28)/1440)</x:f>
        <x:v>0.5</x:v>
      </x:c>
      <x:c r="K28" s="27" t="n">
        <x:f>IF(A28="","",IF(E28&lt;&gt;"sim",0,COUNTIFS($B$2:$B$501,B28,$F$2:$F$501,F28,$E$2:$E$501,"sim",$C$2:$C$501,"&lt;"&amp;J28,$J$2:$J$501,"&gt;"&amp;C28)-1))</x:f>
        <x:v>0</x:v>
      </x:c>
      <x:c r="L28" s="27" t="n">
        <x:f>IF(A28="","",IF(E28&lt;&gt;"sim",0,COUNTIFS($B$2:$B$501,B28,$A$2:$A$501,A28,$E$2:$E$501,"sim",$C$2:$C$501,"&lt;"&amp;J28,$J$2:$J$501,"&gt;"&amp;C28)-1))</x:f>
        <x:v>0</x:v>
      </x:c>
      <x:c r="M28" s="2" t="str">
        <x:f>IF(A28="","",IF(E28&lt;&gt;"sim","Revisar escala",IF(OR(K28&gt;0,L28&gt;0),"Conflito de escala",IF(COUNTIFS('Solicitacoes'!$F$2:$F$501,B28,'Solicitacoes'!$K$2:$K$501,F28,'Solicitacoes'!$I$2:$I$501,"pendente",'Solicitacoes'!$G$2:$G$501,"&lt;"&amp;J28,'Solicitacoes'!$N$2:$N$501,"&gt;"&amp;C28)+COUNTIFS('Solicitacoes'!$F$2:$F$501,B28,'Solicitacoes'!$E$2:$E$501,A28,'Solicitacoes'!$I$2:$I$501,"pendente",'Solicitacoes'!$G$2:$G$501,"&lt;"&amp;J28,'Solicitacoes'!$N$2:$N$501,"&gt;"&amp;C28)+COUNTIFS('Solicitacoes'!$F$2:$F$501,B28,'Solicitacoes'!$K$2:$K$501,F28,'Solicitacoes'!$I$2:$I$501,"confirmado",'Solicitacoes'!$G$2:$G$501,"&lt;"&amp;J28,'Solicitacoes'!$N$2:$N$501,"&gt;"&amp;C28)+COUNTIFS('Solicitacoes'!$F$2:$F$501,B28,'Solicitacoes'!$E$2:$E$501,A28,'Solicitacoes'!$I$2:$I$501,"confirmado",'Solicitacoes'!$G$2:$G$501,"&lt;"&amp;J28,'Solicitacoes'!$N$2:$N$501,"&gt;"&amp;C28)&gt;0,"Ocupado","Disponível"))))</x:f>
        <x:v>Revisar escala</x:v>
      </x:c>
      <x:c r="N28" s="2" t="n">
        <x:f>IF(A28="","",ROW()-1)</x:f>
        <x:v>27</x:v>
      </x:c>
    </x:row>
    <x:row r="29" ht="24" customHeight="1">
      <x:c r="A29" s="13" t="str">
        <x:v>Laura Casanova</x:v>
      </x:c>
      <x:c r="B29" s="14" t="d">
        <x:v>2026-10-06T00:00:00.000Z</x:v>
      </x:c>
      <x:c r="C29" s="26" t="n">
        <x:v>0.4583333333333333</x:v>
      </x:c>
      <x:c r="D29" s="13" t="str">
        <x:v>presencial</x:v>
      </x:c>
      <x:c r="E29" s="13" t="str">
        <x:v>não</x:v>
      </x:c>
      <x:c r="F29" s="13" t="str">
        <x:v>Sala 2</x:v>
      </x:c>
      <x:c r="G29" s="12" t="n">
        <x:f>IF(A29="","",'Agenda'!$B$5)</x:f>
        <x:v>50</x:v>
      </x:c>
      <x:c r="H29" s="12" t="n">
        <x:f>IF(A29="","",'Agenda'!$B$6)</x:f>
        <x:v>10</x:v>
      </x:c>
      <x:c r="I29" s="24" t="n">
        <x:f>IF(A29="","",C29+G29/1440)</x:f>
        <x:v>0.4930555555555555</x:v>
      </x:c>
      <x:c r="J29" s="24" t="n">
        <x:f>IF(A29="","",C29+(G29+H29)/1440)</x:f>
        <x:v>0.5</x:v>
      </x:c>
      <x:c r="K29" s="27" t="n">
        <x:f>IF(A29="","",IF(E29&lt;&gt;"sim",0,COUNTIFS($B$2:$B$501,B29,$F$2:$F$501,F29,$E$2:$E$501,"sim",$C$2:$C$501,"&lt;"&amp;J29,$J$2:$J$501,"&gt;"&amp;C29)-1))</x:f>
        <x:v>0</x:v>
      </x:c>
      <x:c r="L29" s="27" t="n">
        <x:f>IF(A29="","",IF(E29&lt;&gt;"sim",0,COUNTIFS($B$2:$B$501,B29,$A$2:$A$501,A29,$E$2:$E$501,"sim",$C$2:$C$501,"&lt;"&amp;J29,$J$2:$J$501,"&gt;"&amp;C29)-1))</x:f>
        <x:v>0</x:v>
      </x:c>
      <x:c r="M29" s="2" t="str">
        <x:f>IF(A29="","",IF(E29&lt;&gt;"sim","Revisar escala",IF(OR(K29&gt;0,L29&gt;0),"Conflito de escala",IF(COUNTIFS('Solicitacoes'!$F$2:$F$501,B29,'Solicitacoes'!$K$2:$K$501,F29,'Solicitacoes'!$I$2:$I$501,"pendente",'Solicitacoes'!$G$2:$G$501,"&lt;"&amp;J29,'Solicitacoes'!$N$2:$N$501,"&gt;"&amp;C29)+COUNTIFS('Solicitacoes'!$F$2:$F$501,B29,'Solicitacoes'!$E$2:$E$501,A29,'Solicitacoes'!$I$2:$I$501,"pendente",'Solicitacoes'!$G$2:$G$501,"&lt;"&amp;J29,'Solicitacoes'!$N$2:$N$501,"&gt;"&amp;C29)+COUNTIFS('Solicitacoes'!$F$2:$F$501,B29,'Solicitacoes'!$K$2:$K$501,F29,'Solicitacoes'!$I$2:$I$501,"confirmado",'Solicitacoes'!$G$2:$G$501,"&lt;"&amp;J29,'Solicitacoes'!$N$2:$N$501,"&gt;"&amp;C29)+COUNTIFS('Solicitacoes'!$F$2:$F$501,B29,'Solicitacoes'!$E$2:$E$501,A29,'Solicitacoes'!$I$2:$I$501,"confirmado",'Solicitacoes'!$G$2:$G$501,"&lt;"&amp;J29,'Solicitacoes'!$N$2:$N$501,"&gt;"&amp;C29)&gt;0,"Ocupado","Disponível"))))</x:f>
        <x:v>Revisar escala</x:v>
      </x:c>
      <x:c r="N29" s="2" t="n">
        <x:f>IF(A29="","",ROW()-1)</x:f>
        <x:v>28</x:v>
      </x:c>
    </x:row>
    <x:row r="30" ht="24" customHeight="1">
      <x:c r="A30" s="13" t="str">
        <x:v>Géssyca Martins</x:v>
      </x:c>
      <x:c r="B30" s="14" t="d">
        <x:v>2026-10-06T00:00:00.000Z</x:v>
      </x:c>
      <x:c r="C30" s="26" t="n">
        <x:v>0.5</x:v>
      </x:c>
      <x:c r="D30" s="13" t="str">
        <x:v>presencial</x:v>
      </x:c>
      <x:c r="E30" s="13" t="str">
        <x:v>não</x:v>
      </x:c>
      <x:c r="F30" s="13" t="str">
        <x:v>Sala 1</x:v>
      </x:c>
      <x:c r="G30" s="12" t="n">
        <x:f>IF(A30="","",'Agenda'!$B$5)</x:f>
        <x:v>50</x:v>
      </x:c>
      <x:c r="H30" s="12" t="n">
        <x:f>IF(A30="","",'Agenda'!$B$6)</x:f>
        <x:v>10</x:v>
      </x:c>
      <x:c r="I30" s="24" t="n">
        <x:f>IF(A30="","",C30+G30/1440)</x:f>
        <x:v>0.5347222222222222</x:v>
      </x:c>
      <x:c r="J30" s="24" t="n">
        <x:f>IF(A30="","",C30+(G30+H30)/1440)</x:f>
        <x:v>0.5416666666666666</x:v>
      </x:c>
      <x:c r="K30" s="27" t="n">
        <x:f>IF(A30="","",IF(E30&lt;&gt;"sim",0,COUNTIFS($B$2:$B$501,B30,$F$2:$F$501,F30,$E$2:$E$501,"sim",$C$2:$C$501,"&lt;"&amp;J30,$J$2:$J$501,"&gt;"&amp;C30)-1))</x:f>
        <x:v>0</x:v>
      </x:c>
      <x:c r="L30" s="27" t="n">
        <x:f>IF(A30="","",IF(E30&lt;&gt;"sim",0,COUNTIFS($B$2:$B$501,B30,$A$2:$A$501,A30,$E$2:$E$501,"sim",$C$2:$C$501,"&lt;"&amp;J30,$J$2:$J$501,"&gt;"&amp;C30)-1))</x:f>
        <x:v>0</x:v>
      </x:c>
      <x:c r="M30" s="2" t="str">
        <x:f>IF(A30="","",IF(E30&lt;&gt;"sim","Revisar escala",IF(OR(K30&gt;0,L30&gt;0),"Conflito de escala",IF(COUNTIFS('Solicitacoes'!$F$2:$F$501,B30,'Solicitacoes'!$K$2:$K$501,F30,'Solicitacoes'!$I$2:$I$501,"pendente",'Solicitacoes'!$G$2:$G$501,"&lt;"&amp;J30,'Solicitacoes'!$N$2:$N$501,"&gt;"&amp;C30)+COUNTIFS('Solicitacoes'!$F$2:$F$501,B30,'Solicitacoes'!$E$2:$E$501,A30,'Solicitacoes'!$I$2:$I$501,"pendente",'Solicitacoes'!$G$2:$G$501,"&lt;"&amp;J30,'Solicitacoes'!$N$2:$N$501,"&gt;"&amp;C30)+COUNTIFS('Solicitacoes'!$F$2:$F$501,B30,'Solicitacoes'!$K$2:$K$501,F30,'Solicitacoes'!$I$2:$I$501,"confirmado",'Solicitacoes'!$G$2:$G$501,"&lt;"&amp;J30,'Solicitacoes'!$N$2:$N$501,"&gt;"&amp;C30)+COUNTIFS('Solicitacoes'!$F$2:$F$501,B30,'Solicitacoes'!$E$2:$E$501,A30,'Solicitacoes'!$I$2:$I$501,"confirmado",'Solicitacoes'!$G$2:$G$501,"&lt;"&amp;J30,'Solicitacoes'!$N$2:$N$501,"&gt;"&amp;C30)&gt;0,"Ocupado","Disponível"))))</x:f>
        <x:v>Revisar escala</x:v>
      </x:c>
      <x:c r="N30" s="2" t="n">
        <x:f>IF(A30="","",ROW()-1)</x:f>
        <x:v>29</x:v>
      </x:c>
    </x:row>
    <x:row r="31" ht="24" customHeight="1">
      <x:c r="A31" s="13" t="str">
        <x:v>Laura Casanova</x:v>
      </x:c>
      <x:c r="B31" s="14" t="d">
        <x:v>2026-10-06T00:00:00.000Z</x:v>
      </x:c>
      <x:c r="C31" s="26" t="n">
        <x:v>0.5</x:v>
      </x:c>
      <x:c r="D31" s="13" t="str">
        <x:v>presencial</x:v>
      </x:c>
      <x:c r="E31" s="13" t="str">
        <x:v>não</x:v>
      </x:c>
      <x:c r="F31" s="13" t="str">
        <x:v>Sala 2</x:v>
      </x:c>
      <x:c r="G31" s="12" t="n">
        <x:f>IF(A31="","",'Agenda'!$B$5)</x:f>
        <x:v>50</x:v>
      </x:c>
      <x:c r="H31" s="12" t="n">
        <x:f>IF(A31="","",'Agenda'!$B$6)</x:f>
        <x:v>10</x:v>
      </x:c>
      <x:c r="I31" s="24" t="n">
        <x:f>IF(A31="","",C31+G31/1440)</x:f>
        <x:v>0.5347222222222222</x:v>
      </x:c>
      <x:c r="J31" s="24" t="n">
        <x:f>IF(A31="","",C31+(G31+H31)/1440)</x:f>
        <x:v>0.5416666666666666</x:v>
      </x:c>
      <x:c r="K31" s="27" t="n">
        <x:f>IF(A31="","",IF(E31&lt;&gt;"sim",0,COUNTIFS($B$2:$B$501,B31,$F$2:$F$501,F31,$E$2:$E$501,"sim",$C$2:$C$501,"&lt;"&amp;J31,$J$2:$J$501,"&gt;"&amp;C31)-1))</x:f>
        <x:v>0</x:v>
      </x:c>
      <x:c r="L31" s="27" t="n">
        <x:f>IF(A31="","",IF(E31&lt;&gt;"sim",0,COUNTIFS($B$2:$B$501,B31,$A$2:$A$501,A31,$E$2:$E$501,"sim",$C$2:$C$501,"&lt;"&amp;J31,$J$2:$J$501,"&gt;"&amp;C31)-1))</x:f>
        <x:v>0</x:v>
      </x:c>
      <x:c r="M31" s="2" t="str">
        <x:f>IF(A31="","",IF(E31&lt;&gt;"sim","Revisar escala",IF(OR(K31&gt;0,L31&gt;0),"Conflito de escala",IF(COUNTIFS('Solicitacoes'!$F$2:$F$501,B31,'Solicitacoes'!$K$2:$K$501,F31,'Solicitacoes'!$I$2:$I$501,"pendente",'Solicitacoes'!$G$2:$G$501,"&lt;"&amp;J31,'Solicitacoes'!$N$2:$N$501,"&gt;"&amp;C31)+COUNTIFS('Solicitacoes'!$F$2:$F$501,B31,'Solicitacoes'!$E$2:$E$501,A31,'Solicitacoes'!$I$2:$I$501,"pendente",'Solicitacoes'!$G$2:$G$501,"&lt;"&amp;J31,'Solicitacoes'!$N$2:$N$501,"&gt;"&amp;C31)+COUNTIFS('Solicitacoes'!$F$2:$F$501,B31,'Solicitacoes'!$K$2:$K$501,F31,'Solicitacoes'!$I$2:$I$501,"confirmado",'Solicitacoes'!$G$2:$G$501,"&lt;"&amp;J31,'Solicitacoes'!$N$2:$N$501,"&gt;"&amp;C31)+COUNTIFS('Solicitacoes'!$F$2:$F$501,B31,'Solicitacoes'!$E$2:$E$501,A31,'Solicitacoes'!$I$2:$I$501,"confirmado",'Solicitacoes'!$G$2:$G$501,"&lt;"&amp;J31,'Solicitacoes'!$N$2:$N$501,"&gt;"&amp;C31)&gt;0,"Ocupado","Disponível"))))</x:f>
        <x:v>Revisar escala</x:v>
      </x:c>
      <x:c r="N31" s="2" t="n">
        <x:f>IF(A31="","",ROW()-1)</x:f>
        <x:v>30</x:v>
      </x:c>
    </x:row>
    <x:row r="32" ht="24" customHeight="1">
      <x:c r="A32" s="13" t="str">
        <x:v>Géssyca Martins</x:v>
      </x:c>
      <x:c r="B32" s="14" t="d">
        <x:v>2026-10-06T00:00:00.000Z</x:v>
      </x:c>
      <x:c r="C32" s="26" t="n">
        <x:v>0.5416666666666666</x:v>
      </x:c>
      <x:c r="D32" s="13" t="str">
        <x:v>presencial</x:v>
      </x:c>
      <x:c r="E32" s="13" t="str">
        <x:v>não</x:v>
      </x:c>
      <x:c r="F32" s="13" t="str">
        <x:v>Sala 1</x:v>
      </x:c>
      <x:c r="G32" s="12" t="n">
        <x:f>IF(A32="","",'Agenda'!$B$5)</x:f>
        <x:v>50</x:v>
      </x:c>
      <x:c r="H32" s="12" t="n">
        <x:f>IF(A32="","",'Agenda'!$B$6)</x:f>
        <x:v>10</x:v>
      </x:c>
      <x:c r="I32" s="24" t="n">
        <x:f>IF(A32="","",C32+G32/1440)</x:f>
        <x:v>0.5763888888888888</x:v>
      </x:c>
      <x:c r="J32" s="24" t="n">
        <x:f>IF(A32="","",C32+(G32+H32)/1440)</x:f>
        <x:v>0.5833333333333333</x:v>
      </x:c>
      <x:c r="K32" s="27" t="n">
        <x:f>IF(A32="","",IF(E32&lt;&gt;"sim",0,COUNTIFS($B$2:$B$501,B32,$F$2:$F$501,F32,$E$2:$E$501,"sim",$C$2:$C$501,"&lt;"&amp;J32,$J$2:$J$501,"&gt;"&amp;C32)-1))</x:f>
        <x:v>0</x:v>
      </x:c>
      <x:c r="L32" s="27" t="n">
        <x:f>IF(A32="","",IF(E32&lt;&gt;"sim",0,COUNTIFS($B$2:$B$501,B32,$A$2:$A$501,A32,$E$2:$E$501,"sim",$C$2:$C$501,"&lt;"&amp;J32,$J$2:$J$501,"&gt;"&amp;C32)-1))</x:f>
        <x:v>0</x:v>
      </x:c>
      <x:c r="M32" s="2" t="str">
        <x:f>IF(A32="","",IF(E32&lt;&gt;"sim","Revisar escala",IF(OR(K32&gt;0,L32&gt;0),"Conflito de escala",IF(COUNTIFS('Solicitacoes'!$F$2:$F$501,B32,'Solicitacoes'!$K$2:$K$501,F32,'Solicitacoes'!$I$2:$I$501,"pendente",'Solicitacoes'!$G$2:$G$501,"&lt;"&amp;J32,'Solicitacoes'!$N$2:$N$501,"&gt;"&amp;C32)+COUNTIFS('Solicitacoes'!$F$2:$F$501,B32,'Solicitacoes'!$E$2:$E$501,A32,'Solicitacoes'!$I$2:$I$501,"pendente",'Solicitacoes'!$G$2:$G$501,"&lt;"&amp;J32,'Solicitacoes'!$N$2:$N$501,"&gt;"&amp;C32)+COUNTIFS('Solicitacoes'!$F$2:$F$501,B32,'Solicitacoes'!$K$2:$K$501,F32,'Solicitacoes'!$I$2:$I$501,"confirmado",'Solicitacoes'!$G$2:$G$501,"&lt;"&amp;J32,'Solicitacoes'!$N$2:$N$501,"&gt;"&amp;C32)+COUNTIFS('Solicitacoes'!$F$2:$F$501,B32,'Solicitacoes'!$E$2:$E$501,A32,'Solicitacoes'!$I$2:$I$501,"confirmado",'Solicitacoes'!$G$2:$G$501,"&lt;"&amp;J32,'Solicitacoes'!$N$2:$N$501,"&gt;"&amp;C32)&gt;0,"Ocupado","Disponível"))))</x:f>
        <x:v>Revisar escala</x:v>
      </x:c>
      <x:c r="N32" s="2" t="n">
        <x:f>IF(A32="","",ROW()-1)</x:f>
        <x:v>31</x:v>
      </x:c>
    </x:row>
    <x:row r="33" ht="24" customHeight="1">
      <x:c r="A33" s="13" t="str">
        <x:v>Laura Casanova</x:v>
      </x:c>
      <x:c r="B33" s="14" t="d">
        <x:v>2026-10-06T00:00:00.000Z</x:v>
      </x:c>
      <x:c r="C33" s="26" t="n">
        <x:v>0.5416666666666666</x:v>
      </x:c>
      <x:c r="D33" s="13" t="str">
        <x:v>presencial</x:v>
      </x:c>
      <x:c r="E33" s="13" t="str">
        <x:v>não</x:v>
      </x:c>
      <x:c r="F33" s="13" t="str">
        <x:v>Sala 2</x:v>
      </x:c>
      <x:c r="G33" s="12" t="n">
        <x:f>IF(A33="","",'Agenda'!$B$5)</x:f>
        <x:v>50</x:v>
      </x:c>
      <x:c r="H33" s="12" t="n">
        <x:f>IF(A33="","",'Agenda'!$B$6)</x:f>
        <x:v>10</x:v>
      </x:c>
      <x:c r="I33" s="24" t="n">
        <x:f>IF(A33="","",C33+G33/1440)</x:f>
        <x:v>0.5763888888888888</x:v>
      </x:c>
      <x:c r="J33" s="24" t="n">
        <x:f>IF(A33="","",C33+(G33+H33)/1440)</x:f>
        <x:v>0.5833333333333333</x:v>
      </x:c>
      <x:c r="K33" s="27" t="n">
        <x:f>IF(A33="","",IF(E33&lt;&gt;"sim",0,COUNTIFS($B$2:$B$501,B33,$F$2:$F$501,F33,$E$2:$E$501,"sim",$C$2:$C$501,"&lt;"&amp;J33,$J$2:$J$501,"&gt;"&amp;C33)-1))</x:f>
        <x:v>0</x:v>
      </x:c>
      <x:c r="L33" s="27" t="n">
        <x:f>IF(A33="","",IF(E33&lt;&gt;"sim",0,COUNTIFS($B$2:$B$501,B33,$A$2:$A$501,A33,$E$2:$E$501,"sim",$C$2:$C$501,"&lt;"&amp;J33,$J$2:$J$501,"&gt;"&amp;C33)-1))</x:f>
        <x:v>0</x:v>
      </x:c>
      <x:c r="M33" s="2" t="str">
        <x:f>IF(A33="","",IF(E33&lt;&gt;"sim","Revisar escala",IF(OR(K33&gt;0,L33&gt;0),"Conflito de escala",IF(COUNTIFS('Solicitacoes'!$F$2:$F$501,B33,'Solicitacoes'!$K$2:$K$501,F33,'Solicitacoes'!$I$2:$I$501,"pendente",'Solicitacoes'!$G$2:$G$501,"&lt;"&amp;J33,'Solicitacoes'!$N$2:$N$501,"&gt;"&amp;C33)+COUNTIFS('Solicitacoes'!$F$2:$F$501,B33,'Solicitacoes'!$E$2:$E$501,A33,'Solicitacoes'!$I$2:$I$501,"pendente",'Solicitacoes'!$G$2:$G$501,"&lt;"&amp;J33,'Solicitacoes'!$N$2:$N$501,"&gt;"&amp;C33)+COUNTIFS('Solicitacoes'!$F$2:$F$501,B33,'Solicitacoes'!$K$2:$K$501,F33,'Solicitacoes'!$I$2:$I$501,"confirmado",'Solicitacoes'!$G$2:$G$501,"&lt;"&amp;J33,'Solicitacoes'!$N$2:$N$501,"&gt;"&amp;C33)+COUNTIFS('Solicitacoes'!$F$2:$F$501,B33,'Solicitacoes'!$E$2:$E$501,A33,'Solicitacoes'!$I$2:$I$501,"confirmado",'Solicitacoes'!$G$2:$G$501,"&lt;"&amp;J33,'Solicitacoes'!$N$2:$N$501,"&gt;"&amp;C33)&gt;0,"Ocupado","Disponível"))))</x:f>
        <x:v>Revisar escala</x:v>
      </x:c>
      <x:c r="N33" s="2" t="n">
        <x:f>IF(A33="","",ROW()-1)</x:f>
        <x:v>32</x:v>
      </x:c>
    </x:row>
    <x:row r="34" ht="24" customHeight="1">
      <x:c r="A34" s="13" t="str">
        <x:v>Aline Reis</x:v>
      </x:c>
      <x:c r="B34" s="14" t="d">
        <x:v>2026-10-06T00:00:00.000Z</x:v>
      </x:c>
      <x:c r="C34" s="26" t="n">
        <x:v>0.5833333333333334</x:v>
      </x:c>
      <x:c r="D34" s="13" t="str">
        <x:v>presencial</x:v>
      </x:c>
      <x:c r="E34" s="13" t="str">
        <x:v>não</x:v>
      </x:c>
      <x:c r="F34" s="13" t="str">
        <x:v>Sala 1</x:v>
      </x:c>
      <x:c r="G34" s="12" t="n">
        <x:f>IF(A34="","",'Agenda'!$B$5)</x:f>
        <x:v>50</x:v>
      </x:c>
      <x:c r="H34" s="12" t="n">
        <x:f>IF(A34="","",'Agenda'!$B$6)</x:f>
        <x:v>10</x:v>
      </x:c>
      <x:c r="I34" s="24" t="n">
        <x:f>IF(A34="","",C34+G34/1440)</x:f>
        <x:v>0.6180555555555556</x:v>
      </x:c>
      <x:c r="J34" s="24" t="n">
        <x:f>IF(A34="","",C34+(G34+H34)/1440)</x:f>
        <x:v>0.625</x:v>
      </x:c>
      <x:c r="K34" s="27" t="n">
        <x:f>IF(A34="","",IF(E34&lt;&gt;"sim",0,COUNTIFS($B$2:$B$501,B34,$F$2:$F$501,F34,$E$2:$E$501,"sim",$C$2:$C$501,"&lt;"&amp;J34,$J$2:$J$501,"&gt;"&amp;C34)-1))</x:f>
        <x:v>0</x:v>
      </x:c>
      <x:c r="L34" s="27" t="n">
        <x:f>IF(A34="","",IF(E34&lt;&gt;"sim",0,COUNTIFS($B$2:$B$501,B34,$A$2:$A$501,A34,$E$2:$E$501,"sim",$C$2:$C$501,"&lt;"&amp;J34,$J$2:$J$501,"&gt;"&amp;C34)-1))</x:f>
        <x:v>0</x:v>
      </x:c>
      <x:c r="M34" s="2" t="str">
        <x:f>IF(A34="","",IF(E34&lt;&gt;"sim","Revisar escala",IF(OR(K34&gt;0,L34&gt;0),"Conflito de escala",IF(COUNTIFS('Solicitacoes'!$F$2:$F$501,B34,'Solicitacoes'!$K$2:$K$501,F34,'Solicitacoes'!$I$2:$I$501,"pendente",'Solicitacoes'!$G$2:$G$501,"&lt;"&amp;J34,'Solicitacoes'!$N$2:$N$501,"&gt;"&amp;C34)+COUNTIFS('Solicitacoes'!$F$2:$F$501,B34,'Solicitacoes'!$E$2:$E$501,A34,'Solicitacoes'!$I$2:$I$501,"pendente",'Solicitacoes'!$G$2:$G$501,"&lt;"&amp;J34,'Solicitacoes'!$N$2:$N$501,"&gt;"&amp;C34)+COUNTIFS('Solicitacoes'!$F$2:$F$501,B34,'Solicitacoes'!$K$2:$K$501,F34,'Solicitacoes'!$I$2:$I$501,"confirmado",'Solicitacoes'!$G$2:$G$501,"&lt;"&amp;J34,'Solicitacoes'!$N$2:$N$501,"&gt;"&amp;C34)+COUNTIFS('Solicitacoes'!$F$2:$F$501,B34,'Solicitacoes'!$E$2:$E$501,A34,'Solicitacoes'!$I$2:$I$501,"confirmado",'Solicitacoes'!$G$2:$G$501,"&lt;"&amp;J34,'Solicitacoes'!$N$2:$N$501,"&gt;"&amp;C34)&gt;0,"Ocupado","Disponível"))))</x:f>
        <x:v>Revisar escala</x:v>
      </x:c>
      <x:c r="N34" s="2" t="n">
        <x:f>IF(A34="","",ROW()-1)</x:f>
        <x:v>33</x:v>
      </x:c>
    </x:row>
    <x:row r="35" ht="24" customHeight="1">
      <x:c r="A35" s="13" t="str">
        <x:v>Géssyca Martins</x:v>
      </x:c>
      <x:c r="B35" s="14" t="d">
        <x:v>2026-10-06T00:00:00.000Z</x:v>
      </x:c>
      <x:c r="C35" s="26" t="n">
        <x:v>0.5833333333333334</x:v>
      </x:c>
      <x:c r="D35" s="13" t="str">
        <x:v>presencial</x:v>
      </x:c>
      <x:c r="E35" s="13" t="str">
        <x:v>não</x:v>
      </x:c>
      <x:c r="F35" s="13" t="str">
        <x:v>Sala 2</x:v>
      </x:c>
      <x:c r="G35" s="12" t="n">
        <x:f>IF(A35="","",'Agenda'!$B$5)</x:f>
        <x:v>50</x:v>
      </x:c>
      <x:c r="H35" s="12" t="n">
        <x:f>IF(A35="","",'Agenda'!$B$6)</x:f>
        <x:v>10</x:v>
      </x:c>
      <x:c r="I35" s="24" t="n">
        <x:f>IF(A35="","",C35+G35/1440)</x:f>
        <x:v>0.6180555555555556</x:v>
      </x:c>
      <x:c r="J35" s="24" t="n">
        <x:f>IF(A35="","",C35+(G35+H35)/1440)</x:f>
        <x:v>0.625</x:v>
      </x:c>
      <x:c r="K35" s="27" t="n">
        <x:f>IF(A35="","",IF(E35&lt;&gt;"sim",0,COUNTIFS($B$2:$B$501,B35,$F$2:$F$501,F35,$E$2:$E$501,"sim",$C$2:$C$501,"&lt;"&amp;J35,$J$2:$J$501,"&gt;"&amp;C35)-1))</x:f>
        <x:v>0</x:v>
      </x:c>
      <x:c r="L35" s="27" t="n">
        <x:f>IF(A35="","",IF(E35&lt;&gt;"sim",0,COUNTIFS($B$2:$B$501,B35,$A$2:$A$501,A35,$E$2:$E$501,"sim",$C$2:$C$501,"&lt;"&amp;J35,$J$2:$J$501,"&gt;"&amp;C35)-1))</x:f>
        <x:v>0</x:v>
      </x:c>
      <x:c r="M35" s="2" t="str">
        <x:f>IF(A35="","",IF(E35&lt;&gt;"sim","Revisar escala",IF(OR(K35&gt;0,L35&gt;0),"Conflito de escala",IF(COUNTIFS('Solicitacoes'!$F$2:$F$501,B35,'Solicitacoes'!$K$2:$K$501,F35,'Solicitacoes'!$I$2:$I$501,"pendente",'Solicitacoes'!$G$2:$G$501,"&lt;"&amp;J35,'Solicitacoes'!$N$2:$N$501,"&gt;"&amp;C35)+COUNTIFS('Solicitacoes'!$F$2:$F$501,B35,'Solicitacoes'!$E$2:$E$501,A35,'Solicitacoes'!$I$2:$I$501,"pendente",'Solicitacoes'!$G$2:$G$501,"&lt;"&amp;J35,'Solicitacoes'!$N$2:$N$501,"&gt;"&amp;C35)+COUNTIFS('Solicitacoes'!$F$2:$F$501,B35,'Solicitacoes'!$K$2:$K$501,F35,'Solicitacoes'!$I$2:$I$501,"confirmado",'Solicitacoes'!$G$2:$G$501,"&lt;"&amp;J35,'Solicitacoes'!$N$2:$N$501,"&gt;"&amp;C35)+COUNTIFS('Solicitacoes'!$F$2:$F$501,B35,'Solicitacoes'!$E$2:$E$501,A35,'Solicitacoes'!$I$2:$I$501,"confirmado",'Solicitacoes'!$G$2:$G$501,"&lt;"&amp;J35,'Solicitacoes'!$N$2:$N$501,"&gt;"&amp;C35)&gt;0,"Ocupado","Disponível"))))</x:f>
        <x:v>Revisar escala</x:v>
      </x:c>
      <x:c r="N35" s="2" t="n">
        <x:f>IF(A35="","",ROW()-1)</x:f>
        <x:v>34</x:v>
      </x:c>
    </x:row>
    <x:row r="36" ht="24" customHeight="1">
      <x:c r="A36" s="13" t="str">
        <x:v>Aline Reis</x:v>
      </x:c>
      <x:c r="B36" s="14" t="d">
        <x:v>2026-10-06T00:00:00.000Z</x:v>
      </x:c>
      <x:c r="C36" s="26" t="n">
        <x:v>0.625</x:v>
      </x:c>
      <x:c r="D36" s="13" t="str">
        <x:v>presencial</x:v>
      </x:c>
      <x:c r="E36" s="13" t="str">
        <x:v>não</x:v>
      </x:c>
      <x:c r="F36" s="13" t="str">
        <x:v>Sala 1</x:v>
      </x:c>
      <x:c r="G36" s="12" t="n">
        <x:f>IF(A36="","",'Agenda'!$B$5)</x:f>
        <x:v>50</x:v>
      </x:c>
      <x:c r="H36" s="12" t="n">
        <x:f>IF(A36="","",'Agenda'!$B$6)</x:f>
        <x:v>10</x:v>
      </x:c>
      <x:c r="I36" s="24" t="n">
        <x:f>IF(A36="","",C36+G36/1440)</x:f>
        <x:v>0.6597222222222222</x:v>
      </x:c>
      <x:c r="J36" s="24" t="n">
        <x:f>IF(A36="","",C36+(G36+H36)/1440)</x:f>
        <x:v>0.6666666666666666</x:v>
      </x:c>
      <x:c r="K36" s="27" t="n">
        <x:f>IF(A36="","",IF(E36&lt;&gt;"sim",0,COUNTIFS($B$2:$B$501,B36,$F$2:$F$501,F36,$E$2:$E$501,"sim",$C$2:$C$501,"&lt;"&amp;J36,$J$2:$J$501,"&gt;"&amp;C36)-1))</x:f>
        <x:v>0</x:v>
      </x:c>
      <x:c r="L36" s="27" t="n">
        <x:f>IF(A36="","",IF(E36&lt;&gt;"sim",0,COUNTIFS($B$2:$B$501,B36,$A$2:$A$501,A36,$E$2:$E$501,"sim",$C$2:$C$501,"&lt;"&amp;J36,$J$2:$J$501,"&gt;"&amp;C36)-1))</x:f>
        <x:v>0</x:v>
      </x:c>
      <x:c r="M36" s="2" t="str">
        <x:f>IF(A36="","",IF(E36&lt;&gt;"sim","Revisar escala",IF(OR(K36&gt;0,L36&gt;0),"Conflito de escala",IF(COUNTIFS('Solicitacoes'!$F$2:$F$501,B36,'Solicitacoes'!$K$2:$K$501,F36,'Solicitacoes'!$I$2:$I$501,"pendente",'Solicitacoes'!$G$2:$G$501,"&lt;"&amp;J36,'Solicitacoes'!$N$2:$N$501,"&gt;"&amp;C36)+COUNTIFS('Solicitacoes'!$F$2:$F$501,B36,'Solicitacoes'!$E$2:$E$501,A36,'Solicitacoes'!$I$2:$I$501,"pendente",'Solicitacoes'!$G$2:$G$501,"&lt;"&amp;J36,'Solicitacoes'!$N$2:$N$501,"&gt;"&amp;C36)+COUNTIFS('Solicitacoes'!$F$2:$F$501,B36,'Solicitacoes'!$K$2:$K$501,F36,'Solicitacoes'!$I$2:$I$501,"confirmado",'Solicitacoes'!$G$2:$G$501,"&lt;"&amp;J36,'Solicitacoes'!$N$2:$N$501,"&gt;"&amp;C36)+COUNTIFS('Solicitacoes'!$F$2:$F$501,B36,'Solicitacoes'!$E$2:$E$501,A36,'Solicitacoes'!$I$2:$I$501,"confirmado",'Solicitacoes'!$G$2:$G$501,"&lt;"&amp;J36,'Solicitacoes'!$N$2:$N$501,"&gt;"&amp;C36)&gt;0,"Ocupado","Disponível"))))</x:f>
        <x:v>Revisar escala</x:v>
      </x:c>
      <x:c r="N36" s="2" t="n">
        <x:f>IF(A36="","",ROW()-1)</x:f>
        <x:v>35</x:v>
      </x:c>
    </x:row>
    <x:row r="37" ht="24" customHeight="1">
      <x:c r="A37" s="13" t="str">
        <x:v>Géssyca Martins</x:v>
      </x:c>
      <x:c r="B37" s="14" t="d">
        <x:v>2026-10-06T00:00:00.000Z</x:v>
      </x:c>
      <x:c r="C37" s="26" t="n">
        <x:v>0.625</x:v>
      </x:c>
      <x:c r="D37" s="13" t="str">
        <x:v>presencial</x:v>
      </x:c>
      <x:c r="E37" s="13" t="str">
        <x:v>não</x:v>
      </x:c>
      <x:c r="F37" s="13" t="str">
        <x:v>Sala 2</x:v>
      </x:c>
      <x:c r="G37" s="12" t="n">
        <x:f>IF(A37="","",'Agenda'!$B$5)</x:f>
        <x:v>50</x:v>
      </x:c>
      <x:c r="H37" s="12" t="n">
        <x:f>IF(A37="","",'Agenda'!$B$6)</x:f>
        <x:v>10</x:v>
      </x:c>
      <x:c r="I37" s="24" t="n">
        <x:f>IF(A37="","",C37+G37/1440)</x:f>
        <x:v>0.6597222222222222</x:v>
      </x:c>
      <x:c r="J37" s="24" t="n">
        <x:f>IF(A37="","",C37+(G37+H37)/1440)</x:f>
        <x:v>0.6666666666666666</x:v>
      </x:c>
      <x:c r="K37" s="27" t="n">
        <x:f>IF(A37="","",IF(E37&lt;&gt;"sim",0,COUNTIFS($B$2:$B$501,B37,$F$2:$F$501,F37,$E$2:$E$501,"sim",$C$2:$C$501,"&lt;"&amp;J37,$J$2:$J$501,"&gt;"&amp;C37)-1))</x:f>
        <x:v>0</x:v>
      </x:c>
      <x:c r="L37" s="27" t="n">
        <x:f>IF(A37="","",IF(E37&lt;&gt;"sim",0,COUNTIFS($B$2:$B$501,B37,$A$2:$A$501,A37,$E$2:$E$501,"sim",$C$2:$C$501,"&lt;"&amp;J37,$J$2:$J$501,"&gt;"&amp;C37)-1))</x:f>
        <x:v>0</x:v>
      </x:c>
      <x:c r="M37" s="2" t="str">
        <x:f>IF(A37="","",IF(E37&lt;&gt;"sim","Revisar escala",IF(OR(K37&gt;0,L37&gt;0),"Conflito de escala",IF(COUNTIFS('Solicitacoes'!$F$2:$F$501,B37,'Solicitacoes'!$K$2:$K$501,F37,'Solicitacoes'!$I$2:$I$501,"pendente",'Solicitacoes'!$G$2:$G$501,"&lt;"&amp;J37,'Solicitacoes'!$N$2:$N$501,"&gt;"&amp;C37)+COUNTIFS('Solicitacoes'!$F$2:$F$501,B37,'Solicitacoes'!$E$2:$E$501,A37,'Solicitacoes'!$I$2:$I$501,"pendente",'Solicitacoes'!$G$2:$G$501,"&lt;"&amp;J37,'Solicitacoes'!$N$2:$N$501,"&gt;"&amp;C37)+COUNTIFS('Solicitacoes'!$F$2:$F$501,B37,'Solicitacoes'!$K$2:$K$501,F37,'Solicitacoes'!$I$2:$I$501,"confirmado",'Solicitacoes'!$G$2:$G$501,"&lt;"&amp;J37,'Solicitacoes'!$N$2:$N$501,"&gt;"&amp;C37)+COUNTIFS('Solicitacoes'!$F$2:$F$501,B37,'Solicitacoes'!$E$2:$E$501,A37,'Solicitacoes'!$I$2:$I$501,"confirmado",'Solicitacoes'!$G$2:$G$501,"&lt;"&amp;J37,'Solicitacoes'!$N$2:$N$501,"&gt;"&amp;C37)&gt;0,"Ocupado","Disponível"))))</x:f>
        <x:v>Revisar escala</x:v>
      </x:c>
      <x:c r="N37" s="2" t="n">
        <x:f>IF(A37="","",ROW()-1)</x:f>
        <x:v>36</x:v>
      </x:c>
    </x:row>
    <x:row r="38" ht="24" customHeight="1">
      <x:c r="A38" s="13" t="str">
        <x:v>Aline Reis</x:v>
      </x:c>
      <x:c r="B38" s="14" t="d">
        <x:v>2026-10-06T00:00:00.000Z</x:v>
      </x:c>
      <x:c r="C38" s="26" t="n">
        <x:v>0.6666666666666666</x:v>
      </x:c>
      <x:c r="D38" s="13" t="str">
        <x:v>presencial</x:v>
      </x:c>
      <x:c r="E38" s="13" t="str">
        <x:v>não</x:v>
      </x:c>
      <x:c r="F38" s="13" t="str">
        <x:v>Sala 1</x:v>
      </x:c>
      <x:c r="G38" s="12" t="n">
        <x:f>IF(A38="","",'Agenda'!$B$5)</x:f>
        <x:v>50</x:v>
      </x:c>
      <x:c r="H38" s="12" t="n">
        <x:f>IF(A38="","",'Agenda'!$B$6)</x:f>
        <x:v>10</x:v>
      </x:c>
      <x:c r="I38" s="24" t="n">
        <x:f>IF(A38="","",C38+G38/1440)</x:f>
        <x:v>0.7013888888888888</x:v>
      </x:c>
      <x:c r="J38" s="24" t="n">
        <x:f>IF(A38="","",C38+(G38+H38)/1440)</x:f>
        <x:v>0.7083333333333333</x:v>
      </x:c>
      <x:c r="K38" s="27" t="n">
        <x:f>IF(A38="","",IF(E38&lt;&gt;"sim",0,COUNTIFS($B$2:$B$501,B38,$F$2:$F$501,F38,$E$2:$E$501,"sim",$C$2:$C$501,"&lt;"&amp;J38,$J$2:$J$501,"&gt;"&amp;C38)-1))</x:f>
        <x:v>0</x:v>
      </x:c>
      <x:c r="L38" s="27" t="n">
        <x:f>IF(A38="","",IF(E38&lt;&gt;"sim",0,COUNTIFS($B$2:$B$501,B38,$A$2:$A$501,A38,$E$2:$E$501,"sim",$C$2:$C$501,"&lt;"&amp;J38,$J$2:$J$501,"&gt;"&amp;C38)-1))</x:f>
        <x:v>0</x:v>
      </x:c>
      <x:c r="M38" s="2" t="str">
        <x:f>IF(A38="","",IF(E38&lt;&gt;"sim","Revisar escala",IF(OR(K38&gt;0,L38&gt;0),"Conflito de escala",IF(COUNTIFS('Solicitacoes'!$F$2:$F$501,B38,'Solicitacoes'!$K$2:$K$501,F38,'Solicitacoes'!$I$2:$I$501,"pendente",'Solicitacoes'!$G$2:$G$501,"&lt;"&amp;J38,'Solicitacoes'!$N$2:$N$501,"&gt;"&amp;C38)+COUNTIFS('Solicitacoes'!$F$2:$F$501,B38,'Solicitacoes'!$E$2:$E$501,A38,'Solicitacoes'!$I$2:$I$501,"pendente",'Solicitacoes'!$G$2:$G$501,"&lt;"&amp;J38,'Solicitacoes'!$N$2:$N$501,"&gt;"&amp;C38)+COUNTIFS('Solicitacoes'!$F$2:$F$501,B38,'Solicitacoes'!$K$2:$K$501,F38,'Solicitacoes'!$I$2:$I$501,"confirmado",'Solicitacoes'!$G$2:$G$501,"&lt;"&amp;J38,'Solicitacoes'!$N$2:$N$501,"&gt;"&amp;C38)+COUNTIFS('Solicitacoes'!$F$2:$F$501,B38,'Solicitacoes'!$E$2:$E$501,A38,'Solicitacoes'!$I$2:$I$501,"confirmado",'Solicitacoes'!$G$2:$G$501,"&lt;"&amp;J38,'Solicitacoes'!$N$2:$N$501,"&gt;"&amp;C38)&gt;0,"Ocupado","Disponível"))))</x:f>
        <x:v>Revisar escala</x:v>
      </x:c>
      <x:c r="N38" s="2" t="n">
        <x:f>IF(A38="","",ROW()-1)</x:f>
        <x:v>37</x:v>
      </x:c>
    </x:row>
    <x:row r="39" ht="24" customHeight="1">
      <x:c r="A39" s="13" t="str">
        <x:v>Géssyca Martins</x:v>
      </x:c>
      <x:c r="B39" s="14" t="d">
        <x:v>2026-10-06T00:00:00.000Z</x:v>
      </x:c>
      <x:c r="C39" s="26" t="n">
        <x:v>0.6666666666666666</x:v>
      </x:c>
      <x:c r="D39" s="13" t="str">
        <x:v>presencial</x:v>
      </x:c>
      <x:c r="E39" s="13" t="str">
        <x:v>não</x:v>
      </x:c>
      <x:c r="F39" s="13" t="str">
        <x:v>Sala 2</x:v>
      </x:c>
      <x:c r="G39" s="12" t="n">
        <x:f>IF(A39="","",'Agenda'!$B$5)</x:f>
        <x:v>50</x:v>
      </x:c>
      <x:c r="H39" s="12" t="n">
        <x:f>IF(A39="","",'Agenda'!$B$6)</x:f>
        <x:v>10</x:v>
      </x:c>
      <x:c r="I39" s="24" t="n">
        <x:f>IF(A39="","",C39+G39/1440)</x:f>
        <x:v>0.7013888888888888</x:v>
      </x:c>
      <x:c r="J39" s="24" t="n">
        <x:f>IF(A39="","",C39+(G39+H39)/1440)</x:f>
        <x:v>0.7083333333333333</x:v>
      </x:c>
      <x:c r="K39" s="27" t="n">
        <x:f>IF(A39="","",IF(E39&lt;&gt;"sim",0,COUNTIFS($B$2:$B$501,B39,$F$2:$F$501,F39,$E$2:$E$501,"sim",$C$2:$C$501,"&lt;"&amp;J39,$J$2:$J$501,"&gt;"&amp;C39)-1))</x:f>
        <x:v>0</x:v>
      </x:c>
      <x:c r="L39" s="27" t="n">
        <x:f>IF(A39="","",IF(E39&lt;&gt;"sim",0,COUNTIFS($B$2:$B$501,B39,$A$2:$A$501,A39,$E$2:$E$501,"sim",$C$2:$C$501,"&lt;"&amp;J39,$J$2:$J$501,"&gt;"&amp;C39)-1))</x:f>
        <x:v>0</x:v>
      </x:c>
      <x:c r="M39" s="2" t="str">
        <x:f>IF(A39="","",IF(E39&lt;&gt;"sim","Revisar escala",IF(OR(K39&gt;0,L39&gt;0),"Conflito de escala",IF(COUNTIFS('Solicitacoes'!$F$2:$F$501,B39,'Solicitacoes'!$K$2:$K$501,F39,'Solicitacoes'!$I$2:$I$501,"pendente",'Solicitacoes'!$G$2:$G$501,"&lt;"&amp;J39,'Solicitacoes'!$N$2:$N$501,"&gt;"&amp;C39)+COUNTIFS('Solicitacoes'!$F$2:$F$501,B39,'Solicitacoes'!$E$2:$E$501,A39,'Solicitacoes'!$I$2:$I$501,"pendente",'Solicitacoes'!$G$2:$G$501,"&lt;"&amp;J39,'Solicitacoes'!$N$2:$N$501,"&gt;"&amp;C39)+COUNTIFS('Solicitacoes'!$F$2:$F$501,B39,'Solicitacoes'!$K$2:$K$501,F39,'Solicitacoes'!$I$2:$I$501,"confirmado",'Solicitacoes'!$G$2:$G$501,"&lt;"&amp;J39,'Solicitacoes'!$N$2:$N$501,"&gt;"&amp;C39)+COUNTIFS('Solicitacoes'!$F$2:$F$501,B39,'Solicitacoes'!$E$2:$E$501,A39,'Solicitacoes'!$I$2:$I$501,"confirmado",'Solicitacoes'!$G$2:$G$501,"&lt;"&amp;J39,'Solicitacoes'!$N$2:$N$501,"&gt;"&amp;C39)&gt;0,"Ocupado","Disponível"))))</x:f>
        <x:v>Revisar escala</x:v>
      </x:c>
      <x:c r="N39" s="2" t="n">
        <x:f>IF(A39="","",ROW()-1)</x:f>
        <x:v>38</x:v>
      </x:c>
    </x:row>
    <x:row r="40" ht="24" customHeight="1">
      <x:c r="A40" s="13" t="str">
        <x:v>Aline Reis</x:v>
      </x:c>
      <x:c r="B40" s="14" t="d">
        <x:v>2026-10-06T00:00:00.000Z</x:v>
      </x:c>
      <x:c r="C40" s="26" t="n">
        <x:v>0.7083333333333334</x:v>
      </x:c>
      <x:c r="D40" s="13" t="str">
        <x:v>presencial</x:v>
      </x:c>
      <x:c r="E40" s="13" t="str">
        <x:v>não</x:v>
      </x:c>
      <x:c r="F40" s="13" t="str">
        <x:v>Sala 1</x:v>
      </x:c>
      <x:c r="G40" s="12" t="n">
        <x:f>IF(A40="","",'Agenda'!$B$5)</x:f>
        <x:v>50</x:v>
      </x:c>
      <x:c r="H40" s="12" t="n">
        <x:f>IF(A40="","",'Agenda'!$B$6)</x:f>
        <x:v>10</x:v>
      </x:c>
      <x:c r="I40" s="24" t="n">
        <x:f>IF(A40="","",C40+G40/1440)</x:f>
        <x:v>0.7430555555555556</x:v>
      </x:c>
      <x:c r="J40" s="24" t="n">
        <x:f>IF(A40="","",C40+(G40+H40)/1440)</x:f>
        <x:v>0.75</x:v>
      </x:c>
      <x:c r="K40" s="27" t="n">
        <x:f>IF(A40="","",IF(E40&lt;&gt;"sim",0,COUNTIFS($B$2:$B$501,B40,$F$2:$F$501,F40,$E$2:$E$501,"sim",$C$2:$C$501,"&lt;"&amp;J40,$J$2:$J$501,"&gt;"&amp;C40)-1))</x:f>
        <x:v>0</x:v>
      </x:c>
      <x:c r="L40" s="27" t="n">
        <x:f>IF(A40="","",IF(E40&lt;&gt;"sim",0,COUNTIFS($B$2:$B$501,B40,$A$2:$A$501,A40,$E$2:$E$501,"sim",$C$2:$C$501,"&lt;"&amp;J40,$J$2:$J$501,"&gt;"&amp;C40)-1))</x:f>
        <x:v>0</x:v>
      </x:c>
      <x:c r="M40" s="2" t="str">
        <x:f>IF(A40="","",IF(E40&lt;&gt;"sim","Revisar escala",IF(OR(K40&gt;0,L40&gt;0),"Conflito de escala",IF(COUNTIFS('Solicitacoes'!$F$2:$F$501,B40,'Solicitacoes'!$K$2:$K$501,F40,'Solicitacoes'!$I$2:$I$501,"pendente",'Solicitacoes'!$G$2:$G$501,"&lt;"&amp;J40,'Solicitacoes'!$N$2:$N$501,"&gt;"&amp;C40)+COUNTIFS('Solicitacoes'!$F$2:$F$501,B40,'Solicitacoes'!$E$2:$E$501,A40,'Solicitacoes'!$I$2:$I$501,"pendente",'Solicitacoes'!$G$2:$G$501,"&lt;"&amp;J40,'Solicitacoes'!$N$2:$N$501,"&gt;"&amp;C40)+COUNTIFS('Solicitacoes'!$F$2:$F$501,B40,'Solicitacoes'!$K$2:$K$501,F40,'Solicitacoes'!$I$2:$I$501,"confirmado",'Solicitacoes'!$G$2:$G$501,"&lt;"&amp;J40,'Solicitacoes'!$N$2:$N$501,"&gt;"&amp;C40)+COUNTIFS('Solicitacoes'!$F$2:$F$501,B40,'Solicitacoes'!$E$2:$E$501,A40,'Solicitacoes'!$I$2:$I$501,"confirmado",'Solicitacoes'!$G$2:$G$501,"&lt;"&amp;J40,'Solicitacoes'!$N$2:$N$501,"&gt;"&amp;C40)&gt;0,"Ocupado","Disponível"))))</x:f>
        <x:v>Revisar escala</x:v>
      </x:c>
      <x:c r="N40" s="2" t="n">
        <x:f>IF(A40="","",ROW()-1)</x:f>
        <x:v>39</x:v>
      </x:c>
    </x:row>
    <x:row r="41" ht="24" customHeight="1">
      <x:c r="A41" s="13" t="str">
        <x:v>Géssyca Martins</x:v>
      </x:c>
      <x:c r="B41" s="14" t="d">
        <x:v>2026-10-06T00:00:00.000Z</x:v>
      </x:c>
      <x:c r="C41" s="26" t="n">
        <x:v>0.7083333333333334</x:v>
      </x:c>
      <x:c r="D41" s="13" t="str">
        <x:v>presencial</x:v>
      </x:c>
      <x:c r="E41" s="13" t="str">
        <x:v>não</x:v>
      </x:c>
      <x:c r="F41" s="13" t="str">
        <x:v>Sala 2</x:v>
      </x:c>
      <x:c r="G41" s="12" t="n">
        <x:f>IF(A41="","",'Agenda'!$B$5)</x:f>
        <x:v>50</x:v>
      </x:c>
      <x:c r="H41" s="12" t="n">
        <x:f>IF(A41="","",'Agenda'!$B$6)</x:f>
        <x:v>10</x:v>
      </x:c>
      <x:c r="I41" s="24" t="n">
        <x:f>IF(A41="","",C41+G41/1440)</x:f>
        <x:v>0.7430555555555556</x:v>
      </x:c>
      <x:c r="J41" s="24" t="n">
        <x:f>IF(A41="","",C41+(G41+H41)/1440)</x:f>
        <x:v>0.75</x:v>
      </x:c>
      <x:c r="K41" s="27" t="n">
        <x:f>IF(A41="","",IF(E41&lt;&gt;"sim",0,COUNTIFS($B$2:$B$501,B41,$F$2:$F$501,F41,$E$2:$E$501,"sim",$C$2:$C$501,"&lt;"&amp;J41,$J$2:$J$501,"&gt;"&amp;C41)-1))</x:f>
        <x:v>0</x:v>
      </x:c>
      <x:c r="L41" s="27" t="n">
        <x:f>IF(A41="","",IF(E41&lt;&gt;"sim",0,COUNTIFS($B$2:$B$501,B41,$A$2:$A$501,A41,$E$2:$E$501,"sim",$C$2:$C$501,"&lt;"&amp;J41,$J$2:$J$501,"&gt;"&amp;C41)-1))</x:f>
        <x:v>0</x:v>
      </x:c>
      <x:c r="M41" s="2" t="str">
        <x:f>IF(A41="","",IF(E41&lt;&gt;"sim","Revisar escala",IF(OR(K41&gt;0,L41&gt;0),"Conflito de escala",IF(COUNTIFS('Solicitacoes'!$F$2:$F$501,B41,'Solicitacoes'!$K$2:$K$501,F41,'Solicitacoes'!$I$2:$I$501,"pendente",'Solicitacoes'!$G$2:$G$501,"&lt;"&amp;J41,'Solicitacoes'!$N$2:$N$501,"&gt;"&amp;C41)+COUNTIFS('Solicitacoes'!$F$2:$F$501,B41,'Solicitacoes'!$E$2:$E$501,A41,'Solicitacoes'!$I$2:$I$501,"pendente",'Solicitacoes'!$G$2:$G$501,"&lt;"&amp;J41,'Solicitacoes'!$N$2:$N$501,"&gt;"&amp;C41)+COUNTIFS('Solicitacoes'!$F$2:$F$501,B41,'Solicitacoes'!$K$2:$K$501,F41,'Solicitacoes'!$I$2:$I$501,"confirmado",'Solicitacoes'!$G$2:$G$501,"&lt;"&amp;J41,'Solicitacoes'!$N$2:$N$501,"&gt;"&amp;C41)+COUNTIFS('Solicitacoes'!$F$2:$F$501,B41,'Solicitacoes'!$E$2:$E$501,A41,'Solicitacoes'!$I$2:$I$501,"confirmado",'Solicitacoes'!$G$2:$G$501,"&lt;"&amp;J41,'Solicitacoes'!$N$2:$N$501,"&gt;"&amp;C41)&gt;0,"Ocupado","Disponível"))))</x:f>
        <x:v>Revisar escala</x:v>
      </x:c>
      <x:c r="N41" s="2" t="n">
        <x:f>IF(A41="","",ROW()-1)</x:f>
        <x:v>40</x:v>
      </x:c>
    </x:row>
    <x:row r="42" ht="24" customHeight="1">
      <x:c r="A42" s="13" t="str">
        <x:v>Aline Reis</x:v>
      </x:c>
      <x:c r="B42" s="14" t="d">
        <x:v>2026-10-06T00:00:00.000Z</x:v>
      </x:c>
      <x:c r="C42" s="26" t="n">
        <x:v>0.75</x:v>
      </x:c>
      <x:c r="D42" s="13" t="str">
        <x:v>presencial</x:v>
      </x:c>
      <x:c r="E42" s="13" t="str">
        <x:v>não</x:v>
      </x:c>
      <x:c r="F42" s="13" t="str">
        <x:v>Sala 1</x:v>
      </x:c>
      <x:c r="G42" s="12" t="n">
        <x:f>IF(A42="","",'Agenda'!$B$5)</x:f>
        <x:v>50</x:v>
      </x:c>
      <x:c r="H42" s="12" t="n">
        <x:f>IF(A42="","",'Agenda'!$B$6)</x:f>
        <x:v>10</x:v>
      </x:c>
      <x:c r="I42" s="24" t="n">
        <x:f>IF(A42="","",C42+G42/1440)</x:f>
        <x:v>0.7847222222222222</x:v>
      </x:c>
      <x:c r="J42" s="24" t="n">
        <x:f>IF(A42="","",C42+(G42+H42)/1440)</x:f>
        <x:v>0.7916666666666666</x:v>
      </x:c>
      <x:c r="K42" s="27" t="n">
        <x:f>IF(A42="","",IF(E42&lt;&gt;"sim",0,COUNTIFS($B$2:$B$501,B42,$F$2:$F$501,F42,$E$2:$E$501,"sim",$C$2:$C$501,"&lt;"&amp;J42,$J$2:$J$501,"&gt;"&amp;C42)-1))</x:f>
        <x:v>0</x:v>
      </x:c>
      <x:c r="L42" s="27" t="n">
        <x:f>IF(A42="","",IF(E42&lt;&gt;"sim",0,COUNTIFS($B$2:$B$501,B42,$A$2:$A$501,A42,$E$2:$E$501,"sim",$C$2:$C$501,"&lt;"&amp;J42,$J$2:$J$501,"&gt;"&amp;C42)-1))</x:f>
        <x:v>0</x:v>
      </x:c>
      <x:c r="M42" s="2" t="str">
        <x:f>IF(A42="","",IF(E42&lt;&gt;"sim","Revisar escala",IF(OR(K42&gt;0,L42&gt;0),"Conflito de escala",IF(COUNTIFS('Solicitacoes'!$F$2:$F$501,B42,'Solicitacoes'!$K$2:$K$501,F42,'Solicitacoes'!$I$2:$I$501,"pendente",'Solicitacoes'!$G$2:$G$501,"&lt;"&amp;J42,'Solicitacoes'!$N$2:$N$501,"&gt;"&amp;C42)+COUNTIFS('Solicitacoes'!$F$2:$F$501,B42,'Solicitacoes'!$E$2:$E$501,A42,'Solicitacoes'!$I$2:$I$501,"pendente",'Solicitacoes'!$G$2:$G$501,"&lt;"&amp;J42,'Solicitacoes'!$N$2:$N$501,"&gt;"&amp;C42)+COUNTIFS('Solicitacoes'!$F$2:$F$501,B42,'Solicitacoes'!$K$2:$K$501,F42,'Solicitacoes'!$I$2:$I$501,"confirmado",'Solicitacoes'!$G$2:$G$501,"&lt;"&amp;J42,'Solicitacoes'!$N$2:$N$501,"&gt;"&amp;C42)+COUNTIFS('Solicitacoes'!$F$2:$F$501,B42,'Solicitacoes'!$E$2:$E$501,A42,'Solicitacoes'!$I$2:$I$501,"confirmado",'Solicitacoes'!$G$2:$G$501,"&lt;"&amp;J42,'Solicitacoes'!$N$2:$N$501,"&gt;"&amp;C42)&gt;0,"Ocupado","Disponível"))))</x:f>
        <x:v>Revisar escala</x:v>
      </x:c>
      <x:c r="N42" s="2" t="n">
        <x:f>IF(A42="","",ROW()-1)</x:f>
        <x:v>41</x:v>
      </x:c>
    </x:row>
    <x:row r="43" ht="24" customHeight="1">
      <x:c r="A43" s="13" t="str">
        <x:v>Géssyca Martins</x:v>
      </x:c>
      <x:c r="B43" s="14" t="d">
        <x:v>2026-10-06T00:00:00.000Z</x:v>
      </x:c>
      <x:c r="C43" s="26" t="n">
        <x:v>0.75</x:v>
      </x:c>
      <x:c r="D43" s="13" t="str">
        <x:v>presencial</x:v>
      </x:c>
      <x:c r="E43" s="13" t="str">
        <x:v>não</x:v>
      </x:c>
      <x:c r="F43" s="13" t="str">
        <x:v>Sala 2</x:v>
      </x:c>
      <x:c r="G43" s="12" t="n">
        <x:f>IF(A43="","",'Agenda'!$B$5)</x:f>
        <x:v>50</x:v>
      </x:c>
      <x:c r="H43" s="12" t="n">
        <x:f>IF(A43="","",'Agenda'!$B$6)</x:f>
        <x:v>10</x:v>
      </x:c>
      <x:c r="I43" s="24" t="n">
        <x:f>IF(A43="","",C43+G43/1440)</x:f>
        <x:v>0.7847222222222222</x:v>
      </x:c>
      <x:c r="J43" s="24" t="n">
        <x:f>IF(A43="","",C43+(G43+H43)/1440)</x:f>
        <x:v>0.7916666666666666</x:v>
      </x:c>
      <x:c r="K43" s="27" t="n">
        <x:f>IF(A43="","",IF(E43&lt;&gt;"sim",0,COUNTIFS($B$2:$B$501,B43,$F$2:$F$501,F43,$E$2:$E$501,"sim",$C$2:$C$501,"&lt;"&amp;J43,$J$2:$J$501,"&gt;"&amp;C43)-1))</x:f>
        <x:v>0</x:v>
      </x:c>
      <x:c r="L43" s="27" t="n">
        <x:f>IF(A43="","",IF(E43&lt;&gt;"sim",0,COUNTIFS($B$2:$B$501,B43,$A$2:$A$501,A43,$E$2:$E$501,"sim",$C$2:$C$501,"&lt;"&amp;J43,$J$2:$J$501,"&gt;"&amp;C43)-1))</x:f>
        <x:v>0</x:v>
      </x:c>
      <x:c r="M43" s="2" t="str">
        <x:f>IF(A43="","",IF(E43&lt;&gt;"sim","Revisar escala",IF(OR(K43&gt;0,L43&gt;0),"Conflito de escala",IF(COUNTIFS('Solicitacoes'!$F$2:$F$501,B43,'Solicitacoes'!$K$2:$K$501,F43,'Solicitacoes'!$I$2:$I$501,"pendente",'Solicitacoes'!$G$2:$G$501,"&lt;"&amp;J43,'Solicitacoes'!$N$2:$N$501,"&gt;"&amp;C43)+COUNTIFS('Solicitacoes'!$F$2:$F$501,B43,'Solicitacoes'!$E$2:$E$501,A43,'Solicitacoes'!$I$2:$I$501,"pendente",'Solicitacoes'!$G$2:$G$501,"&lt;"&amp;J43,'Solicitacoes'!$N$2:$N$501,"&gt;"&amp;C43)+COUNTIFS('Solicitacoes'!$F$2:$F$501,B43,'Solicitacoes'!$K$2:$K$501,F43,'Solicitacoes'!$I$2:$I$501,"confirmado",'Solicitacoes'!$G$2:$G$501,"&lt;"&amp;J43,'Solicitacoes'!$N$2:$N$501,"&gt;"&amp;C43)+COUNTIFS('Solicitacoes'!$F$2:$F$501,B43,'Solicitacoes'!$E$2:$E$501,A43,'Solicitacoes'!$I$2:$I$501,"confirmado",'Solicitacoes'!$G$2:$G$501,"&lt;"&amp;J43,'Solicitacoes'!$N$2:$N$501,"&gt;"&amp;C43)&gt;0,"Ocupado","Disponível"))))</x:f>
        <x:v>Revisar escala</x:v>
      </x:c>
      <x:c r="N43" s="2" t="n">
        <x:f>IF(A43="","",ROW()-1)</x:f>
        <x:v>42</x:v>
      </x:c>
    </x:row>
    <x:row r="44" ht="24" customHeight="1">
      <x:c r="A44" s="13" t="str">
        <x:v>Aline Reis</x:v>
      </x:c>
      <x:c r="B44" s="14" t="d">
        <x:v>2026-10-06T00:00:00.000Z</x:v>
      </x:c>
      <x:c r="C44" s="26" t="n">
        <x:v>0.7916666666666666</x:v>
      </x:c>
      <x:c r="D44" s="13" t="str">
        <x:v>presencial</x:v>
      </x:c>
      <x:c r="E44" s="13" t="str">
        <x:v>não</x:v>
      </x:c>
      <x:c r="F44" s="13" t="str">
        <x:v>Sala 1</x:v>
      </x:c>
      <x:c r="G44" s="12" t="n">
        <x:f>IF(A44="","",'Agenda'!$B$5)</x:f>
        <x:v>50</x:v>
      </x:c>
      <x:c r="H44" s="12" t="n">
        <x:f>IF(A44="","",'Agenda'!$B$6)</x:f>
        <x:v>10</x:v>
      </x:c>
      <x:c r="I44" s="24" t="n">
        <x:f>IF(A44="","",C44+G44/1440)</x:f>
        <x:v>0.8263888888888888</x:v>
      </x:c>
      <x:c r="J44" s="24" t="n">
        <x:f>IF(A44="","",C44+(G44+H44)/1440)</x:f>
        <x:v>0.8333333333333333</x:v>
      </x:c>
      <x:c r="K44" s="27" t="n">
        <x:f>IF(A44="","",IF(E44&lt;&gt;"sim",0,COUNTIFS($B$2:$B$501,B44,$F$2:$F$501,F44,$E$2:$E$501,"sim",$C$2:$C$501,"&lt;"&amp;J44,$J$2:$J$501,"&gt;"&amp;C44)-1))</x:f>
        <x:v>0</x:v>
      </x:c>
      <x:c r="L44" s="27" t="n">
        <x:f>IF(A44="","",IF(E44&lt;&gt;"sim",0,COUNTIFS($B$2:$B$501,B44,$A$2:$A$501,A44,$E$2:$E$501,"sim",$C$2:$C$501,"&lt;"&amp;J44,$J$2:$J$501,"&gt;"&amp;C44)-1))</x:f>
        <x:v>0</x:v>
      </x:c>
      <x:c r="M44" s="2" t="str">
        <x:f>IF(A44="","",IF(E44&lt;&gt;"sim","Revisar escala",IF(OR(K44&gt;0,L44&gt;0),"Conflito de escala",IF(COUNTIFS('Solicitacoes'!$F$2:$F$501,B44,'Solicitacoes'!$K$2:$K$501,F44,'Solicitacoes'!$I$2:$I$501,"pendente",'Solicitacoes'!$G$2:$G$501,"&lt;"&amp;J44,'Solicitacoes'!$N$2:$N$501,"&gt;"&amp;C44)+COUNTIFS('Solicitacoes'!$F$2:$F$501,B44,'Solicitacoes'!$E$2:$E$501,A44,'Solicitacoes'!$I$2:$I$501,"pendente",'Solicitacoes'!$G$2:$G$501,"&lt;"&amp;J44,'Solicitacoes'!$N$2:$N$501,"&gt;"&amp;C44)+COUNTIFS('Solicitacoes'!$F$2:$F$501,B44,'Solicitacoes'!$K$2:$K$501,F44,'Solicitacoes'!$I$2:$I$501,"confirmado",'Solicitacoes'!$G$2:$G$501,"&lt;"&amp;J44,'Solicitacoes'!$N$2:$N$501,"&gt;"&amp;C44)+COUNTIFS('Solicitacoes'!$F$2:$F$501,B44,'Solicitacoes'!$E$2:$E$501,A44,'Solicitacoes'!$I$2:$I$501,"confirmado",'Solicitacoes'!$G$2:$G$501,"&lt;"&amp;J44,'Solicitacoes'!$N$2:$N$501,"&gt;"&amp;C44)&gt;0,"Ocupado","Disponível"))))</x:f>
        <x:v>Revisar escala</x:v>
      </x:c>
      <x:c r="N44" s="2" t="n">
        <x:f>IF(A44="","",ROW()-1)</x:f>
        <x:v>43</x:v>
      </x:c>
    </x:row>
    <x:row r="45" ht="24" customHeight="1">
      <x:c r="A45" s="13" t="str">
        <x:v>Géssyca Martins</x:v>
      </x:c>
      <x:c r="B45" s="14" t="d">
        <x:v>2026-10-06T00:00:00.000Z</x:v>
      </x:c>
      <x:c r="C45" s="26" t="n">
        <x:v>0.7916666666666666</x:v>
      </x:c>
      <x:c r="D45" s="13" t="str">
        <x:v>presencial</x:v>
      </x:c>
      <x:c r="E45" s="13" t="str">
        <x:v>não</x:v>
      </x:c>
      <x:c r="F45" s="13" t="str">
        <x:v>Sala 2</x:v>
      </x:c>
      <x:c r="G45" s="12" t="n">
        <x:f>IF(A45="","",'Agenda'!$B$5)</x:f>
        <x:v>50</x:v>
      </x:c>
      <x:c r="H45" s="12" t="n">
        <x:f>IF(A45="","",'Agenda'!$B$6)</x:f>
        <x:v>10</x:v>
      </x:c>
      <x:c r="I45" s="24" t="n">
        <x:f>IF(A45="","",C45+G45/1440)</x:f>
        <x:v>0.8263888888888888</x:v>
      </x:c>
      <x:c r="J45" s="24" t="n">
        <x:f>IF(A45="","",C45+(G45+H45)/1440)</x:f>
        <x:v>0.8333333333333333</x:v>
      </x:c>
      <x:c r="K45" s="27" t="n">
        <x:f>IF(A45="","",IF(E45&lt;&gt;"sim",0,COUNTIFS($B$2:$B$501,B45,$F$2:$F$501,F45,$E$2:$E$501,"sim",$C$2:$C$501,"&lt;"&amp;J45,$J$2:$J$501,"&gt;"&amp;C45)-1))</x:f>
        <x:v>0</x:v>
      </x:c>
      <x:c r="L45" s="27" t="n">
        <x:f>IF(A45="","",IF(E45&lt;&gt;"sim",0,COUNTIFS($B$2:$B$501,B45,$A$2:$A$501,A45,$E$2:$E$501,"sim",$C$2:$C$501,"&lt;"&amp;J45,$J$2:$J$501,"&gt;"&amp;C45)-1))</x:f>
        <x:v>0</x:v>
      </x:c>
      <x:c r="M45" s="2" t="str">
        <x:f>IF(A45="","",IF(E45&lt;&gt;"sim","Revisar escala",IF(OR(K45&gt;0,L45&gt;0),"Conflito de escala",IF(COUNTIFS('Solicitacoes'!$F$2:$F$501,B45,'Solicitacoes'!$K$2:$K$501,F45,'Solicitacoes'!$I$2:$I$501,"pendente",'Solicitacoes'!$G$2:$G$501,"&lt;"&amp;J45,'Solicitacoes'!$N$2:$N$501,"&gt;"&amp;C45)+COUNTIFS('Solicitacoes'!$F$2:$F$501,B45,'Solicitacoes'!$E$2:$E$501,A45,'Solicitacoes'!$I$2:$I$501,"pendente",'Solicitacoes'!$G$2:$G$501,"&lt;"&amp;J45,'Solicitacoes'!$N$2:$N$501,"&gt;"&amp;C45)+COUNTIFS('Solicitacoes'!$F$2:$F$501,B45,'Solicitacoes'!$K$2:$K$501,F45,'Solicitacoes'!$I$2:$I$501,"confirmado",'Solicitacoes'!$G$2:$G$501,"&lt;"&amp;J45,'Solicitacoes'!$N$2:$N$501,"&gt;"&amp;C45)+COUNTIFS('Solicitacoes'!$F$2:$F$501,B45,'Solicitacoes'!$E$2:$E$501,A45,'Solicitacoes'!$I$2:$I$501,"confirmado",'Solicitacoes'!$G$2:$G$501,"&lt;"&amp;J45,'Solicitacoes'!$N$2:$N$501,"&gt;"&amp;C45)&gt;0,"Ocupado","Disponível"))))</x:f>
        <x:v>Revisar escala</x:v>
      </x:c>
      <x:c r="N45" s="2" t="n">
        <x:f>IF(A45="","",ROW()-1)</x:f>
        <x:v>44</x:v>
      </x:c>
    </x:row>
    <x:row r="46" ht="24" customHeight="1">
      <x:c r="A46" s="13" t="str">
        <x:v>Laura Casanova</x:v>
      </x:c>
      <x:c r="B46" s="14" t="d">
        <x:v>2026-10-07T00:00:00.000Z</x:v>
      </x:c>
      <x:c r="C46" s="26" t="n">
        <x:v>0.375</x:v>
      </x:c>
      <x:c r="D46" s="13" t="str">
        <x:v>presencial</x:v>
      </x:c>
      <x:c r="E46" s="13" t="str">
        <x:v>não</x:v>
      </x:c>
      <x:c r="F46" s="13" t="str">
        <x:v>Sala 1</x:v>
      </x:c>
      <x:c r="G46" s="12" t="n">
        <x:f>IF(A46="","",'Agenda'!$B$5)</x:f>
        <x:v>50</x:v>
      </x:c>
      <x:c r="H46" s="12" t="n">
        <x:f>IF(A46="","",'Agenda'!$B$6)</x:f>
        <x:v>10</x:v>
      </x:c>
      <x:c r="I46" s="24" t="n">
        <x:f>IF(A46="","",C46+G46/1440)</x:f>
        <x:v>0.4097222222222222</x:v>
      </x:c>
      <x:c r="J46" s="24" t="n">
        <x:f>IF(A46="","",C46+(G46+H46)/1440)</x:f>
        <x:v>0.4166666666666667</x:v>
      </x:c>
      <x:c r="K46" s="27" t="n">
        <x:f>IF(A46="","",IF(E46&lt;&gt;"sim",0,COUNTIFS($B$2:$B$501,B46,$F$2:$F$501,F46,$E$2:$E$501,"sim",$C$2:$C$501,"&lt;"&amp;J46,$J$2:$J$501,"&gt;"&amp;C46)-1))</x:f>
        <x:v>0</x:v>
      </x:c>
      <x:c r="L46" s="27" t="n">
        <x:f>IF(A46="","",IF(E46&lt;&gt;"sim",0,COUNTIFS($B$2:$B$501,B46,$A$2:$A$501,A46,$E$2:$E$501,"sim",$C$2:$C$501,"&lt;"&amp;J46,$J$2:$J$501,"&gt;"&amp;C46)-1))</x:f>
        <x:v>0</x:v>
      </x:c>
      <x:c r="M46" s="2" t="str">
        <x:f>IF(A46="","",IF(E46&lt;&gt;"sim","Revisar escala",IF(OR(K46&gt;0,L46&gt;0),"Conflito de escala",IF(COUNTIFS('Solicitacoes'!$F$2:$F$501,B46,'Solicitacoes'!$K$2:$K$501,F46,'Solicitacoes'!$I$2:$I$501,"pendente",'Solicitacoes'!$G$2:$G$501,"&lt;"&amp;J46,'Solicitacoes'!$N$2:$N$501,"&gt;"&amp;C46)+COUNTIFS('Solicitacoes'!$F$2:$F$501,B46,'Solicitacoes'!$E$2:$E$501,A46,'Solicitacoes'!$I$2:$I$501,"pendente",'Solicitacoes'!$G$2:$G$501,"&lt;"&amp;J46,'Solicitacoes'!$N$2:$N$501,"&gt;"&amp;C46)+COUNTIFS('Solicitacoes'!$F$2:$F$501,B46,'Solicitacoes'!$K$2:$K$501,F46,'Solicitacoes'!$I$2:$I$501,"confirmado",'Solicitacoes'!$G$2:$G$501,"&lt;"&amp;J46,'Solicitacoes'!$N$2:$N$501,"&gt;"&amp;C46)+COUNTIFS('Solicitacoes'!$F$2:$F$501,B46,'Solicitacoes'!$E$2:$E$501,A46,'Solicitacoes'!$I$2:$I$501,"confirmado",'Solicitacoes'!$G$2:$G$501,"&lt;"&amp;J46,'Solicitacoes'!$N$2:$N$501,"&gt;"&amp;C46)&gt;0,"Ocupado","Disponível"))))</x:f>
        <x:v>Revisar escala</x:v>
      </x:c>
      <x:c r="N46" s="2" t="n">
        <x:f>IF(A46="","",ROW()-1)</x:f>
        <x:v>45</x:v>
      </x:c>
    </x:row>
    <x:row r="47" ht="24" customHeight="1">
      <x:c r="A47" s="13" t="str">
        <x:v>Aline Reis</x:v>
      </x:c>
      <x:c r="B47" s="14" t="d">
        <x:v>2026-10-07T00:00:00.000Z</x:v>
      </x:c>
      <x:c r="C47" s="26" t="n">
        <x:v>0.375</x:v>
      </x:c>
      <x:c r="D47" s="13" t="str">
        <x:v>presencial</x:v>
      </x:c>
      <x:c r="E47" s="13" t="str">
        <x:v>não</x:v>
      </x:c>
      <x:c r="F47" s="13" t="str">
        <x:v>Sala 2</x:v>
      </x:c>
      <x:c r="G47" s="12" t="n">
        <x:f>IF(A47="","",'Agenda'!$B$5)</x:f>
        <x:v>50</x:v>
      </x:c>
      <x:c r="H47" s="12" t="n">
        <x:f>IF(A47="","",'Agenda'!$B$6)</x:f>
        <x:v>10</x:v>
      </x:c>
      <x:c r="I47" s="24" t="n">
        <x:f>IF(A47="","",C47+G47/1440)</x:f>
        <x:v>0.4097222222222222</x:v>
      </x:c>
      <x:c r="J47" s="24" t="n">
        <x:f>IF(A47="","",C47+(G47+H47)/1440)</x:f>
        <x:v>0.4166666666666667</x:v>
      </x:c>
      <x:c r="K47" s="27" t="n">
        <x:f>IF(A47="","",IF(E47&lt;&gt;"sim",0,COUNTIFS($B$2:$B$501,B47,$F$2:$F$501,F47,$E$2:$E$501,"sim",$C$2:$C$501,"&lt;"&amp;J47,$J$2:$J$501,"&gt;"&amp;C47)-1))</x:f>
        <x:v>0</x:v>
      </x:c>
      <x:c r="L47" s="27" t="n">
        <x:f>IF(A47="","",IF(E47&lt;&gt;"sim",0,COUNTIFS($B$2:$B$501,B47,$A$2:$A$501,A47,$E$2:$E$501,"sim",$C$2:$C$501,"&lt;"&amp;J47,$J$2:$J$501,"&gt;"&amp;C47)-1))</x:f>
        <x:v>0</x:v>
      </x:c>
      <x:c r="M47" s="2" t="str">
        <x:f>IF(A47="","",IF(E47&lt;&gt;"sim","Revisar escala",IF(OR(K47&gt;0,L47&gt;0),"Conflito de escala",IF(COUNTIFS('Solicitacoes'!$F$2:$F$501,B47,'Solicitacoes'!$K$2:$K$501,F47,'Solicitacoes'!$I$2:$I$501,"pendente",'Solicitacoes'!$G$2:$G$501,"&lt;"&amp;J47,'Solicitacoes'!$N$2:$N$501,"&gt;"&amp;C47)+COUNTIFS('Solicitacoes'!$F$2:$F$501,B47,'Solicitacoes'!$E$2:$E$501,A47,'Solicitacoes'!$I$2:$I$501,"pendente",'Solicitacoes'!$G$2:$G$501,"&lt;"&amp;J47,'Solicitacoes'!$N$2:$N$501,"&gt;"&amp;C47)+COUNTIFS('Solicitacoes'!$F$2:$F$501,B47,'Solicitacoes'!$K$2:$K$501,F47,'Solicitacoes'!$I$2:$I$501,"confirmado",'Solicitacoes'!$G$2:$G$501,"&lt;"&amp;J47,'Solicitacoes'!$N$2:$N$501,"&gt;"&amp;C47)+COUNTIFS('Solicitacoes'!$F$2:$F$501,B47,'Solicitacoes'!$E$2:$E$501,A47,'Solicitacoes'!$I$2:$I$501,"confirmado",'Solicitacoes'!$G$2:$G$501,"&lt;"&amp;J47,'Solicitacoes'!$N$2:$N$501,"&gt;"&amp;C47)&gt;0,"Ocupado","Disponível"))))</x:f>
        <x:v>Revisar escala</x:v>
      </x:c>
      <x:c r="N47" s="2" t="n">
        <x:f>IF(A47="","",ROW()-1)</x:f>
        <x:v>46</x:v>
      </x:c>
    </x:row>
    <x:row r="48" ht="24" customHeight="1">
      <x:c r="A48" s="13" t="str">
        <x:v>Laura Casanova</x:v>
      </x:c>
      <x:c r="B48" s="14" t="d">
        <x:v>2026-10-07T00:00:00.000Z</x:v>
      </x:c>
      <x:c r="C48" s="26" t="n">
        <x:v>0.4166666666666667</x:v>
      </x:c>
      <x:c r="D48" s="13" t="str">
        <x:v>presencial</x:v>
      </x:c>
      <x:c r="E48" s="13" t="str">
        <x:v>não</x:v>
      </x:c>
      <x:c r="F48" s="13" t="str">
        <x:v>Sala 1</x:v>
      </x:c>
      <x:c r="G48" s="12" t="n">
        <x:f>IF(A48="","",'Agenda'!$B$5)</x:f>
        <x:v>50</x:v>
      </x:c>
      <x:c r="H48" s="12" t="n">
        <x:f>IF(A48="","",'Agenda'!$B$6)</x:f>
        <x:v>10</x:v>
      </x:c>
      <x:c r="I48" s="24" t="n">
        <x:f>IF(A48="","",C48+G48/1440)</x:f>
        <x:v>0.4513888888888889</x:v>
      </x:c>
      <x:c r="J48" s="24" t="n">
        <x:f>IF(A48="","",C48+(G48+H48)/1440)</x:f>
        <x:v>0.45833333333333337</x:v>
      </x:c>
      <x:c r="K48" s="27" t="n">
        <x:f>IF(A48="","",IF(E48&lt;&gt;"sim",0,COUNTIFS($B$2:$B$501,B48,$F$2:$F$501,F48,$E$2:$E$501,"sim",$C$2:$C$501,"&lt;"&amp;J48,$J$2:$J$501,"&gt;"&amp;C48)-1))</x:f>
        <x:v>0</x:v>
      </x:c>
      <x:c r="L48" s="27" t="n">
        <x:f>IF(A48="","",IF(E48&lt;&gt;"sim",0,COUNTIFS($B$2:$B$501,B48,$A$2:$A$501,A48,$E$2:$E$501,"sim",$C$2:$C$501,"&lt;"&amp;J48,$J$2:$J$501,"&gt;"&amp;C48)-1))</x:f>
        <x:v>0</x:v>
      </x:c>
      <x:c r="M48" s="2" t="str">
        <x:f>IF(A48="","",IF(E48&lt;&gt;"sim","Revisar escala",IF(OR(K48&gt;0,L48&gt;0),"Conflito de escala",IF(COUNTIFS('Solicitacoes'!$F$2:$F$501,B48,'Solicitacoes'!$K$2:$K$501,F48,'Solicitacoes'!$I$2:$I$501,"pendente",'Solicitacoes'!$G$2:$G$501,"&lt;"&amp;J48,'Solicitacoes'!$N$2:$N$501,"&gt;"&amp;C48)+COUNTIFS('Solicitacoes'!$F$2:$F$501,B48,'Solicitacoes'!$E$2:$E$501,A48,'Solicitacoes'!$I$2:$I$501,"pendente",'Solicitacoes'!$G$2:$G$501,"&lt;"&amp;J48,'Solicitacoes'!$N$2:$N$501,"&gt;"&amp;C48)+COUNTIFS('Solicitacoes'!$F$2:$F$501,B48,'Solicitacoes'!$K$2:$K$501,F48,'Solicitacoes'!$I$2:$I$501,"confirmado",'Solicitacoes'!$G$2:$G$501,"&lt;"&amp;J48,'Solicitacoes'!$N$2:$N$501,"&gt;"&amp;C48)+COUNTIFS('Solicitacoes'!$F$2:$F$501,B48,'Solicitacoes'!$E$2:$E$501,A48,'Solicitacoes'!$I$2:$I$501,"confirmado",'Solicitacoes'!$G$2:$G$501,"&lt;"&amp;J48,'Solicitacoes'!$N$2:$N$501,"&gt;"&amp;C48)&gt;0,"Ocupado","Disponível"))))</x:f>
        <x:v>Revisar escala</x:v>
      </x:c>
      <x:c r="N48" s="2" t="n">
        <x:f>IF(A48="","",ROW()-1)</x:f>
        <x:v>47</x:v>
      </x:c>
    </x:row>
    <x:row r="49" ht="24" customHeight="1">
      <x:c r="A49" s="13" t="str">
        <x:v>Aline Reis</x:v>
      </x:c>
      <x:c r="B49" s="14" t="d">
        <x:v>2026-10-07T00:00:00.000Z</x:v>
      </x:c>
      <x:c r="C49" s="26" t="n">
        <x:v>0.4166666666666667</x:v>
      </x:c>
      <x:c r="D49" s="13" t="str">
        <x:v>presencial</x:v>
      </x:c>
      <x:c r="E49" s="13" t="str">
        <x:v>não</x:v>
      </x:c>
      <x:c r="F49" s="13" t="str">
        <x:v>Sala 2</x:v>
      </x:c>
      <x:c r="G49" s="12" t="n">
        <x:f>IF(A49="","",'Agenda'!$B$5)</x:f>
        <x:v>50</x:v>
      </x:c>
      <x:c r="H49" s="12" t="n">
        <x:f>IF(A49="","",'Agenda'!$B$6)</x:f>
        <x:v>10</x:v>
      </x:c>
      <x:c r="I49" s="24" t="n">
        <x:f>IF(A49="","",C49+G49/1440)</x:f>
        <x:v>0.4513888888888889</x:v>
      </x:c>
      <x:c r="J49" s="24" t="n">
        <x:f>IF(A49="","",C49+(G49+H49)/1440)</x:f>
        <x:v>0.45833333333333337</x:v>
      </x:c>
      <x:c r="K49" s="27" t="n">
        <x:f>IF(A49="","",IF(E49&lt;&gt;"sim",0,COUNTIFS($B$2:$B$501,B49,$F$2:$F$501,F49,$E$2:$E$501,"sim",$C$2:$C$501,"&lt;"&amp;J49,$J$2:$J$501,"&gt;"&amp;C49)-1))</x:f>
        <x:v>0</x:v>
      </x:c>
      <x:c r="L49" s="27" t="n">
        <x:f>IF(A49="","",IF(E49&lt;&gt;"sim",0,COUNTIFS($B$2:$B$501,B49,$A$2:$A$501,A49,$E$2:$E$501,"sim",$C$2:$C$501,"&lt;"&amp;J49,$J$2:$J$501,"&gt;"&amp;C49)-1))</x:f>
        <x:v>0</x:v>
      </x:c>
      <x:c r="M49" s="2" t="str">
        <x:f>IF(A49="","",IF(E49&lt;&gt;"sim","Revisar escala",IF(OR(K49&gt;0,L49&gt;0),"Conflito de escala",IF(COUNTIFS('Solicitacoes'!$F$2:$F$501,B49,'Solicitacoes'!$K$2:$K$501,F49,'Solicitacoes'!$I$2:$I$501,"pendente",'Solicitacoes'!$G$2:$G$501,"&lt;"&amp;J49,'Solicitacoes'!$N$2:$N$501,"&gt;"&amp;C49)+COUNTIFS('Solicitacoes'!$F$2:$F$501,B49,'Solicitacoes'!$E$2:$E$501,A49,'Solicitacoes'!$I$2:$I$501,"pendente",'Solicitacoes'!$G$2:$G$501,"&lt;"&amp;J49,'Solicitacoes'!$N$2:$N$501,"&gt;"&amp;C49)+COUNTIFS('Solicitacoes'!$F$2:$F$501,B49,'Solicitacoes'!$K$2:$K$501,F49,'Solicitacoes'!$I$2:$I$501,"confirmado",'Solicitacoes'!$G$2:$G$501,"&lt;"&amp;J49,'Solicitacoes'!$N$2:$N$501,"&gt;"&amp;C49)+COUNTIFS('Solicitacoes'!$F$2:$F$501,B49,'Solicitacoes'!$E$2:$E$501,A49,'Solicitacoes'!$I$2:$I$501,"confirmado",'Solicitacoes'!$G$2:$G$501,"&lt;"&amp;J49,'Solicitacoes'!$N$2:$N$501,"&gt;"&amp;C49)&gt;0,"Ocupado","Disponível"))))</x:f>
        <x:v>Revisar escala</x:v>
      </x:c>
      <x:c r="N49" s="2" t="n">
        <x:f>IF(A49="","",ROW()-1)</x:f>
        <x:v>48</x:v>
      </x:c>
    </x:row>
    <x:row r="50" ht="24" customHeight="1">
      <x:c r="A50" s="13" t="str">
        <x:v>Laura Casanova</x:v>
      </x:c>
      <x:c r="B50" s="14" t="d">
        <x:v>2026-10-07T00:00:00.000Z</x:v>
      </x:c>
      <x:c r="C50" s="26" t="n">
        <x:v>0.4583333333333333</x:v>
      </x:c>
      <x:c r="D50" s="13" t="str">
        <x:v>presencial</x:v>
      </x:c>
      <x:c r="E50" s="13" t="str">
        <x:v>não</x:v>
      </x:c>
      <x:c r="F50" s="13" t="str">
        <x:v>Sala 1</x:v>
      </x:c>
      <x:c r="G50" s="12" t="n">
        <x:f>IF(A50="","",'Agenda'!$B$5)</x:f>
        <x:v>50</x:v>
      </x:c>
      <x:c r="H50" s="12" t="n">
        <x:f>IF(A50="","",'Agenda'!$B$6)</x:f>
        <x:v>10</x:v>
      </x:c>
      <x:c r="I50" s="24" t="n">
        <x:f>IF(A50="","",C50+G50/1440)</x:f>
        <x:v>0.4930555555555555</x:v>
      </x:c>
      <x:c r="J50" s="24" t="n">
        <x:f>IF(A50="","",C50+(G50+H50)/1440)</x:f>
        <x:v>0.5</x:v>
      </x:c>
      <x:c r="K50" s="27" t="n">
        <x:f>IF(A50="","",IF(E50&lt;&gt;"sim",0,COUNTIFS($B$2:$B$501,B50,$F$2:$F$501,F50,$E$2:$E$501,"sim",$C$2:$C$501,"&lt;"&amp;J50,$J$2:$J$501,"&gt;"&amp;C50)-1))</x:f>
        <x:v>0</x:v>
      </x:c>
      <x:c r="L50" s="27" t="n">
        <x:f>IF(A50="","",IF(E50&lt;&gt;"sim",0,COUNTIFS($B$2:$B$501,B50,$A$2:$A$501,A50,$E$2:$E$501,"sim",$C$2:$C$501,"&lt;"&amp;J50,$J$2:$J$501,"&gt;"&amp;C50)-1))</x:f>
        <x:v>0</x:v>
      </x:c>
      <x:c r="M50" s="2" t="str">
        <x:f>IF(A50="","",IF(E50&lt;&gt;"sim","Revisar escala",IF(OR(K50&gt;0,L50&gt;0),"Conflito de escala",IF(COUNTIFS('Solicitacoes'!$F$2:$F$501,B50,'Solicitacoes'!$K$2:$K$501,F50,'Solicitacoes'!$I$2:$I$501,"pendente",'Solicitacoes'!$G$2:$G$501,"&lt;"&amp;J50,'Solicitacoes'!$N$2:$N$501,"&gt;"&amp;C50)+COUNTIFS('Solicitacoes'!$F$2:$F$501,B50,'Solicitacoes'!$E$2:$E$501,A50,'Solicitacoes'!$I$2:$I$501,"pendente",'Solicitacoes'!$G$2:$G$501,"&lt;"&amp;J50,'Solicitacoes'!$N$2:$N$501,"&gt;"&amp;C50)+COUNTIFS('Solicitacoes'!$F$2:$F$501,B50,'Solicitacoes'!$K$2:$K$501,F50,'Solicitacoes'!$I$2:$I$501,"confirmado",'Solicitacoes'!$G$2:$G$501,"&lt;"&amp;J50,'Solicitacoes'!$N$2:$N$501,"&gt;"&amp;C50)+COUNTIFS('Solicitacoes'!$F$2:$F$501,B50,'Solicitacoes'!$E$2:$E$501,A50,'Solicitacoes'!$I$2:$I$501,"confirmado",'Solicitacoes'!$G$2:$G$501,"&lt;"&amp;J50,'Solicitacoes'!$N$2:$N$501,"&gt;"&amp;C50)&gt;0,"Ocupado","Disponível"))))</x:f>
        <x:v>Revisar escala</x:v>
      </x:c>
      <x:c r="N50" s="2" t="n">
        <x:f>IF(A50="","",ROW()-1)</x:f>
        <x:v>49</x:v>
      </x:c>
    </x:row>
    <x:row r="51" ht="24" customHeight="1">
      <x:c r="A51" s="13" t="str">
        <x:v>Aline Reis</x:v>
      </x:c>
      <x:c r="B51" s="14" t="d">
        <x:v>2026-10-07T00:00:00.000Z</x:v>
      </x:c>
      <x:c r="C51" s="26" t="n">
        <x:v>0.4583333333333333</x:v>
      </x:c>
      <x:c r="D51" s="13" t="str">
        <x:v>presencial</x:v>
      </x:c>
      <x:c r="E51" s="13" t="str">
        <x:v>não</x:v>
      </x:c>
      <x:c r="F51" s="13" t="str">
        <x:v>Sala 2</x:v>
      </x:c>
      <x:c r="G51" s="12" t="n">
        <x:f>IF(A51="","",'Agenda'!$B$5)</x:f>
        <x:v>50</x:v>
      </x:c>
      <x:c r="H51" s="12" t="n">
        <x:f>IF(A51="","",'Agenda'!$B$6)</x:f>
        <x:v>10</x:v>
      </x:c>
      <x:c r="I51" s="24" t="n">
        <x:f>IF(A51="","",C51+G51/1440)</x:f>
        <x:v>0.4930555555555555</x:v>
      </x:c>
      <x:c r="J51" s="24" t="n">
        <x:f>IF(A51="","",C51+(G51+H51)/1440)</x:f>
        <x:v>0.5</x:v>
      </x:c>
      <x:c r="K51" s="27" t="n">
        <x:f>IF(A51="","",IF(E51&lt;&gt;"sim",0,COUNTIFS($B$2:$B$501,B51,$F$2:$F$501,F51,$E$2:$E$501,"sim",$C$2:$C$501,"&lt;"&amp;J51,$J$2:$J$501,"&gt;"&amp;C51)-1))</x:f>
        <x:v>0</x:v>
      </x:c>
      <x:c r="L51" s="27" t="n">
        <x:f>IF(A51="","",IF(E51&lt;&gt;"sim",0,COUNTIFS($B$2:$B$501,B51,$A$2:$A$501,A51,$E$2:$E$501,"sim",$C$2:$C$501,"&lt;"&amp;J51,$J$2:$J$501,"&gt;"&amp;C51)-1))</x:f>
        <x:v>0</x:v>
      </x:c>
      <x:c r="M51" s="2" t="str">
        <x:f>IF(A51="","",IF(E51&lt;&gt;"sim","Revisar escala",IF(OR(K51&gt;0,L51&gt;0),"Conflito de escala",IF(COUNTIFS('Solicitacoes'!$F$2:$F$501,B51,'Solicitacoes'!$K$2:$K$501,F51,'Solicitacoes'!$I$2:$I$501,"pendente",'Solicitacoes'!$G$2:$G$501,"&lt;"&amp;J51,'Solicitacoes'!$N$2:$N$501,"&gt;"&amp;C51)+COUNTIFS('Solicitacoes'!$F$2:$F$501,B51,'Solicitacoes'!$E$2:$E$501,A51,'Solicitacoes'!$I$2:$I$501,"pendente",'Solicitacoes'!$G$2:$G$501,"&lt;"&amp;J51,'Solicitacoes'!$N$2:$N$501,"&gt;"&amp;C51)+COUNTIFS('Solicitacoes'!$F$2:$F$501,B51,'Solicitacoes'!$K$2:$K$501,F51,'Solicitacoes'!$I$2:$I$501,"confirmado",'Solicitacoes'!$G$2:$G$501,"&lt;"&amp;J51,'Solicitacoes'!$N$2:$N$501,"&gt;"&amp;C51)+COUNTIFS('Solicitacoes'!$F$2:$F$501,B51,'Solicitacoes'!$E$2:$E$501,A51,'Solicitacoes'!$I$2:$I$501,"confirmado",'Solicitacoes'!$G$2:$G$501,"&lt;"&amp;J51,'Solicitacoes'!$N$2:$N$501,"&gt;"&amp;C51)&gt;0,"Ocupado","Disponível"))))</x:f>
        <x:v>Revisar escala</x:v>
      </x:c>
      <x:c r="N51" s="2" t="n">
        <x:f>IF(A51="","",ROW()-1)</x:f>
        <x:v>50</x:v>
      </x:c>
    </x:row>
    <x:row r="52" ht="24" customHeight="1">
      <x:c r="A52" s="13" t="str">
        <x:v>Laura Casanova</x:v>
      </x:c>
      <x:c r="B52" s="14" t="d">
        <x:v>2026-10-07T00:00:00.000Z</x:v>
      </x:c>
      <x:c r="C52" s="26" t="n">
        <x:v>0.5</x:v>
      </x:c>
      <x:c r="D52" s="13" t="str">
        <x:v>presencial</x:v>
      </x:c>
      <x:c r="E52" s="13" t="str">
        <x:v>não</x:v>
      </x:c>
      <x:c r="F52" s="13" t="str">
        <x:v>Sala 1</x:v>
      </x:c>
      <x:c r="G52" s="12" t="n">
        <x:f>IF(A52="","",'Agenda'!$B$5)</x:f>
        <x:v>50</x:v>
      </x:c>
      <x:c r="H52" s="12" t="n">
        <x:f>IF(A52="","",'Agenda'!$B$6)</x:f>
        <x:v>10</x:v>
      </x:c>
      <x:c r="I52" s="24" t="n">
        <x:f>IF(A52="","",C52+G52/1440)</x:f>
        <x:v>0.5347222222222222</x:v>
      </x:c>
      <x:c r="J52" s="24" t="n">
        <x:f>IF(A52="","",C52+(G52+H52)/1440)</x:f>
        <x:v>0.5416666666666666</x:v>
      </x:c>
      <x:c r="K52" s="27" t="n">
        <x:f>IF(A52="","",IF(E52&lt;&gt;"sim",0,COUNTIFS($B$2:$B$501,B52,$F$2:$F$501,F52,$E$2:$E$501,"sim",$C$2:$C$501,"&lt;"&amp;J52,$J$2:$J$501,"&gt;"&amp;C52)-1))</x:f>
        <x:v>0</x:v>
      </x:c>
      <x:c r="L52" s="27" t="n">
        <x:f>IF(A52="","",IF(E52&lt;&gt;"sim",0,COUNTIFS($B$2:$B$501,B52,$A$2:$A$501,A52,$E$2:$E$501,"sim",$C$2:$C$501,"&lt;"&amp;J52,$J$2:$J$501,"&gt;"&amp;C52)-1))</x:f>
        <x:v>0</x:v>
      </x:c>
      <x:c r="M52" s="2" t="str">
        <x:f>IF(A52="","",IF(E52&lt;&gt;"sim","Revisar escala",IF(OR(K52&gt;0,L52&gt;0),"Conflito de escala",IF(COUNTIFS('Solicitacoes'!$F$2:$F$501,B52,'Solicitacoes'!$K$2:$K$501,F52,'Solicitacoes'!$I$2:$I$501,"pendente",'Solicitacoes'!$G$2:$G$501,"&lt;"&amp;J52,'Solicitacoes'!$N$2:$N$501,"&gt;"&amp;C52)+COUNTIFS('Solicitacoes'!$F$2:$F$501,B52,'Solicitacoes'!$E$2:$E$501,A52,'Solicitacoes'!$I$2:$I$501,"pendente",'Solicitacoes'!$G$2:$G$501,"&lt;"&amp;J52,'Solicitacoes'!$N$2:$N$501,"&gt;"&amp;C52)+COUNTIFS('Solicitacoes'!$F$2:$F$501,B52,'Solicitacoes'!$K$2:$K$501,F52,'Solicitacoes'!$I$2:$I$501,"confirmado",'Solicitacoes'!$G$2:$G$501,"&lt;"&amp;J52,'Solicitacoes'!$N$2:$N$501,"&gt;"&amp;C52)+COUNTIFS('Solicitacoes'!$F$2:$F$501,B52,'Solicitacoes'!$E$2:$E$501,A52,'Solicitacoes'!$I$2:$I$501,"confirmado",'Solicitacoes'!$G$2:$G$501,"&lt;"&amp;J52,'Solicitacoes'!$N$2:$N$501,"&gt;"&amp;C52)&gt;0,"Ocupado","Disponível"))))</x:f>
        <x:v>Revisar escala</x:v>
      </x:c>
      <x:c r="N52" s="2" t="n">
        <x:f>IF(A52="","",ROW()-1)</x:f>
        <x:v>51</x:v>
      </x:c>
    </x:row>
    <x:row r="53" ht="24" customHeight="1">
      <x:c r="A53" s="13" t="str">
        <x:v>Aline Reis</x:v>
      </x:c>
      <x:c r="B53" s="14" t="d">
        <x:v>2026-10-07T00:00:00.000Z</x:v>
      </x:c>
      <x:c r="C53" s="26" t="n">
        <x:v>0.5</x:v>
      </x:c>
      <x:c r="D53" s="13" t="str">
        <x:v>presencial</x:v>
      </x:c>
      <x:c r="E53" s="13" t="str">
        <x:v>não</x:v>
      </x:c>
      <x:c r="F53" s="13" t="str">
        <x:v>Sala 2</x:v>
      </x:c>
      <x:c r="G53" s="12" t="n">
        <x:f>IF(A53="","",'Agenda'!$B$5)</x:f>
        <x:v>50</x:v>
      </x:c>
      <x:c r="H53" s="12" t="n">
        <x:f>IF(A53="","",'Agenda'!$B$6)</x:f>
        <x:v>10</x:v>
      </x:c>
      <x:c r="I53" s="24" t="n">
        <x:f>IF(A53="","",C53+G53/1440)</x:f>
        <x:v>0.5347222222222222</x:v>
      </x:c>
      <x:c r="J53" s="24" t="n">
        <x:f>IF(A53="","",C53+(G53+H53)/1440)</x:f>
        <x:v>0.5416666666666666</x:v>
      </x:c>
      <x:c r="K53" s="27" t="n">
        <x:f>IF(A53="","",IF(E53&lt;&gt;"sim",0,COUNTIFS($B$2:$B$501,B53,$F$2:$F$501,F53,$E$2:$E$501,"sim",$C$2:$C$501,"&lt;"&amp;J53,$J$2:$J$501,"&gt;"&amp;C53)-1))</x:f>
        <x:v>0</x:v>
      </x:c>
      <x:c r="L53" s="27" t="n">
        <x:f>IF(A53="","",IF(E53&lt;&gt;"sim",0,COUNTIFS($B$2:$B$501,B53,$A$2:$A$501,A53,$E$2:$E$501,"sim",$C$2:$C$501,"&lt;"&amp;J53,$J$2:$J$501,"&gt;"&amp;C53)-1))</x:f>
        <x:v>0</x:v>
      </x:c>
      <x:c r="M53" s="2" t="str">
        <x:f>IF(A53="","",IF(E53&lt;&gt;"sim","Revisar escala",IF(OR(K53&gt;0,L53&gt;0),"Conflito de escala",IF(COUNTIFS('Solicitacoes'!$F$2:$F$501,B53,'Solicitacoes'!$K$2:$K$501,F53,'Solicitacoes'!$I$2:$I$501,"pendente",'Solicitacoes'!$G$2:$G$501,"&lt;"&amp;J53,'Solicitacoes'!$N$2:$N$501,"&gt;"&amp;C53)+COUNTIFS('Solicitacoes'!$F$2:$F$501,B53,'Solicitacoes'!$E$2:$E$501,A53,'Solicitacoes'!$I$2:$I$501,"pendente",'Solicitacoes'!$G$2:$G$501,"&lt;"&amp;J53,'Solicitacoes'!$N$2:$N$501,"&gt;"&amp;C53)+COUNTIFS('Solicitacoes'!$F$2:$F$501,B53,'Solicitacoes'!$K$2:$K$501,F53,'Solicitacoes'!$I$2:$I$501,"confirmado",'Solicitacoes'!$G$2:$G$501,"&lt;"&amp;J53,'Solicitacoes'!$N$2:$N$501,"&gt;"&amp;C53)+COUNTIFS('Solicitacoes'!$F$2:$F$501,B53,'Solicitacoes'!$E$2:$E$501,A53,'Solicitacoes'!$I$2:$I$501,"confirmado",'Solicitacoes'!$G$2:$G$501,"&lt;"&amp;J53,'Solicitacoes'!$N$2:$N$501,"&gt;"&amp;C53)&gt;0,"Ocupado","Disponível"))))</x:f>
        <x:v>Revisar escala</x:v>
      </x:c>
      <x:c r="N53" s="2" t="n">
        <x:f>IF(A53="","",ROW()-1)</x:f>
        <x:v>52</x:v>
      </x:c>
    </x:row>
    <x:row r="54" ht="24" customHeight="1">
      <x:c r="A54" s="13" t="str">
        <x:v>Laura Casanova</x:v>
      </x:c>
      <x:c r="B54" s="14" t="d">
        <x:v>2026-10-07T00:00:00.000Z</x:v>
      </x:c>
      <x:c r="C54" s="26" t="n">
        <x:v>0.5416666666666666</x:v>
      </x:c>
      <x:c r="D54" s="13" t="str">
        <x:v>presencial</x:v>
      </x:c>
      <x:c r="E54" s="13" t="str">
        <x:v>não</x:v>
      </x:c>
      <x:c r="F54" s="13" t="str">
        <x:v>Sala 1</x:v>
      </x:c>
      <x:c r="G54" s="12" t="n">
        <x:f>IF(A54="","",'Agenda'!$B$5)</x:f>
        <x:v>50</x:v>
      </x:c>
      <x:c r="H54" s="12" t="n">
        <x:f>IF(A54="","",'Agenda'!$B$6)</x:f>
        <x:v>10</x:v>
      </x:c>
      <x:c r="I54" s="24" t="n">
        <x:f>IF(A54="","",C54+G54/1440)</x:f>
        <x:v>0.5763888888888888</x:v>
      </x:c>
      <x:c r="J54" s="24" t="n">
        <x:f>IF(A54="","",C54+(G54+H54)/1440)</x:f>
        <x:v>0.5833333333333333</x:v>
      </x:c>
      <x:c r="K54" s="27" t="n">
        <x:f>IF(A54="","",IF(E54&lt;&gt;"sim",0,COUNTIFS($B$2:$B$501,B54,$F$2:$F$501,F54,$E$2:$E$501,"sim",$C$2:$C$501,"&lt;"&amp;J54,$J$2:$J$501,"&gt;"&amp;C54)-1))</x:f>
        <x:v>0</x:v>
      </x:c>
      <x:c r="L54" s="27" t="n">
        <x:f>IF(A54="","",IF(E54&lt;&gt;"sim",0,COUNTIFS($B$2:$B$501,B54,$A$2:$A$501,A54,$E$2:$E$501,"sim",$C$2:$C$501,"&lt;"&amp;J54,$J$2:$J$501,"&gt;"&amp;C54)-1))</x:f>
        <x:v>0</x:v>
      </x:c>
      <x:c r="M54" s="2" t="str">
        <x:f>IF(A54="","",IF(E54&lt;&gt;"sim","Revisar escala",IF(OR(K54&gt;0,L54&gt;0),"Conflito de escala",IF(COUNTIFS('Solicitacoes'!$F$2:$F$501,B54,'Solicitacoes'!$K$2:$K$501,F54,'Solicitacoes'!$I$2:$I$501,"pendente",'Solicitacoes'!$G$2:$G$501,"&lt;"&amp;J54,'Solicitacoes'!$N$2:$N$501,"&gt;"&amp;C54)+COUNTIFS('Solicitacoes'!$F$2:$F$501,B54,'Solicitacoes'!$E$2:$E$501,A54,'Solicitacoes'!$I$2:$I$501,"pendente",'Solicitacoes'!$G$2:$G$501,"&lt;"&amp;J54,'Solicitacoes'!$N$2:$N$501,"&gt;"&amp;C54)+COUNTIFS('Solicitacoes'!$F$2:$F$501,B54,'Solicitacoes'!$K$2:$K$501,F54,'Solicitacoes'!$I$2:$I$501,"confirmado",'Solicitacoes'!$G$2:$G$501,"&lt;"&amp;J54,'Solicitacoes'!$N$2:$N$501,"&gt;"&amp;C54)+COUNTIFS('Solicitacoes'!$F$2:$F$501,B54,'Solicitacoes'!$E$2:$E$501,A54,'Solicitacoes'!$I$2:$I$501,"confirmado",'Solicitacoes'!$G$2:$G$501,"&lt;"&amp;J54,'Solicitacoes'!$N$2:$N$501,"&gt;"&amp;C54)&gt;0,"Ocupado","Disponível"))))</x:f>
        <x:v>Revisar escala</x:v>
      </x:c>
      <x:c r="N54" s="2" t="n">
        <x:f>IF(A54="","",ROW()-1)</x:f>
        <x:v>53</x:v>
      </x:c>
    </x:row>
    <x:row r="55" ht="24" customHeight="1">
      <x:c r="A55" s="13" t="str">
        <x:v>Aline Reis</x:v>
      </x:c>
      <x:c r="B55" s="14" t="d">
        <x:v>2026-10-07T00:00:00.000Z</x:v>
      </x:c>
      <x:c r="C55" s="26" t="n">
        <x:v>0.5416666666666666</x:v>
      </x:c>
      <x:c r="D55" s="13" t="str">
        <x:v>presencial</x:v>
      </x:c>
      <x:c r="E55" s="13" t="str">
        <x:v>não</x:v>
      </x:c>
      <x:c r="F55" s="13" t="str">
        <x:v>Sala 2</x:v>
      </x:c>
      <x:c r="G55" s="12" t="n">
        <x:f>IF(A55="","",'Agenda'!$B$5)</x:f>
        <x:v>50</x:v>
      </x:c>
      <x:c r="H55" s="12" t="n">
        <x:f>IF(A55="","",'Agenda'!$B$6)</x:f>
        <x:v>10</x:v>
      </x:c>
      <x:c r="I55" s="24" t="n">
        <x:f>IF(A55="","",C55+G55/1440)</x:f>
        <x:v>0.5763888888888888</x:v>
      </x:c>
      <x:c r="J55" s="24" t="n">
        <x:f>IF(A55="","",C55+(G55+H55)/1440)</x:f>
        <x:v>0.5833333333333333</x:v>
      </x:c>
      <x:c r="K55" s="27" t="n">
        <x:f>IF(A55="","",IF(E55&lt;&gt;"sim",0,COUNTIFS($B$2:$B$501,B55,$F$2:$F$501,F55,$E$2:$E$501,"sim",$C$2:$C$501,"&lt;"&amp;J55,$J$2:$J$501,"&gt;"&amp;C55)-1))</x:f>
        <x:v>0</x:v>
      </x:c>
      <x:c r="L55" s="27" t="n">
        <x:f>IF(A55="","",IF(E55&lt;&gt;"sim",0,COUNTIFS($B$2:$B$501,B55,$A$2:$A$501,A55,$E$2:$E$501,"sim",$C$2:$C$501,"&lt;"&amp;J55,$J$2:$J$501,"&gt;"&amp;C55)-1))</x:f>
        <x:v>0</x:v>
      </x:c>
      <x:c r="M55" s="2" t="str">
        <x:f>IF(A55="","",IF(E55&lt;&gt;"sim","Revisar escala",IF(OR(K55&gt;0,L55&gt;0),"Conflito de escala",IF(COUNTIFS('Solicitacoes'!$F$2:$F$501,B55,'Solicitacoes'!$K$2:$K$501,F55,'Solicitacoes'!$I$2:$I$501,"pendente",'Solicitacoes'!$G$2:$G$501,"&lt;"&amp;J55,'Solicitacoes'!$N$2:$N$501,"&gt;"&amp;C55)+COUNTIFS('Solicitacoes'!$F$2:$F$501,B55,'Solicitacoes'!$E$2:$E$501,A55,'Solicitacoes'!$I$2:$I$501,"pendente",'Solicitacoes'!$G$2:$G$501,"&lt;"&amp;J55,'Solicitacoes'!$N$2:$N$501,"&gt;"&amp;C55)+COUNTIFS('Solicitacoes'!$F$2:$F$501,B55,'Solicitacoes'!$K$2:$K$501,F55,'Solicitacoes'!$I$2:$I$501,"confirmado",'Solicitacoes'!$G$2:$G$501,"&lt;"&amp;J55,'Solicitacoes'!$N$2:$N$501,"&gt;"&amp;C55)+COUNTIFS('Solicitacoes'!$F$2:$F$501,B55,'Solicitacoes'!$E$2:$E$501,A55,'Solicitacoes'!$I$2:$I$501,"confirmado",'Solicitacoes'!$G$2:$G$501,"&lt;"&amp;J55,'Solicitacoes'!$N$2:$N$501,"&gt;"&amp;C55)&gt;0,"Ocupado","Disponível"))))</x:f>
        <x:v>Revisar escala</x:v>
      </x:c>
      <x:c r="N55" s="2" t="n">
        <x:f>IF(A55="","",ROW()-1)</x:f>
        <x:v>54</x:v>
      </x:c>
    </x:row>
    <x:row r="56" ht="24" customHeight="1">
      <x:c r="A56" s="13" t="str">
        <x:v>Géssyca Martins</x:v>
      </x:c>
      <x:c r="B56" s="14" t="d">
        <x:v>2026-10-07T00:00:00.000Z</x:v>
      </x:c>
      <x:c r="C56" s="26" t="n">
        <x:v>0.5833333333333334</x:v>
      </x:c>
      <x:c r="D56" s="13" t="str">
        <x:v>presencial</x:v>
      </x:c>
      <x:c r="E56" s="13" t="str">
        <x:v>não</x:v>
      </x:c>
      <x:c r="F56" s="13" t="str">
        <x:v>Sala 1</x:v>
      </x:c>
      <x:c r="G56" s="12" t="n">
        <x:f>IF(A56="","",'Agenda'!$B$5)</x:f>
        <x:v>50</x:v>
      </x:c>
      <x:c r="H56" s="12" t="n">
        <x:f>IF(A56="","",'Agenda'!$B$6)</x:f>
        <x:v>10</x:v>
      </x:c>
      <x:c r="I56" s="24" t="n">
        <x:f>IF(A56="","",C56+G56/1440)</x:f>
        <x:v>0.6180555555555556</x:v>
      </x:c>
      <x:c r="J56" s="24" t="n">
        <x:f>IF(A56="","",C56+(G56+H56)/1440)</x:f>
        <x:v>0.625</x:v>
      </x:c>
      <x:c r="K56" s="27" t="n">
        <x:f>IF(A56="","",IF(E56&lt;&gt;"sim",0,COUNTIFS($B$2:$B$501,B56,$F$2:$F$501,F56,$E$2:$E$501,"sim",$C$2:$C$501,"&lt;"&amp;J56,$J$2:$J$501,"&gt;"&amp;C56)-1))</x:f>
        <x:v>0</x:v>
      </x:c>
      <x:c r="L56" s="27" t="n">
        <x:f>IF(A56="","",IF(E56&lt;&gt;"sim",0,COUNTIFS($B$2:$B$501,B56,$A$2:$A$501,A56,$E$2:$E$501,"sim",$C$2:$C$501,"&lt;"&amp;J56,$J$2:$J$501,"&gt;"&amp;C56)-1))</x:f>
        <x:v>0</x:v>
      </x:c>
      <x:c r="M56" s="2" t="str">
        <x:f>IF(A56="","",IF(E56&lt;&gt;"sim","Revisar escala",IF(OR(K56&gt;0,L56&gt;0),"Conflito de escala",IF(COUNTIFS('Solicitacoes'!$F$2:$F$501,B56,'Solicitacoes'!$K$2:$K$501,F56,'Solicitacoes'!$I$2:$I$501,"pendente",'Solicitacoes'!$G$2:$G$501,"&lt;"&amp;J56,'Solicitacoes'!$N$2:$N$501,"&gt;"&amp;C56)+COUNTIFS('Solicitacoes'!$F$2:$F$501,B56,'Solicitacoes'!$E$2:$E$501,A56,'Solicitacoes'!$I$2:$I$501,"pendente",'Solicitacoes'!$G$2:$G$501,"&lt;"&amp;J56,'Solicitacoes'!$N$2:$N$501,"&gt;"&amp;C56)+COUNTIFS('Solicitacoes'!$F$2:$F$501,B56,'Solicitacoes'!$K$2:$K$501,F56,'Solicitacoes'!$I$2:$I$501,"confirmado",'Solicitacoes'!$G$2:$G$501,"&lt;"&amp;J56,'Solicitacoes'!$N$2:$N$501,"&gt;"&amp;C56)+COUNTIFS('Solicitacoes'!$F$2:$F$501,B56,'Solicitacoes'!$E$2:$E$501,A56,'Solicitacoes'!$I$2:$I$501,"confirmado",'Solicitacoes'!$G$2:$G$501,"&lt;"&amp;J56,'Solicitacoes'!$N$2:$N$501,"&gt;"&amp;C56)&gt;0,"Ocupado","Disponível"))))</x:f>
        <x:v>Revisar escala</x:v>
      </x:c>
      <x:c r="N56" s="2" t="n">
        <x:f>IF(A56="","",ROW()-1)</x:f>
        <x:v>55</x:v>
      </x:c>
    </x:row>
    <x:row r="57" ht="24" customHeight="1">
      <x:c r="A57" s="13" t="str">
        <x:v>Laura Casanova</x:v>
      </x:c>
      <x:c r="B57" s="14" t="d">
        <x:v>2026-10-07T00:00:00.000Z</x:v>
      </x:c>
      <x:c r="C57" s="26" t="n">
        <x:v>0.5833333333333334</x:v>
      </x:c>
      <x:c r="D57" s="13" t="str">
        <x:v>presencial</x:v>
      </x:c>
      <x:c r="E57" s="13" t="str">
        <x:v>não</x:v>
      </x:c>
      <x:c r="F57" s="13" t="str">
        <x:v>Sala 2</x:v>
      </x:c>
      <x:c r="G57" s="12" t="n">
        <x:f>IF(A57="","",'Agenda'!$B$5)</x:f>
        <x:v>50</x:v>
      </x:c>
      <x:c r="H57" s="12" t="n">
        <x:f>IF(A57="","",'Agenda'!$B$6)</x:f>
        <x:v>10</x:v>
      </x:c>
      <x:c r="I57" s="24" t="n">
        <x:f>IF(A57="","",C57+G57/1440)</x:f>
        <x:v>0.6180555555555556</x:v>
      </x:c>
      <x:c r="J57" s="24" t="n">
        <x:f>IF(A57="","",C57+(G57+H57)/1440)</x:f>
        <x:v>0.625</x:v>
      </x:c>
      <x:c r="K57" s="27" t="n">
        <x:f>IF(A57="","",IF(E57&lt;&gt;"sim",0,COUNTIFS($B$2:$B$501,B57,$F$2:$F$501,F57,$E$2:$E$501,"sim",$C$2:$C$501,"&lt;"&amp;J57,$J$2:$J$501,"&gt;"&amp;C57)-1))</x:f>
        <x:v>0</x:v>
      </x:c>
      <x:c r="L57" s="27" t="n">
        <x:f>IF(A57="","",IF(E57&lt;&gt;"sim",0,COUNTIFS($B$2:$B$501,B57,$A$2:$A$501,A57,$E$2:$E$501,"sim",$C$2:$C$501,"&lt;"&amp;J57,$J$2:$J$501,"&gt;"&amp;C57)-1))</x:f>
        <x:v>0</x:v>
      </x:c>
      <x:c r="M57" s="2" t="str">
        <x:f>IF(A57="","",IF(E57&lt;&gt;"sim","Revisar escala",IF(OR(K57&gt;0,L57&gt;0),"Conflito de escala",IF(COUNTIFS('Solicitacoes'!$F$2:$F$501,B57,'Solicitacoes'!$K$2:$K$501,F57,'Solicitacoes'!$I$2:$I$501,"pendente",'Solicitacoes'!$G$2:$G$501,"&lt;"&amp;J57,'Solicitacoes'!$N$2:$N$501,"&gt;"&amp;C57)+COUNTIFS('Solicitacoes'!$F$2:$F$501,B57,'Solicitacoes'!$E$2:$E$501,A57,'Solicitacoes'!$I$2:$I$501,"pendente",'Solicitacoes'!$G$2:$G$501,"&lt;"&amp;J57,'Solicitacoes'!$N$2:$N$501,"&gt;"&amp;C57)+COUNTIFS('Solicitacoes'!$F$2:$F$501,B57,'Solicitacoes'!$K$2:$K$501,F57,'Solicitacoes'!$I$2:$I$501,"confirmado",'Solicitacoes'!$G$2:$G$501,"&lt;"&amp;J57,'Solicitacoes'!$N$2:$N$501,"&gt;"&amp;C57)+COUNTIFS('Solicitacoes'!$F$2:$F$501,B57,'Solicitacoes'!$E$2:$E$501,A57,'Solicitacoes'!$I$2:$I$501,"confirmado",'Solicitacoes'!$G$2:$G$501,"&lt;"&amp;J57,'Solicitacoes'!$N$2:$N$501,"&gt;"&amp;C57)&gt;0,"Ocupado","Disponível"))))</x:f>
        <x:v>Revisar escala</x:v>
      </x:c>
      <x:c r="N57" s="2" t="n">
        <x:f>IF(A57="","",ROW()-1)</x:f>
        <x:v>56</x:v>
      </x:c>
    </x:row>
    <x:row r="58" ht="24" customHeight="1">
      <x:c r="A58" s="13" t="str">
        <x:v>Géssyca Martins</x:v>
      </x:c>
      <x:c r="B58" s="14" t="d">
        <x:v>2026-10-07T00:00:00.000Z</x:v>
      </x:c>
      <x:c r="C58" s="26" t="n">
        <x:v>0.625</x:v>
      </x:c>
      <x:c r="D58" s="13" t="str">
        <x:v>presencial</x:v>
      </x:c>
      <x:c r="E58" s="13" t="str">
        <x:v>não</x:v>
      </x:c>
      <x:c r="F58" s="13" t="str">
        <x:v>Sala 1</x:v>
      </x:c>
      <x:c r="G58" s="12" t="n">
        <x:f>IF(A58="","",'Agenda'!$B$5)</x:f>
        <x:v>50</x:v>
      </x:c>
      <x:c r="H58" s="12" t="n">
        <x:f>IF(A58="","",'Agenda'!$B$6)</x:f>
        <x:v>10</x:v>
      </x:c>
      <x:c r="I58" s="24" t="n">
        <x:f>IF(A58="","",C58+G58/1440)</x:f>
        <x:v>0.6597222222222222</x:v>
      </x:c>
      <x:c r="J58" s="24" t="n">
        <x:f>IF(A58="","",C58+(G58+H58)/1440)</x:f>
        <x:v>0.6666666666666666</x:v>
      </x:c>
      <x:c r="K58" s="27" t="n">
        <x:f>IF(A58="","",IF(E58&lt;&gt;"sim",0,COUNTIFS($B$2:$B$501,B58,$F$2:$F$501,F58,$E$2:$E$501,"sim",$C$2:$C$501,"&lt;"&amp;J58,$J$2:$J$501,"&gt;"&amp;C58)-1))</x:f>
        <x:v>0</x:v>
      </x:c>
      <x:c r="L58" s="27" t="n">
        <x:f>IF(A58="","",IF(E58&lt;&gt;"sim",0,COUNTIFS($B$2:$B$501,B58,$A$2:$A$501,A58,$E$2:$E$501,"sim",$C$2:$C$501,"&lt;"&amp;J58,$J$2:$J$501,"&gt;"&amp;C58)-1))</x:f>
        <x:v>0</x:v>
      </x:c>
      <x:c r="M58" s="2" t="str">
        <x:f>IF(A58="","",IF(E58&lt;&gt;"sim","Revisar escala",IF(OR(K58&gt;0,L58&gt;0),"Conflito de escala",IF(COUNTIFS('Solicitacoes'!$F$2:$F$501,B58,'Solicitacoes'!$K$2:$K$501,F58,'Solicitacoes'!$I$2:$I$501,"pendente",'Solicitacoes'!$G$2:$G$501,"&lt;"&amp;J58,'Solicitacoes'!$N$2:$N$501,"&gt;"&amp;C58)+COUNTIFS('Solicitacoes'!$F$2:$F$501,B58,'Solicitacoes'!$E$2:$E$501,A58,'Solicitacoes'!$I$2:$I$501,"pendente",'Solicitacoes'!$G$2:$G$501,"&lt;"&amp;J58,'Solicitacoes'!$N$2:$N$501,"&gt;"&amp;C58)+COUNTIFS('Solicitacoes'!$F$2:$F$501,B58,'Solicitacoes'!$K$2:$K$501,F58,'Solicitacoes'!$I$2:$I$501,"confirmado",'Solicitacoes'!$G$2:$G$501,"&lt;"&amp;J58,'Solicitacoes'!$N$2:$N$501,"&gt;"&amp;C58)+COUNTIFS('Solicitacoes'!$F$2:$F$501,B58,'Solicitacoes'!$E$2:$E$501,A58,'Solicitacoes'!$I$2:$I$501,"confirmado",'Solicitacoes'!$G$2:$G$501,"&lt;"&amp;J58,'Solicitacoes'!$N$2:$N$501,"&gt;"&amp;C58)&gt;0,"Ocupado","Disponível"))))</x:f>
        <x:v>Revisar escala</x:v>
      </x:c>
      <x:c r="N58" s="2" t="n">
        <x:f>IF(A58="","",ROW()-1)</x:f>
        <x:v>57</x:v>
      </x:c>
    </x:row>
    <x:row r="59" ht="24" customHeight="1">
      <x:c r="A59" s="13" t="str">
        <x:v>Laura Casanova</x:v>
      </x:c>
      <x:c r="B59" s="14" t="d">
        <x:v>2026-10-07T00:00:00.000Z</x:v>
      </x:c>
      <x:c r="C59" s="26" t="n">
        <x:v>0.625</x:v>
      </x:c>
      <x:c r="D59" s="13" t="str">
        <x:v>presencial</x:v>
      </x:c>
      <x:c r="E59" s="13" t="str">
        <x:v>não</x:v>
      </x:c>
      <x:c r="F59" s="13" t="str">
        <x:v>Sala 2</x:v>
      </x:c>
      <x:c r="G59" s="12" t="n">
        <x:f>IF(A59="","",'Agenda'!$B$5)</x:f>
        <x:v>50</x:v>
      </x:c>
      <x:c r="H59" s="12" t="n">
        <x:f>IF(A59="","",'Agenda'!$B$6)</x:f>
        <x:v>10</x:v>
      </x:c>
      <x:c r="I59" s="24" t="n">
        <x:f>IF(A59="","",C59+G59/1440)</x:f>
        <x:v>0.6597222222222222</x:v>
      </x:c>
      <x:c r="J59" s="24" t="n">
        <x:f>IF(A59="","",C59+(G59+H59)/1440)</x:f>
        <x:v>0.6666666666666666</x:v>
      </x:c>
      <x:c r="K59" s="27" t="n">
        <x:f>IF(A59="","",IF(E59&lt;&gt;"sim",0,COUNTIFS($B$2:$B$501,B59,$F$2:$F$501,F59,$E$2:$E$501,"sim",$C$2:$C$501,"&lt;"&amp;J59,$J$2:$J$501,"&gt;"&amp;C59)-1))</x:f>
        <x:v>0</x:v>
      </x:c>
      <x:c r="L59" s="27" t="n">
        <x:f>IF(A59="","",IF(E59&lt;&gt;"sim",0,COUNTIFS($B$2:$B$501,B59,$A$2:$A$501,A59,$E$2:$E$501,"sim",$C$2:$C$501,"&lt;"&amp;J59,$J$2:$J$501,"&gt;"&amp;C59)-1))</x:f>
        <x:v>0</x:v>
      </x:c>
      <x:c r="M59" s="2" t="str">
        <x:f>IF(A59="","",IF(E59&lt;&gt;"sim","Revisar escala",IF(OR(K59&gt;0,L59&gt;0),"Conflito de escala",IF(COUNTIFS('Solicitacoes'!$F$2:$F$501,B59,'Solicitacoes'!$K$2:$K$501,F59,'Solicitacoes'!$I$2:$I$501,"pendente",'Solicitacoes'!$G$2:$G$501,"&lt;"&amp;J59,'Solicitacoes'!$N$2:$N$501,"&gt;"&amp;C59)+COUNTIFS('Solicitacoes'!$F$2:$F$501,B59,'Solicitacoes'!$E$2:$E$501,A59,'Solicitacoes'!$I$2:$I$501,"pendente",'Solicitacoes'!$G$2:$G$501,"&lt;"&amp;J59,'Solicitacoes'!$N$2:$N$501,"&gt;"&amp;C59)+COUNTIFS('Solicitacoes'!$F$2:$F$501,B59,'Solicitacoes'!$K$2:$K$501,F59,'Solicitacoes'!$I$2:$I$501,"confirmado",'Solicitacoes'!$G$2:$G$501,"&lt;"&amp;J59,'Solicitacoes'!$N$2:$N$501,"&gt;"&amp;C59)+COUNTIFS('Solicitacoes'!$F$2:$F$501,B59,'Solicitacoes'!$E$2:$E$501,A59,'Solicitacoes'!$I$2:$I$501,"confirmado",'Solicitacoes'!$G$2:$G$501,"&lt;"&amp;J59,'Solicitacoes'!$N$2:$N$501,"&gt;"&amp;C59)&gt;0,"Ocupado","Disponível"))))</x:f>
        <x:v>Revisar escala</x:v>
      </x:c>
      <x:c r="N59" s="2" t="n">
        <x:f>IF(A59="","",ROW()-1)</x:f>
        <x:v>58</x:v>
      </x:c>
    </x:row>
    <x:row r="60" ht="24" customHeight="1">
      <x:c r="A60" s="13" t="str">
        <x:v>Géssyca Martins</x:v>
      </x:c>
      <x:c r="B60" s="14" t="d">
        <x:v>2026-10-07T00:00:00.000Z</x:v>
      </x:c>
      <x:c r="C60" s="26" t="n">
        <x:v>0.6666666666666666</x:v>
      </x:c>
      <x:c r="D60" s="13" t="str">
        <x:v>presencial</x:v>
      </x:c>
      <x:c r="E60" s="13" t="str">
        <x:v>não</x:v>
      </x:c>
      <x:c r="F60" s="13" t="str">
        <x:v>Sala 1</x:v>
      </x:c>
      <x:c r="G60" s="12" t="n">
        <x:f>IF(A60="","",'Agenda'!$B$5)</x:f>
        <x:v>50</x:v>
      </x:c>
      <x:c r="H60" s="12" t="n">
        <x:f>IF(A60="","",'Agenda'!$B$6)</x:f>
        <x:v>10</x:v>
      </x:c>
      <x:c r="I60" s="24" t="n">
        <x:f>IF(A60="","",C60+G60/1440)</x:f>
        <x:v>0.7013888888888888</x:v>
      </x:c>
      <x:c r="J60" s="24" t="n">
        <x:f>IF(A60="","",C60+(G60+H60)/1440)</x:f>
        <x:v>0.7083333333333333</x:v>
      </x:c>
      <x:c r="K60" s="27" t="n">
        <x:f>IF(A60="","",IF(E60&lt;&gt;"sim",0,COUNTIFS($B$2:$B$501,B60,$F$2:$F$501,F60,$E$2:$E$501,"sim",$C$2:$C$501,"&lt;"&amp;J60,$J$2:$J$501,"&gt;"&amp;C60)-1))</x:f>
        <x:v>0</x:v>
      </x:c>
      <x:c r="L60" s="27" t="n">
        <x:f>IF(A60="","",IF(E60&lt;&gt;"sim",0,COUNTIFS($B$2:$B$501,B60,$A$2:$A$501,A60,$E$2:$E$501,"sim",$C$2:$C$501,"&lt;"&amp;J60,$J$2:$J$501,"&gt;"&amp;C60)-1))</x:f>
        <x:v>0</x:v>
      </x:c>
      <x:c r="M60" s="2" t="str">
        <x:f>IF(A60="","",IF(E60&lt;&gt;"sim","Revisar escala",IF(OR(K60&gt;0,L60&gt;0),"Conflito de escala",IF(COUNTIFS('Solicitacoes'!$F$2:$F$501,B60,'Solicitacoes'!$K$2:$K$501,F60,'Solicitacoes'!$I$2:$I$501,"pendente",'Solicitacoes'!$G$2:$G$501,"&lt;"&amp;J60,'Solicitacoes'!$N$2:$N$501,"&gt;"&amp;C60)+COUNTIFS('Solicitacoes'!$F$2:$F$501,B60,'Solicitacoes'!$E$2:$E$501,A60,'Solicitacoes'!$I$2:$I$501,"pendente",'Solicitacoes'!$G$2:$G$501,"&lt;"&amp;J60,'Solicitacoes'!$N$2:$N$501,"&gt;"&amp;C60)+COUNTIFS('Solicitacoes'!$F$2:$F$501,B60,'Solicitacoes'!$K$2:$K$501,F60,'Solicitacoes'!$I$2:$I$501,"confirmado",'Solicitacoes'!$G$2:$G$501,"&lt;"&amp;J60,'Solicitacoes'!$N$2:$N$501,"&gt;"&amp;C60)+COUNTIFS('Solicitacoes'!$F$2:$F$501,B60,'Solicitacoes'!$E$2:$E$501,A60,'Solicitacoes'!$I$2:$I$501,"confirmado",'Solicitacoes'!$G$2:$G$501,"&lt;"&amp;J60,'Solicitacoes'!$N$2:$N$501,"&gt;"&amp;C60)&gt;0,"Ocupado","Disponível"))))</x:f>
        <x:v>Revisar escala</x:v>
      </x:c>
      <x:c r="N60" s="2" t="n">
        <x:f>IF(A60="","",ROW()-1)</x:f>
        <x:v>59</x:v>
      </x:c>
    </x:row>
    <x:row r="61" ht="24" customHeight="1">
      <x:c r="A61" s="13" t="str">
        <x:v>Laura Casanova</x:v>
      </x:c>
      <x:c r="B61" s="14" t="d">
        <x:v>2026-10-07T00:00:00.000Z</x:v>
      </x:c>
      <x:c r="C61" s="26" t="n">
        <x:v>0.6666666666666666</x:v>
      </x:c>
      <x:c r="D61" s="13" t="str">
        <x:v>presencial</x:v>
      </x:c>
      <x:c r="E61" s="13" t="str">
        <x:v>não</x:v>
      </x:c>
      <x:c r="F61" s="13" t="str">
        <x:v>Sala 2</x:v>
      </x:c>
      <x:c r="G61" s="12" t="n">
        <x:f>IF(A61="","",'Agenda'!$B$5)</x:f>
        <x:v>50</x:v>
      </x:c>
      <x:c r="H61" s="12" t="n">
        <x:f>IF(A61="","",'Agenda'!$B$6)</x:f>
        <x:v>10</x:v>
      </x:c>
      <x:c r="I61" s="24" t="n">
        <x:f>IF(A61="","",C61+G61/1440)</x:f>
        <x:v>0.7013888888888888</x:v>
      </x:c>
      <x:c r="J61" s="24" t="n">
        <x:f>IF(A61="","",C61+(G61+H61)/1440)</x:f>
        <x:v>0.7083333333333333</x:v>
      </x:c>
      <x:c r="K61" s="27" t="n">
        <x:f>IF(A61="","",IF(E61&lt;&gt;"sim",0,COUNTIFS($B$2:$B$501,B61,$F$2:$F$501,F61,$E$2:$E$501,"sim",$C$2:$C$501,"&lt;"&amp;J61,$J$2:$J$501,"&gt;"&amp;C61)-1))</x:f>
        <x:v>0</x:v>
      </x:c>
      <x:c r="L61" s="27" t="n">
        <x:f>IF(A61="","",IF(E61&lt;&gt;"sim",0,COUNTIFS($B$2:$B$501,B61,$A$2:$A$501,A61,$E$2:$E$501,"sim",$C$2:$C$501,"&lt;"&amp;J61,$J$2:$J$501,"&gt;"&amp;C61)-1))</x:f>
        <x:v>0</x:v>
      </x:c>
      <x:c r="M61" s="2" t="str">
        <x:f>IF(A61="","",IF(E61&lt;&gt;"sim","Revisar escala",IF(OR(K61&gt;0,L61&gt;0),"Conflito de escala",IF(COUNTIFS('Solicitacoes'!$F$2:$F$501,B61,'Solicitacoes'!$K$2:$K$501,F61,'Solicitacoes'!$I$2:$I$501,"pendente",'Solicitacoes'!$G$2:$G$501,"&lt;"&amp;J61,'Solicitacoes'!$N$2:$N$501,"&gt;"&amp;C61)+COUNTIFS('Solicitacoes'!$F$2:$F$501,B61,'Solicitacoes'!$E$2:$E$501,A61,'Solicitacoes'!$I$2:$I$501,"pendente",'Solicitacoes'!$G$2:$G$501,"&lt;"&amp;J61,'Solicitacoes'!$N$2:$N$501,"&gt;"&amp;C61)+COUNTIFS('Solicitacoes'!$F$2:$F$501,B61,'Solicitacoes'!$K$2:$K$501,F61,'Solicitacoes'!$I$2:$I$501,"confirmado",'Solicitacoes'!$G$2:$G$501,"&lt;"&amp;J61,'Solicitacoes'!$N$2:$N$501,"&gt;"&amp;C61)+COUNTIFS('Solicitacoes'!$F$2:$F$501,B61,'Solicitacoes'!$E$2:$E$501,A61,'Solicitacoes'!$I$2:$I$501,"confirmado",'Solicitacoes'!$G$2:$G$501,"&lt;"&amp;J61,'Solicitacoes'!$N$2:$N$501,"&gt;"&amp;C61)&gt;0,"Ocupado","Disponível"))))</x:f>
        <x:v>Revisar escala</x:v>
      </x:c>
      <x:c r="N61" s="2" t="n">
        <x:f>IF(A61="","",ROW()-1)</x:f>
        <x:v>60</x:v>
      </x:c>
    </x:row>
    <x:row r="62" ht="24" customHeight="1">
      <x:c r="A62" s="13" t="str">
        <x:v>Géssyca Martins</x:v>
      </x:c>
      <x:c r="B62" s="14" t="d">
        <x:v>2026-10-07T00:00:00.000Z</x:v>
      </x:c>
      <x:c r="C62" s="26" t="n">
        <x:v>0.7083333333333334</x:v>
      </x:c>
      <x:c r="D62" s="13" t="str">
        <x:v>presencial</x:v>
      </x:c>
      <x:c r="E62" s="13" t="str">
        <x:v>não</x:v>
      </x:c>
      <x:c r="F62" s="13" t="str">
        <x:v>Sala 1</x:v>
      </x:c>
      <x:c r="G62" s="12" t="n">
        <x:f>IF(A62="","",'Agenda'!$B$5)</x:f>
        <x:v>50</x:v>
      </x:c>
      <x:c r="H62" s="12" t="n">
        <x:f>IF(A62="","",'Agenda'!$B$6)</x:f>
        <x:v>10</x:v>
      </x:c>
      <x:c r="I62" s="24" t="n">
        <x:f>IF(A62="","",C62+G62/1440)</x:f>
        <x:v>0.7430555555555556</x:v>
      </x:c>
      <x:c r="J62" s="24" t="n">
        <x:f>IF(A62="","",C62+(G62+H62)/1440)</x:f>
        <x:v>0.75</x:v>
      </x:c>
      <x:c r="K62" s="27" t="n">
        <x:f>IF(A62="","",IF(E62&lt;&gt;"sim",0,COUNTIFS($B$2:$B$501,B62,$F$2:$F$501,F62,$E$2:$E$501,"sim",$C$2:$C$501,"&lt;"&amp;J62,$J$2:$J$501,"&gt;"&amp;C62)-1))</x:f>
        <x:v>0</x:v>
      </x:c>
      <x:c r="L62" s="27" t="n">
        <x:f>IF(A62="","",IF(E62&lt;&gt;"sim",0,COUNTIFS($B$2:$B$501,B62,$A$2:$A$501,A62,$E$2:$E$501,"sim",$C$2:$C$501,"&lt;"&amp;J62,$J$2:$J$501,"&gt;"&amp;C62)-1))</x:f>
        <x:v>0</x:v>
      </x:c>
      <x:c r="M62" s="2" t="str">
        <x:f>IF(A62="","",IF(E62&lt;&gt;"sim","Revisar escala",IF(OR(K62&gt;0,L62&gt;0),"Conflito de escala",IF(COUNTIFS('Solicitacoes'!$F$2:$F$501,B62,'Solicitacoes'!$K$2:$K$501,F62,'Solicitacoes'!$I$2:$I$501,"pendente",'Solicitacoes'!$G$2:$G$501,"&lt;"&amp;J62,'Solicitacoes'!$N$2:$N$501,"&gt;"&amp;C62)+COUNTIFS('Solicitacoes'!$F$2:$F$501,B62,'Solicitacoes'!$E$2:$E$501,A62,'Solicitacoes'!$I$2:$I$501,"pendente",'Solicitacoes'!$G$2:$G$501,"&lt;"&amp;J62,'Solicitacoes'!$N$2:$N$501,"&gt;"&amp;C62)+COUNTIFS('Solicitacoes'!$F$2:$F$501,B62,'Solicitacoes'!$K$2:$K$501,F62,'Solicitacoes'!$I$2:$I$501,"confirmado",'Solicitacoes'!$G$2:$G$501,"&lt;"&amp;J62,'Solicitacoes'!$N$2:$N$501,"&gt;"&amp;C62)+COUNTIFS('Solicitacoes'!$F$2:$F$501,B62,'Solicitacoes'!$E$2:$E$501,A62,'Solicitacoes'!$I$2:$I$501,"confirmado",'Solicitacoes'!$G$2:$G$501,"&lt;"&amp;J62,'Solicitacoes'!$N$2:$N$501,"&gt;"&amp;C62)&gt;0,"Ocupado","Disponível"))))</x:f>
        <x:v>Revisar escala</x:v>
      </x:c>
      <x:c r="N62" s="2" t="n">
        <x:f>IF(A62="","",ROW()-1)</x:f>
        <x:v>61</x:v>
      </x:c>
    </x:row>
    <x:row r="63" ht="24" customHeight="1">
      <x:c r="A63" s="13" t="str">
        <x:v>Laura Casanova</x:v>
      </x:c>
      <x:c r="B63" s="14" t="d">
        <x:v>2026-10-07T00:00:00.000Z</x:v>
      </x:c>
      <x:c r="C63" s="26" t="n">
        <x:v>0.7083333333333334</x:v>
      </x:c>
      <x:c r="D63" s="13" t="str">
        <x:v>presencial</x:v>
      </x:c>
      <x:c r="E63" s="13" t="str">
        <x:v>não</x:v>
      </x:c>
      <x:c r="F63" s="13" t="str">
        <x:v>Sala 2</x:v>
      </x:c>
      <x:c r="G63" s="12" t="n">
        <x:f>IF(A63="","",'Agenda'!$B$5)</x:f>
        <x:v>50</x:v>
      </x:c>
      <x:c r="H63" s="12" t="n">
        <x:f>IF(A63="","",'Agenda'!$B$6)</x:f>
        <x:v>10</x:v>
      </x:c>
      <x:c r="I63" s="24" t="n">
        <x:f>IF(A63="","",C63+G63/1440)</x:f>
        <x:v>0.7430555555555556</x:v>
      </x:c>
      <x:c r="J63" s="24" t="n">
        <x:f>IF(A63="","",C63+(G63+H63)/1440)</x:f>
        <x:v>0.75</x:v>
      </x:c>
      <x:c r="K63" s="27" t="n">
        <x:f>IF(A63="","",IF(E63&lt;&gt;"sim",0,COUNTIFS($B$2:$B$501,B63,$F$2:$F$501,F63,$E$2:$E$501,"sim",$C$2:$C$501,"&lt;"&amp;J63,$J$2:$J$501,"&gt;"&amp;C63)-1))</x:f>
        <x:v>0</x:v>
      </x:c>
      <x:c r="L63" s="27" t="n">
        <x:f>IF(A63="","",IF(E63&lt;&gt;"sim",0,COUNTIFS($B$2:$B$501,B63,$A$2:$A$501,A63,$E$2:$E$501,"sim",$C$2:$C$501,"&lt;"&amp;J63,$J$2:$J$501,"&gt;"&amp;C63)-1))</x:f>
        <x:v>0</x:v>
      </x:c>
      <x:c r="M63" s="2" t="str">
        <x:f>IF(A63="","",IF(E63&lt;&gt;"sim","Revisar escala",IF(OR(K63&gt;0,L63&gt;0),"Conflito de escala",IF(COUNTIFS('Solicitacoes'!$F$2:$F$501,B63,'Solicitacoes'!$K$2:$K$501,F63,'Solicitacoes'!$I$2:$I$501,"pendente",'Solicitacoes'!$G$2:$G$501,"&lt;"&amp;J63,'Solicitacoes'!$N$2:$N$501,"&gt;"&amp;C63)+COUNTIFS('Solicitacoes'!$F$2:$F$501,B63,'Solicitacoes'!$E$2:$E$501,A63,'Solicitacoes'!$I$2:$I$501,"pendente",'Solicitacoes'!$G$2:$G$501,"&lt;"&amp;J63,'Solicitacoes'!$N$2:$N$501,"&gt;"&amp;C63)+COUNTIFS('Solicitacoes'!$F$2:$F$501,B63,'Solicitacoes'!$K$2:$K$501,F63,'Solicitacoes'!$I$2:$I$501,"confirmado",'Solicitacoes'!$G$2:$G$501,"&lt;"&amp;J63,'Solicitacoes'!$N$2:$N$501,"&gt;"&amp;C63)+COUNTIFS('Solicitacoes'!$F$2:$F$501,B63,'Solicitacoes'!$E$2:$E$501,A63,'Solicitacoes'!$I$2:$I$501,"confirmado",'Solicitacoes'!$G$2:$G$501,"&lt;"&amp;J63,'Solicitacoes'!$N$2:$N$501,"&gt;"&amp;C63)&gt;0,"Ocupado","Disponível"))))</x:f>
        <x:v>Revisar escala</x:v>
      </x:c>
      <x:c r="N63" s="2" t="n">
        <x:f>IF(A63="","",ROW()-1)</x:f>
        <x:v>62</x:v>
      </x:c>
    </x:row>
    <x:row r="64" ht="24" customHeight="1">
      <x:c r="A64" s="13" t="str">
        <x:v>Géssyca Martins</x:v>
      </x:c>
      <x:c r="B64" s="14" t="d">
        <x:v>2026-10-07T00:00:00.000Z</x:v>
      </x:c>
      <x:c r="C64" s="26" t="n">
        <x:v>0.75</x:v>
      </x:c>
      <x:c r="D64" s="13" t="str">
        <x:v>presencial</x:v>
      </x:c>
      <x:c r="E64" s="13" t="str">
        <x:v>não</x:v>
      </x:c>
      <x:c r="F64" s="13" t="str">
        <x:v>Sala 1</x:v>
      </x:c>
      <x:c r="G64" s="12" t="n">
        <x:f>IF(A64="","",'Agenda'!$B$5)</x:f>
        <x:v>50</x:v>
      </x:c>
      <x:c r="H64" s="12" t="n">
        <x:f>IF(A64="","",'Agenda'!$B$6)</x:f>
        <x:v>10</x:v>
      </x:c>
      <x:c r="I64" s="24" t="n">
        <x:f>IF(A64="","",C64+G64/1440)</x:f>
        <x:v>0.7847222222222222</x:v>
      </x:c>
      <x:c r="J64" s="24" t="n">
        <x:f>IF(A64="","",C64+(G64+H64)/1440)</x:f>
        <x:v>0.7916666666666666</x:v>
      </x:c>
      <x:c r="K64" s="27" t="n">
        <x:f>IF(A64="","",IF(E64&lt;&gt;"sim",0,COUNTIFS($B$2:$B$501,B64,$F$2:$F$501,F64,$E$2:$E$501,"sim",$C$2:$C$501,"&lt;"&amp;J64,$J$2:$J$501,"&gt;"&amp;C64)-1))</x:f>
        <x:v>0</x:v>
      </x:c>
      <x:c r="L64" s="27" t="n">
        <x:f>IF(A64="","",IF(E64&lt;&gt;"sim",0,COUNTIFS($B$2:$B$501,B64,$A$2:$A$501,A64,$E$2:$E$501,"sim",$C$2:$C$501,"&lt;"&amp;J64,$J$2:$J$501,"&gt;"&amp;C64)-1))</x:f>
        <x:v>0</x:v>
      </x:c>
      <x:c r="M64" s="2" t="str">
        <x:f>IF(A64="","",IF(E64&lt;&gt;"sim","Revisar escala",IF(OR(K64&gt;0,L64&gt;0),"Conflito de escala",IF(COUNTIFS('Solicitacoes'!$F$2:$F$501,B64,'Solicitacoes'!$K$2:$K$501,F64,'Solicitacoes'!$I$2:$I$501,"pendente",'Solicitacoes'!$G$2:$G$501,"&lt;"&amp;J64,'Solicitacoes'!$N$2:$N$501,"&gt;"&amp;C64)+COUNTIFS('Solicitacoes'!$F$2:$F$501,B64,'Solicitacoes'!$E$2:$E$501,A64,'Solicitacoes'!$I$2:$I$501,"pendente",'Solicitacoes'!$G$2:$G$501,"&lt;"&amp;J64,'Solicitacoes'!$N$2:$N$501,"&gt;"&amp;C64)+COUNTIFS('Solicitacoes'!$F$2:$F$501,B64,'Solicitacoes'!$K$2:$K$501,F64,'Solicitacoes'!$I$2:$I$501,"confirmado",'Solicitacoes'!$G$2:$G$501,"&lt;"&amp;J64,'Solicitacoes'!$N$2:$N$501,"&gt;"&amp;C64)+COUNTIFS('Solicitacoes'!$F$2:$F$501,B64,'Solicitacoes'!$E$2:$E$501,A64,'Solicitacoes'!$I$2:$I$501,"confirmado",'Solicitacoes'!$G$2:$G$501,"&lt;"&amp;J64,'Solicitacoes'!$N$2:$N$501,"&gt;"&amp;C64)&gt;0,"Ocupado","Disponível"))))</x:f>
        <x:v>Revisar escala</x:v>
      </x:c>
      <x:c r="N64" s="2" t="n">
        <x:f>IF(A64="","",ROW()-1)</x:f>
        <x:v>63</x:v>
      </x:c>
    </x:row>
    <x:row r="65" ht="24" customHeight="1">
      <x:c r="A65" s="13" t="str">
        <x:v>Laura Casanova</x:v>
      </x:c>
      <x:c r="B65" s="14" t="d">
        <x:v>2026-10-07T00:00:00.000Z</x:v>
      </x:c>
      <x:c r="C65" s="26" t="n">
        <x:v>0.75</x:v>
      </x:c>
      <x:c r="D65" s="13" t="str">
        <x:v>presencial</x:v>
      </x:c>
      <x:c r="E65" s="13" t="str">
        <x:v>não</x:v>
      </x:c>
      <x:c r="F65" s="13" t="str">
        <x:v>Sala 2</x:v>
      </x:c>
      <x:c r="G65" s="12" t="n">
        <x:f>IF(A65="","",'Agenda'!$B$5)</x:f>
        <x:v>50</x:v>
      </x:c>
      <x:c r="H65" s="12" t="n">
        <x:f>IF(A65="","",'Agenda'!$B$6)</x:f>
        <x:v>10</x:v>
      </x:c>
      <x:c r="I65" s="24" t="n">
        <x:f>IF(A65="","",C65+G65/1440)</x:f>
        <x:v>0.7847222222222222</x:v>
      </x:c>
      <x:c r="J65" s="24" t="n">
        <x:f>IF(A65="","",C65+(G65+H65)/1440)</x:f>
        <x:v>0.7916666666666666</x:v>
      </x:c>
      <x:c r="K65" s="27" t="n">
        <x:f>IF(A65="","",IF(E65&lt;&gt;"sim",0,COUNTIFS($B$2:$B$501,B65,$F$2:$F$501,F65,$E$2:$E$501,"sim",$C$2:$C$501,"&lt;"&amp;J65,$J$2:$J$501,"&gt;"&amp;C65)-1))</x:f>
        <x:v>0</x:v>
      </x:c>
      <x:c r="L65" s="27" t="n">
        <x:f>IF(A65="","",IF(E65&lt;&gt;"sim",0,COUNTIFS($B$2:$B$501,B65,$A$2:$A$501,A65,$E$2:$E$501,"sim",$C$2:$C$501,"&lt;"&amp;J65,$J$2:$J$501,"&gt;"&amp;C65)-1))</x:f>
        <x:v>0</x:v>
      </x:c>
      <x:c r="M65" s="2" t="str">
        <x:f>IF(A65="","",IF(E65&lt;&gt;"sim","Revisar escala",IF(OR(K65&gt;0,L65&gt;0),"Conflito de escala",IF(COUNTIFS('Solicitacoes'!$F$2:$F$501,B65,'Solicitacoes'!$K$2:$K$501,F65,'Solicitacoes'!$I$2:$I$501,"pendente",'Solicitacoes'!$G$2:$G$501,"&lt;"&amp;J65,'Solicitacoes'!$N$2:$N$501,"&gt;"&amp;C65)+COUNTIFS('Solicitacoes'!$F$2:$F$501,B65,'Solicitacoes'!$E$2:$E$501,A65,'Solicitacoes'!$I$2:$I$501,"pendente",'Solicitacoes'!$G$2:$G$501,"&lt;"&amp;J65,'Solicitacoes'!$N$2:$N$501,"&gt;"&amp;C65)+COUNTIFS('Solicitacoes'!$F$2:$F$501,B65,'Solicitacoes'!$K$2:$K$501,F65,'Solicitacoes'!$I$2:$I$501,"confirmado",'Solicitacoes'!$G$2:$G$501,"&lt;"&amp;J65,'Solicitacoes'!$N$2:$N$501,"&gt;"&amp;C65)+COUNTIFS('Solicitacoes'!$F$2:$F$501,B65,'Solicitacoes'!$E$2:$E$501,A65,'Solicitacoes'!$I$2:$I$501,"confirmado",'Solicitacoes'!$G$2:$G$501,"&lt;"&amp;J65,'Solicitacoes'!$N$2:$N$501,"&gt;"&amp;C65)&gt;0,"Ocupado","Disponível"))))</x:f>
        <x:v>Revisar escala</x:v>
      </x:c>
      <x:c r="N65" s="2" t="n">
        <x:f>IF(A65="","",ROW()-1)</x:f>
        <x:v>64</x:v>
      </x:c>
    </x:row>
    <x:row r="66" ht="24" customHeight="1">
      <x:c r="A66" s="13" t="str">
        <x:v>Géssyca Martins</x:v>
      </x:c>
      <x:c r="B66" s="14" t="d">
        <x:v>2026-10-07T00:00:00.000Z</x:v>
      </x:c>
      <x:c r="C66" s="26" t="n">
        <x:v>0.7916666666666666</x:v>
      </x:c>
      <x:c r="D66" s="13" t="str">
        <x:v>presencial</x:v>
      </x:c>
      <x:c r="E66" s="13" t="str">
        <x:v>não</x:v>
      </x:c>
      <x:c r="F66" s="13" t="str">
        <x:v>Sala 1</x:v>
      </x:c>
      <x:c r="G66" s="12" t="n">
        <x:f>IF(A66="","",'Agenda'!$B$5)</x:f>
        <x:v>50</x:v>
      </x:c>
      <x:c r="H66" s="12" t="n">
        <x:f>IF(A66="","",'Agenda'!$B$6)</x:f>
        <x:v>10</x:v>
      </x:c>
      <x:c r="I66" s="24" t="n">
        <x:f>IF(A66="","",C66+G66/1440)</x:f>
        <x:v>0.8263888888888888</x:v>
      </x:c>
      <x:c r="J66" s="24" t="n">
        <x:f>IF(A66="","",C66+(G66+H66)/1440)</x:f>
        <x:v>0.8333333333333333</x:v>
      </x:c>
      <x:c r="K66" s="27" t="n">
        <x:f>IF(A66="","",IF(E66&lt;&gt;"sim",0,COUNTIFS($B$2:$B$501,B66,$F$2:$F$501,F66,$E$2:$E$501,"sim",$C$2:$C$501,"&lt;"&amp;J66,$J$2:$J$501,"&gt;"&amp;C66)-1))</x:f>
        <x:v>0</x:v>
      </x:c>
      <x:c r="L66" s="27" t="n">
        <x:f>IF(A66="","",IF(E66&lt;&gt;"sim",0,COUNTIFS($B$2:$B$501,B66,$A$2:$A$501,A66,$E$2:$E$501,"sim",$C$2:$C$501,"&lt;"&amp;J66,$J$2:$J$501,"&gt;"&amp;C66)-1))</x:f>
        <x:v>0</x:v>
      </x:c>
      <x:c r="M66" s="2" t="str">
        <x:f>IF(A66="","",IF(E66&lt;&gt;"sim","Revisar escala",IF(OR(K66&gt;0,L66&gt;0),"Conflito de escala",IF(COUNTIFS('Solicitacoes'!$F$2:$F$501,B66,'Solicitacoes'!$K$2:$K$501,F66,'Solicitacoes'!$I$2:$I$501,"pendente",'Solicitacoes'!$G$2:$G$501,"&lt;"&amp;J66,'Solicitacoes'!$N$2:$N$501,"&gt;"&amp;C66)+COUNTIFS('Solicitacoes'!$F$2:$F$501,B66,'Solicitacoes'!$E$2:$E$501,A66,'Solicitacoes'!$I$2:$I$501,"pendente",'Solicitacoes'!$G$2:$G$501,"&lt;"&amp;J66,'Solicitacoes'!$N$2:$N$501,"&gt;"&amp;C66)+COUNTIFS('Solicitacoes'!$F$2:$F$501,B66,'Solicitacoes'!$K$2:$K$501,F66,'Solicitacoes'!$I$2:$I$501,"confirmado",'Solicitacoes'!$G$2:$G$501,"&lt;"&amp;J66,'Solicitacoes'!$N$2:$N$501,"&gt;"&amp;C66)+COUNTIFS('Solicitacoes'!$F$2:$F$501,B66,'Solicitacoes'!$E$2:$E$501,A66,'Solicitacoes'!$I$2:$I$501,"confirmado",'Solicitacoes'!$G$2:$G$501,"&lt;"&amp;J66,'Solicitacoes'!$N$2:$N$501,"&gt;"&amp;C66)&gt;0,"Ocupado","Disponível"))))</x:f>
        <x:v>Revisar escala</x:v>
      </x:c>
      <x:c r="N66" s="2" t="n">
        <x:f>IF(A66="","",ROW()-1)</x:f>
        <x:v>65</x:v>
      </x:c>
    </x:row>
    <x:row r="67" ht="24" customHeight="1">
      <x:c r="A67" s="13" t="str">
        <x:v>Laura Casanova</x:v>
      </x:c>
      <x:c r="B67" s="14" t="d">
        <x:v>2026-10-07T00:00:00.000Z</x:v>
      </x:c>
      <x:c r="C67" s="26" t="n">
        <x:v>0.7916666666666666</x:v>
      </x:c>
      <x:c r="D67" s="13" t="str">
        <x:v>presencial</x:v>
      </x:c>
      <x:c r="E67" s="13" t="str">
        <x:v>não</x:v>
      </x:c>
      <x:c r="F67" s="13" t="str">
        <x:v>Sala 2</x:v>
      </x:c>
      <x:c r="G67" s="12" t="n">
        <x:f>IF(A67="","",'Agenda'!$B$5)</x:f>
        <x:v>50</x:v>
      </x:c>
      <x:c r="H67" s="12" t="n">
        <x:f>IF(A67="","",'Agenda'!$B$6)</x:f>
        <x:v>10</x:v>
      </x:c>
      <x:c r="I67" s="24" t="n">
        <x:f>IF(A67="","",C67+G67/1440)</x:f>
        <x:v>0.8263888888888888</x:v>
      </x:c>
      <x:c r="J67" s="24" t="n">
        <x:f>IF(A67="","",C67+(G67+H67)/1440)</x:f>
        <x:v>0.8333333333333333</x:v>
      </x:c>
      <x:c r="K67" s="27" t="n">
        <x:f>IF(A67="","",IF(E67&lt;&gt;"sim",0,COUNTIFS($B$2:$B$501,B67,$F$2:$F$501,F67,$E$2:$E$501,"sim",$C$2:$C$501,"&lt;"&amp;J67,$J$2:$J$501,"&gt;"&amp;C67)-1))</x:f>
        <x:v>0</x:v>
      </x:c>
      <x:c r="L67" s="27" t="n">
        <x:f>IF(A67="","",IF(E67&lt;&gt;"sim",0,COUNTIFS($B$2:$B$501,B67,$A$2:$A$501,A67,$E$2:$E$501,"sim",$C$2:$C$501,"&lt;"&amp;J67,$J$2:$J$501,"&gt;"&amp;C67)-1))</x:f>
        <x:v>0</x:v>
      </x:c>
      <x:c r="M67" s="2" t="str">
        <x:f>IF(A67="","",IF(E67&lt;&gt;"sim","Revisar escala",IF(OR(K67&gt;0,L67&gt;0),"Conflito de escala",IF(COUNTIFS('Solicitacoes'!$F$2:$F$501,B67,'Solicitacoes'!$K$2:$K$501,F67,'Solicitacoes'!$I$2:$I$501,"pendente",'Solicitacoes'!$G$2:$G$501,"&lt;"&amp;J67,'Solicitacoes'!$N$2:$N$501,"&gt;"&amp;C67)+COUNTIFS('Solicitacoes'!$F$2:$F$501,B67,'Solicitacoes'!$E$2:$E$501,A67,'Solicitacoes'!$I$2:$I$501,"pendente",'Solicitacoes'!$G$2:$G$501,"&lt;"&amp;J67,'Solicitacoes'!$N$2:$N$501,"&gt;"&amp;C67)+COUNTIFS('Solicitacoes'!$F$2:$F$501,B67,'Solicitacoes'!$K$2:$K$501,F67,'Solicitacoes'!$I$2:$I$501,"confirmado",'Solicitacoes'!$G$2:$G$501,"&lt;"&amp;J67,'Solicitacoes'!$N$2:$N$501,"&gt;"&amp;C67)+COUNTIFS('Solicitacoes'!$F$2:$F$501,B67,'Solicitacoes'!$E$2:$E$501,A67,'Solicitacoes'!$I$2:$I$501,"confirmado",'Solicitacoes'!$G$2:$G$501,"&lt;"&amp;J67,'Solicitacoes'!$N$2:$N$501,"&gt;"&amp;C67)&gt;0,"Ocupado","Disponível"))))</x:f>
        <x:v>Revisar escala</x:v>
      </x:c>
      <x:c r="N67" s="2" t="n">
        <x:f>IF(A67="","",ROW()-1)</x:f>
        <x:v>66</x:v>
      </x:c>
    </x:row>
    <x:row r="68" ht="24" customHeight="1">
      <x:c r="A68" s="13" t="str">
        <x:v>Aline Reis</x:v>
      </x:c>
      <x:c r="B68" s="14" t="d">
        <x:v>2026-10-08T00:00:00.000Z</x:v>
      </x:c>
      <x:c r="C68" s="26" t="n">
        <x:v>0.375</x:v>
      </x:c>
      <x:c r="D68" s="13" t="str">
        <x:v>presencial</x:v>
      </x:c>
      <x:c r="E68" s="13" t="str">
        <x:v>não</x:v>
      </x:c>
      <x:c r="F68" s="13" t="str">
        <x:v>Sala 1</x:v>
      </x:c>
      <x:c r="G68" s="12" t="n">
        <x:f>IF(A68="","",'Agenda'!$B$5)</x:f>
        <x:v>50</x:v>
      </x:c>
      <x:c r="H68" s="12" t="n">
        <x:f>IF(A68="","",'Agenda'!$B$6)</x:f>
        <x:v>10</x:v>
      </x:c>
      <x:c r="I68" s="24" t="n">
        <x:f>IF(A68="","",C68+G68/1440)</x:f>
        <x:v>0.4097222222222222</x:v>
      </x:c>
      <x:c r="J68" s="24" t="n">
        <x:f>IF(A68="","",C68+(G68+H68)/1440)</x:f>
        <x:v>0.4166666666666667</x:v>
      </x:c>
      <x:c r="K68" s="27" t="n">
        <x:f>IF(A68="","",IF(E68&lt;&gt;"sim",0,COUNTIFS($B$2:$B$501,B68,$F$2:$F$501,F68,$E$2:$E$501,"sim",$C$2:$C$501,"&lt;"&amp;J68,$J$2:$J$501,"&gt;"&amp;C68)-1))</x:f>
        <x:v>0</x:v>
      </x:c>
      <x:c r="L68" s="27" t="n">
        <x:f>IF(A68="","",IF(E68&lt;&gt;"sim",0,COUNTIFS($B$2:$B$501,B68,$A$2:$A$501,A68,$E$2:$E$501,"sim",$C$2:$C$501,"&lt;"&amp;J68,$J$2:$J$501,"&gt;"&amp;C68)-1))</x:f>
        <x:v>0</x:v>
      </x:c>
      <x:c r="M68" s="2" t="str">
        <x:f>IF(A68="","",IF(E68&lt;&gt;"sim","Revisar escala",IF(OR(K68&gt;0,L68&gt;0),"Conflito de escala",IF(COUNTIFS('Solicitacoes'!$F$2:$F$501,B68,'Solicitacoes'!$K$2:$K$501,F68,'Solicitacoes'!$I$2:$I$501,"pendente",'Solicitacoes'!$G$2:$G$501,"&lt;"&amp;J68,'Solicitacoes'!$N$2:$N$501,"&gt;"&amp;C68)+COUNTIFS('Solicitacoes'!$F$2:$F$501,B68,'Solicitacoes'!$E$2:$E$501,A68,'Solicitacoes'!$I$2:$I$501,"pendente",'Solicitacoes'!$G$2:$G$501,"&lt;"&amp;J68,'Solicitacoes'!$N$2:$N$501,"&gt;"&amp;C68)+COUNTIFS('Solicitacoes'!$F$2:$F$501,B68,'Solicitacoes'!$K$2:$K$501,F68,'Solicitacoes'!$I$2:$I$501,"confirmado",'Solicitacoes'!$G$2:$G$501,"&lt;"&amp;J68,'Solicitacoes'!$N$2:$N$501,"&gt;"&amp;C68)+COUNTIFS('Solicitacoes'!$F$2:$F$501,B68,'Solicitacoes'!$E$2:$E$501,A68,'Solicitacoes'!$I$2:$I$501,"confirmado",'Solicitacoes'!$G$2:$G$501,"&lt;"&amp;J68,'Solicitacoes'!$N$2:$N$501,"&gt;"&amp;C68)&gt;0,"Ocupado","Disponível"))))</x:f>
        <x:v>Revisar escala</x:v>
      </x:c>
      <x:c r="N68" s="2" t="n">
        <x:f>IF(A68="","",ROW()-1)</x:f>
        <x:v>67</x:v>
      </x:c>
    </x:row>
    <x:row r="69" ht="24" customHeight="1">
      <x:c r="A69" s="13" t="str">
        <x:v>Géssyca Martins</x:v>
      </x:c>
      <x:c r="B69" s="14" t="d">
        <x:v>2026-10-08T00:00:00.000Z</x:v>
      </x:c>
      <x:c r="C69" s="26" t="n">
        <x:v>0.375</x:v>
      </x:c>
      <x:c r="D69" s="13" t="str">
        <x:v>presencial</x:v>
      </x:c>
      <x:c r="E69" s="13" t="str">
        <x:v>não</x:v>
      </x:c>
      <x:c r="F69" s="13" t="str">
        <x:v>Sala 2</x:v>
      </x:c>
      <x:c r="G69" s="12" t="n">
        <x:f>IF(A69="","",'Agenda'!$B$5)</x:f>
        <x:v>50</x:v>
      </x:c>
      <x:c r="H69" s="12" t="n">
        <x:f>IF(A69="","",'Agenda'!$B$6)</x:f>
        <x:v>10</x:v>
      </x:c>
      <x:c r="I69" s="24" t="n">
        <x:f>IF(A69="","",C69+G69/1440)</x:f>
        <x:v>0.4097222222222222</x:v>
      </x:c>
      <x:c r="J69" s="24" t="n">
        <x:f>IF(A69="","",C69+(G69+H69)/1440)</x:f>
        <x:v>0.4166666666666667</x:v>
      </x:c>
      <x:c r="K69" s="27" t="n">
        <x:f>IF(A69="","",IF(E69&lt;&gt;"sim",0,COUNTIFS($B$2:$B$501,B69,$F$2:$F$501,F69,$E$2:$E$501,"sim",$C$2:$C$501,"&lt;"&amp;J69,$J$2:$J$501,"&gt;"&amp;C69)-1))</x:f>
        <x:v>0</x:v>
      </x:c>
      <x:c r="L69" s="27" t="n">
        <x:f>IF(A69="","",IF(E69&lt;&gt;"sim",0,COUNTIFS($B$2:$B$501,B69,$A$2:$A$501,A69,$E$2:$E$501,"sim",$C$2:$C$501,"&lt;"&amp;J69,$J$2:$J$501,"&gt;"&amp;C69)-1))</x:f>
        <x:v>0</x:v>
      </x:c>
      <x:c r="M69" s="2" t="str">
        <x:f>IF(A69="","",IF(E69&lt;&gt;"sim","Revisar escala",IF(OR(K69&gt;0,L69&gt;0),"Conflito de escala",IF(COUNTIFS('Solicitacoes'!$F$2:$F$501,B69,'Solicitacoes'!$K$2:$K$501,F69,'Solicitacoes'!$I$2:$I$501,"pendente",'Solicitacoes'!$G$2:$G$501,"&lt;"&amp;J69,'Solicitacoes'!$N$2:$N$501,"&gt;"&amp;C69)+COUNTIFS('Solicitacoes'!$F$2:$F$501,B69,'Solicitacoes'!$E$2:$E$501,A69,'Solicitacoes'!$I$2:$I$501,"pendente",'Solicitacoes'!$G$2:$G$501,"&lt;"&amp;J69,'Solicitacoes'!$N$2:$N$501,"&gt;"&amp;C69)+COUNTIFS('Solicitacoes'!$F$2:$F$501,B69,'Solicitacoes'!$K$2:$K$501,F69,'Solicitacoes'!$I$2:$I$501,"confirmado",'Solicitacoes'!$G$2:$G$501,"&lt;"&amp;J69,'Solicitacoes'!$N$2:$N$501,"&gt;"&amp;C69)+COUNTIFS('Solicitacoes'!$F$2:$F$501,B69,'Solicitacoes'!$E$2:$E$501,A69,'Solicitacoes'!$I$2:$I$501,"confirmado",'Solicitacoes'!$G$2:$G$501,"&lt;"&amp;J69,'Solicitacoes'!$N$2:$N$501,"&gt;"&amp;C69)&gt;0,"Ocupado","Disponível"))))</x:f>
        <x:v>Revisar escala</x:v>
      </x:c>
      <x:c r="N69" s="2" t="n">
        <x:f>IF(A69="","",ROW()-1)</x:f>
        <x:v>68</x:v>
      </x:c>
    </x:row>
    <x:row r="70" ht="24" customHeight="1">
      <x:c r="A70" s="13" t="str">
        <x:v>Aline Reis</x:v>
      </x:c>
      <x:c r="B70" s="14" t="d">
        <x:v>2026-10-08T00:00:00.000Z</x:v>
      </x:c>
      <x:c r="C70" s="26" t="n">
        <x:v>0.4166666666666667</x:v>
      </x:c>
      <x:c r="D70" s="13" t="str">
        <x:v>presencial</x:v>
      </x:c>
      <x:c r="E70" s="13" t="str">
        <x:v>não</x:v>
      </x:c>
      <x:c r="F70" s="13" t="str">
        <x:v>Sala 1</x:v>
      </x:c>
      <x:c r="G70" s="12" t="n">
        <x:f>IF(A70="","",'Agenda'!$B$5)</x:f>
        <x:v>50</x:v>
      </x:c>
      <x:c r="H70" s="12" t="n">
        <x:f>IF(A70="","",'Agenda'!$B$6)</x:f>
        <x:v>10</x:v>
      </x:c>
      <x:c r="I70" s="24" t="n">
        <x:f>IF(A70="","",C70+G70/1440)</x:f>
        <x:v>0.4513888888888889</x:v>
      </x:c>
      <x:c r="J70" s="24" t="n">
        <x:f>IF(A70="","",C70+(G70+H70)/1440)</x:f>
        <x:v>0.45833333333333337</x:v>
      </x:c>
      <x:c r="K70" s="27" t="n">
        <x:f>IF(A70="","",IF(E70&lt;&gt;"sim",0,COUNTIFS($B$2:$B$501,B70,$F$2:$F$501,F70,$E$2:$E$501,"sim",$C$2:$C$501,"&lt;"&amp;J70,$J$2:$J$501,"&gt;"&amp;C70)-1))</x:f>
        <x:v>0</x:v>
      </x:c>
      <x:c r="L70" s="27" t="n">
        <x:f>IF(A70="","",IF(E70&lt;&gt;"sim",0,COUNTIFS($B$2:$B$501,B70,$A$2:$A$501,A70,$E$2:$E$501,"sim",$C$2:$C$501,"&lt;"&amp;J70,$J$2:$J$501,"&gt;"&amp;C70)-1))</x:f>
        <x:v>0</x:v>
      </x:c>
      <x:c r="M70" s="2" t="str">
        <x:f>IF(A70="","",IF(E70&lt;&gt;"sim","Revisar escala",IF(OR(K70&gt;0,L70&gt;0),"Conflito de escala",IF(COUNTIFS('Solicitacoes'!$F$2:$F$501,B70,'Solicitacoes'!$K$2:$K$501,F70,'Solicitacoes'!$I$2:$I$501,"pendente",'Solicitacoes'!$G$2:$G$501,"&lt;"&amp;J70,'Solicitacoes'!$N$2:$N$501,"&gt;"&amp;C70)+COUNTIFS('Solicitacoes'!$F$2:$F$501,B70,'Solicitacoes'!$E$2:$E$501,A70,'Solicitacoes'!$I$2:$I$501,"pendente",'Solicitacoes'!$G$2:$G$501,"&lt;"&amp;J70,'Solicitacoes'!$N$2:$N$501,"&gt;"&amp;C70)+COUNTIFS('Solicitacoes'!$F$2:$F$501,B70,'Solicitacoes'!$K$2:$K$501,F70,'Solicitacoes'!$I$2:$I$501,"confirmado",'Solicitacoes'!$G$2:$G$501,"&lt;"&amp;J70,'Solicitacoes'!$N$2:$N$501,"&gt;"&amp;C70)+COUNTIFS('Solicitacoes'!$F$2:$F$501,B70,'Solicitacoes'!$E$2:$E$501,A70,'Solicitacoes'!$I$2:$I$501,"confirmado",'Solicitacoes'!$G$2:$G$501,"&lt;"&amp;J70,'Solicitacoes'!$N$2:$N$501,"&gt;"&amp;C70)&gt;0,"Ocupado","Disponível"))))</x:f>
        <x:v>Revisar escala</x:v>
      </x:c>
      <x:c r="N70" s="2" t="n">
        <x:f>IF(A70="","",ROW()-1)</x:f>
        <x:v>69</x:v>
      </x:c>
    </x:row>
    <x:row r="71" ht="24" customHeight="1">
      <x:c r="A71" s="13" t="str">
        <x:v>Géssyca Martins</x:v>
      </x:c>
      <x:c r="B71" s="14" t="d">
        <x:v>2026-10-08T00:00:00.000Z</x:v>
      </x:c>
      <x:c r="C71" s="26" t="n">
        <x:v>0.4166666666666667</x:v>
      </x:c>
      <x:c r="D71" s="13" t="str">
        <x:v>presencial</x:v>
      </x:c>
      <x:c r="E71" s="13" t="str">
        <x:v>não</x:v>
      </x:c>
      <x:c r="F71" s="13" t="str">
        <x:v>Sala 2</x:v>
      </x:c>
      <x:c r="G71" s="12" t="n">
        <x:f>IF(A71="","",'Agenda'!$B$5)</x:f>
        <x:v>50</x:v>
      </x:c>
      <x:c r="H71" s="12" t="n">
        <x:f>IF(A71="","",'Agenda'!$B$6)</x:f>
        <x:v>10</x:v>
      </x:c>
      <x:c r="I71" s="24" t="n">
        <x:f>IF(A71="","",C71+G71/1440)</x:f>
        <x:v>0.4513888888888889</x:v>
      </x:c>
      <x:c r="J71" s="24" t="n">
        <x:f>IF(A71="","",C71+(G71+H71)/1440)</x:f>
        <x:v>0.45833333333333337</x:v>
      </x:c>
      <x:c r="K71" s="27" t="n">
        <x:f>IF(A71="","",IF(E71&lt;&gt;"sim",0,COUNTIFS($B$2:$B$501,B71,$F$2:$F$501,F71,$E$2:$E$501,"sim",$C$2:$C$501,"&lt;"&amp;J71,$J$2:$J$501,"&gt;"&amp;C71)-1))</x:f>
        <x:v>0</x:v>
      </x:c>
      <x:c r="L71" s="27" t="n">
        <x:f>IF(A71="","",IF(E71&lt;&gt;"sim",0,COUNTIFS($B$2:$B$501,B71,$A$2:$A$501,A71,$E$2:$E$501,"sim",$C$2:$C$501,"&lt;"&amp;J71,$J$2:$J$501,"&gt;"&amp;C71)-1))</x:f>
        <x:v>0</x:v>
      </x:c>
      <x:c r="M71" s="2" t="str">
        <x:f>IF(A71="","",IF(E71&lt;&gt;"sim","Revisar escala",IF(OR(K71&gt;0,L71&gt;0),"Conflito de escala",IF(COUNTIFS('Solicitacoes'!$F$2:$F$501,B71,'Solicitacoes'!$K$2:$K$501,F71,'Solicitacoes'!$I$2:$I$501,"pendente",'Solicitacoes'!$G$2:$G$501,"&lt;"&amp;J71,'Solicitacoes'!$N$2:$N$501,"&gt;"&amp;C71)+COUNTIFS('Solicitacoes'!$F$2:$F$501,B71,'Solicitacoes'!$E$2:$E$501,A71,'Solicitacoes'!$I$2:$I$501,"pendente",'Solicitacoes'!$G$2:$G$501,"&lt;"&amp;J71,'Solicitacoes'!$N$2:$N$501,"&gt;"&amp;C71)+COUNTIFS('Solicitacoes'!$F$2:$F$501,B71,'Solicitacoes'!$K$2:$K$501,F71,'Solicitacoes'!$I$2:$I$501,"confirmado",'Solicitacoes'!$G$2:$G$501,"&lt;"&amp;J71,'Solicitacoes'!$N$2:$N$501,"&gt;"&amp;C71)+COUNTIFS('Solicitacoes'!$F$2:$F$501,B71,'Solicitacoes'!$E$2:$E$501,A71,'Solicitacoes'!$I$2:$I$501,"confirmado",'Solicitacoes'!$G$2:$G$501,"&lt;"&amp;J71,'Solicitacoes'!$N$2:$N$501,"&gt;"&amp;C71)&gt;0,"Ocupado","Disponível"))))</x:f>
        <x:v>Revisar escala</x:v>
      </x:c>
      <x:c r="N71" s="2" t="n">
        <x:f>IF(A71="","",ROW()-1)</x:f>
        <x:v>70</x:v>
      </x:c>
    </x:row>
    <x:row r="72" ht="24" customHeight="1">
      <x:c r="A72" s="13" t="str">
        <x:v>Aline Reis</x:v>
      </x:c>
      <x:c r="B72" s="14" t="d">
        <x:v>2026-10-08T00:00:00.000Z</x:v>
      </x:c>
      <x:c r="C72" s="26" t="n">
        <x:v>0.4583333333333333</x:v>
      </x:c>
      <x:c r="D72" s="13" t="str">
        <x:v>presencial</x:v>
      </x:c>
      <x:c r="E72" s="13" t="str">
        <x:v>não</x:v>
      </x:c>
      <x:c r="F72" s="13" t="str">
        <x:v>Sala 1</x:v>
      </x:c>
      <x:c r="G72" s="12" t="n">
        <x:f>IF(A72="","",'Agenda'!$B$5)</x:f>
        <x:v>50</x:v>
      </x:c>
      <x:c r="H72" s="12" t="n">
        <x:f>IF(A72="","",'Agenda'!$B$6)</x:f>
        <x:v>10</x:v>
      </x:c>
      <x:c r="I72" s="24" t="n">
        <x:f>IF(A72="","",C72+G72/1440)</x:f>
        <x:v>0.4930555555555555</x:v>
      </x:c>
      <x:c r="J72" s="24" t="n">
        <x:f>IF(A72="","",C72+(G72+H72)/1440)</x:f>
        <x:v>0.5</x:v>
      </x:c>
      <x:c r="K72" s="27" t="n">
        <x:f>IF(A72="","",IF(E72&lt;&gt;"sim",0,COUNTIFS($B$2:$B$501,B72,$F$2:$F$501,F72,$E$2:$E$501,"sim",$C$2:$C$501,"&lt;"&amp;J72,$J$2:$J$501,"&gt;"&amp;C72)-1))</x:f>
        <x:v>0</x:v>
      </x:c>
      <x:c r="L72" s="27" t="n">
        <x:f>IF(A72="","",IF(E72&lt;&gt;"sim",0,COUNTIFS($B$2:$B$501,B72,$A$2:$A$501,A72,$E$2:$E$501,"sim",$C$2:$C$501,"&lt;"&amp;J72,$J$2:$J$501,"&gt;"&amp;C72)-1))</x:f>
        <x:v>0</x:v>
      </x:c>
      <x:c r="M72" s="2" t="str">
        <x:f>IF(A72="","",IF(E72&lt;&gt;"sim","Revisar escala",IF(OR(K72&gt;0,L72&gt;0),"Conflito de escala",IF(COUNTIFS('Solicitacoes'!$F$2:$F$501,B72,'Solicitacoes'!$K$2:$K$501,F72,'Solicitacoes'!$I$2:$I$501,"pendente",'Solicitacoes'!$G$2:$G$501,"&lt;"&amp;J72,'Solicitacoes'!$N$2:$N$501,"&gt;"&amp;C72)+COUNTIFS('Solicitacoes'!$F$2:$F$501,B72,'Solicitacoes'!$E$2:$E$501,A72,'Solicitacoes'!$I$2:$I$501,"pendente",'Solicitacoes'!$G$2:$G$501,"&lt;"&amp;J72,'Solicitacoes'!$N$2:$N$501,"&gt;"&amp;C72)+COUNTIFS('Solicitacoes'!$F$2:$F$501,B72,'Solicitacoes'!$K$2:$K$501,F72,'Solicitacoes'!$I$2:$I$501,"confirmado",'Solicitacoes'!$G$2:$G$501,"&lt;"&amp;J72,'Solicitacoes'!$N$2:$N$501,"&gt;"&amp;C72)+COUNTIFS('Solicitacoes'!$F$2:$F$501,B72,'Solicitacoes'!$E$2:$E$501,A72,'Solicitacoes'!$I$2:$I$501,"confirmado",'Solicitacoes'!$G$2:$G$501,"&lt;"&amp;J72,'Solicitacoes'!$N$2:$N$501,"&gt;"&amp;C72)&gt;0,"Ocupado","Disponível"))))</x:f>
        <x:v>Revisar escala</x:v>
      </x:c>
      <x:c r="N72" s="2" t="n">
        <x:f>IF(A72="","",ROW()-1)</x:f>
        <x:v>71</x:v>
      </x:c>
    </x:row>
    <x:row r="73" ht="24" customHeight="1">
      <x:c r="A73" s="13" t="str">
        <x:v>Géssyca Martins</x:v>
      </x:c>
      <x:c r="B73" s="14" t="d">
        <x:v>2026-10-08T00:00:00.000Z</x:v>
      </x:c>
      <x:c r="C73" s="26" t="n">
        <x:v>0.4583333333333333</x:v>
      </x:c>
      <x:c r="D73" s="13" t="str">
        <x:v>presencial</x:v>
      </x:c>
      <x:c r="E73" s="13" t="str">
        <x:v>não</x:v>
      </x:c>
      <x:c r="F73" s="13" t="str">
        <x:v>Sala 2</x:v>
      </x:c>
      <x:c r="G73" s="12" t="n">
        <x:f>IF(A73="","",'Agenda'!$B$5)</x:f>
        <x:v>50</x:v>
      </x:c>
      <x:c r="H73" s="12" t="n">
        <x:f>IF(A73="","",'Agenda'!$B$6)</x:f>
        <x:v>10</x:v>
      </x:c>
      <x:c r="I73" s="24" t="n">
        <x:f>IF(A73="","",C73+G73/1440)</x:f>
        <x:v>0.4930555555555555</x:v>
      </x:c>
      <x:c r="J73" s="24" t="n">
        <x:f>IF(A73="","",C73+(G73+H73)/1440)</x:f>
        <x:v>0.5</x:v>
      </x:c>
      <x:c r="K73" s="27" t="n">
        <x:f>IF(A73="","",IF(E73&lt;&gt;"sim",0,COUNTIFS($B$2:$B$501,B73,$F$2:$F$501,F73,$E$2:$E$501,"sim",$C$2:$C$501,"&lt;"&amp;J73,$J$2:$J$501,"&gt;"&amp;C73)-1))</x:f>
        <x:v>0</x:v>
      </x:c>
      <x:c r="L73" s="27" t="n">
        <x:f>IF(A73="","",IF(E73&lt;&gt;"sim",0,COUNTIFS($B$2:$B$501,B73,$A$2:$A$501,A73,$E$2:$E$501,"sim",$C$2:$C$501,"&lt;"&amp;J73,$J$2:$J$501,"&gt;"&amp;C73)-1))</x:f>
        <x:v>0</x:v>
      </x:c>
      <x:c r="M73" s="2" t="str">
        <x:f>IF(A73="","",IF(E73&lt;&gt;"sim","Revisar escala",IF(OR(K73&gt;0,L73&gt;0),"Conflito de escala",IF(COUNTIFS('Solicitacoes'!$F$2:$F$501,B73,'Solicitacoes'!$K$2:$K$501,F73,'Solicitacoes'!$I$2:$I$501,"pendente",'Solicitacoes'!$G$2:$G$501,"&lt;"&amp;J73,'Solicitacoes'!$N$2:$N$501,"&gt;"&amp;C73)+COUNTIFS('Solicitacoes'!$F$2:$F$501,B73,'Solicitacoes'!$E$2:$E$501,A73,'Solicitacoes'!$I$2:$I$501,"pendente",'Solicitacoes'!$G$2:$G$501,"&lt;"&amp;J73,'Solicitacoes'!$N$2:$N$501,"&gt;"&amp;C73)+COUNTIFS('Solicitacoes'!$F$2:$F$501,B73,'Solicitacoes'!$K$2:$K$501,F73,'Solicitacoes'!$I$2:$I$501,"confirmado",'Solicitacoes'!$G$2:$G$501,"&lt;"&amp;J73,'Solicitacoes'!$N$2:$N$501,"&gt;"&amp;C73)+COUNTIFS('Solicitacoes'!$F$2:$F$501,B73,'Solicitacoes'!$E$2:$E$501,A73,'Solicitacoes'!$I$2:$I$501,"confirmado",'Solicitacoes'!$G$2:$G$501,"&lt;"&amp;J73,'Solicitacoes'!$N$2:$N$501,"&gt;"&amp;C73)&gt;0,"Ocupado","Disponível"))))</x:f>
        <x:v>Revisar escala</x:v>
      </x:c>
      <x:c r="N73" s="2" t="n">
        <x:f>IF(A73="","",ROW()-1)</x:f>
        <x:v>72</x:v>
      </x:c>
    </x:row>
    <x:row r="74" ht="24" customHeight="1">
      <x:c r="A74" s="13" t="str">
        <x:v>Aline Reis</x:v>
      </x:c>
      <x:c r="B74" s="14" t="d">
        <x:v>2026-10-08T00:00:00.000Z</x:v>
      </x:c>
      <x:c r="C74" s="26" t="n">
        <x:v>0.5</x:v>
      </x:c>
      <x:c r="D74" s="13" t="str">
        <x:v>presencial</x:v>
      </x:c>
      <x:c r="E74" s="13" t="str">
        <x:v>não</x:v>
      </x:c>
      <x:c r="F74" s="13" t="str">
        <x:v>Sala 1</x:v>
      </x:c>
      <x:c r="G74" s="12" t="n">
        <x:f>IF(A74="","",'Agenda'!$B$5)</x:f>
        <x:v>50</x:v>
      </x:c>
      <x:c r="H74" s="12" t="n">
        <x:f>IF(A74="","",'Agenda'!$B$6)</x:f>
        <x:v>10</x:v>
      </x:c>
      <x:c r="I74" s="24" t="n">
        <x:f>IF(A74="","",C74+G74/1440)</x:f>
        <x:v>0.5347222222222222</x:v>
      </x:c>
      <x:c r="J74" s="24" t="n">
        <x:f>IF(A74="","",C74+(G74+H74)/1440)</x:f>
        <x:v>0.5416666666666666</x:v>
      </x:c>
      <x:c r="K74" s="27" t="n">
        <x:f>IF(A74="","",IF(E74&lt;&gt;"sim",0,COUNTIFS($B$2:$B$501,B74,$F$2:$F$501,F74,$E$2:$E$501,"sim",$C$2:$C$501,"&lt;"&amp;J74,$J$2:$J$501,"&gt;"&amp;C74)-1))</x:f>
        <x:v>0</x:v>
      </x:c>
      <x:c r="L74" s="27" t="n">
        <x:f>IF(A74="","",IF(E74&lt;&gt;"sim",0,COUNTIFS($B$2:$B$501,B74,$A$2:$A$501,A74,$E$2:$E$501,"sim",$C$2:$C$501,"&lt;"&amp;J74,$J$2:$J$501,"&gt;"&amp;C74)-1))</x:f>
        <x:v>0</x:v>
      </x:c>
      <x:c r="M74" s="2" t="str">
        <x:f>IF(A74="","",IF(E74&lt;&gt;"sim","Revisar escala",IF(OR(K74&gt;0,L74&gt;0),"Conflito de escala",IF(COUNTIFS('Solicitacoes'!$F$2:$F$501,B74,'Solicitacoes'!$K$2:$K$501,F74,'Solicitacoes'!$I$2:$I$501,"pendente",'Solicitacoes'!$G$2:$G$501,"&lt;"&amp;J74,'Solicitacoes'!$N$2:$N$501,"&gt;"&amp;C74)+COUNTIFS('Solicitacoes'!$F$2:$F$501,B74,'Solicitacoes'!$E$2:$E$501,A74,'Solicitacoes'!$I$2:$I$501,"pendente",'Solicitacoes'!$G$2:$G$501,"&lt;"&amp;J74,'Solicitacoes'!$N$2:$N$501,"&gt;"&amp;C74)+COUNTIFS('Solicitacoes'!$F$2:$F$501,B74,'Solicitacoes'!$K$2:$K$501,F74,'Solicitacoes'!$I$2:$I$501,"confirmado",'Solicitacoes'!$G$2:$G$501,"&lt;"&amp;J74,'Solicitacoes'!$N$2:$N$501,"&gt;"&amp;C74)+COUNTIFS('Solicitacoes'!$F$2:$F$501,B74,'Solicitacoes'!$E$2:$E$501,A74,'Solicitacoes'!$I$2:$I$501,"confirmado",'Solicitacoes'!$G$2:$G$501,"&lt;"&amp;J74,'Solicitacoes'!$N$2:$N$501,"&gt;"&amp;C74)&gt;0,"Ocupado","Disponível"))))</x:f>
        <x:v>Revisar escala</x:v>
      </x:c>
      <x:c r="N74" s="2" t="n">
        <x:f>IF(A74="","",ROW()-1)</x:f>
        <x:v>73</x:v>
      </x:c>
    </x:row>
    <x:row r="75" ht="24" customHeight="1">
      <x:c r="A75" s="13" t="str">
        <x:v>Géssyca Martins</x:v>
      </x:c>
      <x:c r="B75" s="14" t="d">
        <x:v>2026-10-08T00:00:00.000Z</x:v>
      </x:c>
      <x:c r="C75" s="26" t="n">
        <x:v>0.5</x:v>
      </x:c>
      <x:c r="D75" s="13" t="str">
        <x:v>presencial</x:v>
      </x:c>
      <x:c r="E75" s="13" t="str">
        <x:v>não</x:v>
      </x:c>
      <x:c r="F75" s="13" t="str">
        <x:v>Sala 2</x:v>
      </x:c>
      <x:c r="G75" s="12" t="n">
        <x:f>IF(A75="","",'Agenda'!$B$5)</x:f>
        <x:v>50</x:v>
      </x:c>
      <x:c r="H75" s="12" t="n">
        <x:f>IF(A75="","",'Agenda'!$B$6)</x:f>
        <x:v>10</x:v>
      </x:c>
      <x:c r="I75" s="24" t="n">
        <x:f>IF(A75="","",C75+G75/1440)</x:f>
        <x:v>0.5347222222222222</x:v>
      </x:c>
      <x:c r="J75" s="24" t="n">
        <x:f>IF(A75="","",C75+(G75+H75)/1440)</x:f>
        <x:v>0.5416666666666666</x:v>
      </x:c>
      <x:c r="K75" s="27" t="n">
        <x:f>IF(A75="","",IF(E75&lt;&gt;"sim",0,COUNTIFS($B$2:$B$501,B75,$F$2:$F$501,F75,$E$2:$E$501,"sim",$C$2:$C$501,"&lt;"&amp;J75,$J$2:$J$501,"&gt;"&amp;C75)-1))</x:f>
        <x:v>0</x:v>
      </x:c>
      <x:c r="L75" s="27" t="n">
        <x:f>IF(A75="","",IF(E75&lt;&gt;"sim",0,COUNTIFS($B$2:$B$501,B75,$A$2:$A$501,A75,$E$2:$E$501,"sim",$C$2:$C$501,"&lt;"&amp;J75,$J$2:$J$501,"&gt;"&amp;C75)-1))</x:f>
        <x:v>0</x:v>
      </x:c>
      <x:c r="M75" s="2" t="str">
        <x:f>IF(A75="","",IF(E75&lt;&gt;"sim","Revisar escala",IF(OR(K75&gt;0,L75&gt;0),"Conflito de escala",IF(COUNTIFS('Solicitacoes'!$F$2:$F$501,B75,'Solicitacoes'!$K$2:$K$501,F75,'Solicitacoes'!$I$2:$I$501,"pendente",'Solicitacoes'!$G$2:$G$501,"&lt;"&amp;J75,'Solicitacoes'!$N$2:$N$501,"&gt;"&amp;C75)+COUNTIFS('Solicitacoes'!$F$2:$F$501,B75,'Solicitacoes'!$E$2:$E$501,A75,'Solicitacoes'!$I$2:$I$501,"pendente",'Solicitacoes'!$G$2:$G$501,"&lt;"&amp;J75,'Solicitacoes'!$N$2:$N$501,"&gt;"&amp;C75)+COUNTIFS('Solicitacoes'!$F$2:$F$501,B75,'Solicitacoes'!$K$2:$K$501,F75,'Solicitacoes'!$I$2:$I$501,"confirmado",'Solicitacoes'!$G$2:$G$501,"&lt;"&amp;J75,'Solicitacoes'!$N$2:$N$501,"&gt;"&amp;C75)+COUNTIFS('Solicitacoes'!$F$2:$F$501,B75,'Solicitacoes'!$E$2:$E$501,A75,'Solicitacoes'!$I$2:$I$501,"confirmado",'Solicitacoes'!$G$2:$G$501,"&lt;"&amp;J75,'Solicitacoes'!$N$2:$N$501,"&gt;"&amp;C75)&gt;0,"Ocupado","Disponível"))))</x:f>
        <x:v>Revisar escala</x:v>
      </x:c>
      <x:c r="N75" s="2" t="n">
        <x:f>IF(A75="","",ROW()-1)</x:f>
        <x:v>74</x:v>
      </x:c>
    </x:row>
    <x:row r="76" ht="24" customHeight="1">
      <x:c r="A76" s="13" t="str">
        <x:v>Aline Reis</x:v>
      </x:c>
      <x:c r="B76" s="14" t="d">
        <x:v>2026-10-08T00:00:00.000Z</x:v>
      </x:c>
      <x:c r="C76" s="26" t="n">
        <x:v>0.5416666666666666</x:v>
      </x:c>
      <x:c r="D76" s="13" t="str">
        <x:v>presencial</x:v>
      </x:c>
      <x:c r="E76" s="13" t="str">
        <x:v>não</x:v>
      </x:c>
      <x:c r="F76" s="13" t="str">
        <x:v>Sala 1</x:v>
      </x:c>
      <x:c r="G76" s="12" t="n">
        <x:f>IF(A76="","",'Agenda'!$B$5)</x:f>
        <x:v>50</x:v>
      </x:c>
      <x:c r="H76" s="12" t="n">
        <x:f>IF(A76="","",'Agenda'!$B$6)</x:f>
        <x:v>10</x:v>
      </x:c>
      <x:c r="I76" s="24" t="n">
        <x:f>IF(A76="","",C76+G76/1440)</x:f>
        <x:v>0.5763888888888888</x:v>
      </x:c>
      <x:c r="J76" s="24" t="n">
        <x:f>IF(A76="","",C76+(G76+H76)/1440)</x:f>
        <x:v>0.5833333333333333</x:v>
      </x:c>
      <x:c r="K76" s="27" t="n">
        <x:f>IF(A76="","",IF(E76&lt;&gt;"sim",0,COUNTIFS($B$2:$B$501,B76,$F$2:$F$501,F76,$E$2:$E$501,"sim",$C$2:$C$501,"&lt;"&amp;J76,$J$2:$J$501,"&gt;"&amp;C76)-1))</x:f>
        <x:v>0</x:v>
      </x:c>
      <x:c r="L76" s="27" t="n">
        <x:f>IF(A76="","",IF(E76&lt;&gt;"sim",0,COUNTIFS($B$2:$B$501,B76,$A$2:$A$501,A76,$E$2:$E$501,"sim",$C$2:$C$501,"&lt;"&amp;J76,$J$2:$J$501,"&gt;"&amp;C76)-1))</x:f>
        <x:v>0</x:v>
      </x:c>
      <x:c r="M76" s="2" t="str">
        <x:f>IF(A76="","",IF(E76&lt;&gt;"sim","Revisar escala",IF(OR(K76&gt;0,L76&gt;0),"Conflito de escala",IF(COUNTIFS('Solicitacoes'!$F$2:$F$501,B76,'Solicitacoes'!$K$2:$K$501,F76,'Solicitacoes'!$I$2:$I$501,"pendente",'Solicitacoes'!$G$2:$G$501,"&lt;"&amp;J76,'Solicitacoes'!$N$2:$N$501,"&gt;"&amp;C76)+COUNTIFS('Solicitacoes'!$F$2:$F$501,B76,'Solicitacoes'!$E$2:$E$501,A76,'Solicitacoes'!$I$2:$I$501,"pendente",'Solicitacoes'!$G$2:$G$501,"&lt;"&amp;J76,'Solicitacoes'!$N$2:$N$501,"&gt;"&amp;C76)+COUNTIFS('Solicitacoes'!$F$2:$F$501,B76,'Solicitacoes'!$K$2:$K$501,F76,'Solicitacoes'!$I$2:$I$501,"confirmado",'Solicitacoes'!$G$2:$G$501,"&lt;"&amp;J76,'Solicitacoes'!$N$2:$N$501,"&gt;"&amp;C76)+COUNTIFS('Solicitacoes'!$F$2:$F$501,B76,'Solicitacoes'!$E$2:$E$501,A76,'Solicitacoes'!$I$2:$I$501,"confirmado",'Solicitacoes'!$G$2:$G$501,"&lt;"&amp;J76,'Solicitacoes'!$N$2:$N$501,"&gt;"&amp;C76)&gt;0,"Ocupado","Disponível"))))</x:f>
        <x:v>Revisar escala</x:v>
      </x:c>
      <x:c r="N76" s="2" t="n">
        <x:f>IF(A76="","",ROW()-1)</x:f>
        <x:v>75</x:v>
      </x:c>
    </x:row>
    <x:row r="77" ht="24" customHeight="1">
      <x:c r="A77" s="13" t="str">
        <x:v>Géssyca Martins</x:v>
      </x:c>
      <x:c r="B77" s="14" t="d">
        <x:v>2026-10-08T00:00:00.000Z</x:v>
      </x:c>
      <x:c r="C77" s="26" t="n">
        <x:v>0.5416666666666666</x:v>
      </x:c>
      <x:c r="D77" s="13" t="str">
        <x:v>presencial</x:v>
      </x:c>
      <x:c r="E77" s="13" t="str">
        <x:v>não</x:v>
      </x:c>
      <x:c r="F77" s="13" t="str">
        <x:v>Sala 2</x:v>
      </x:c>
      <x:c r="G77" s="12" t="n">
        <x:f>IF(A77="","",'Agenda'!$B$5)</x:f>
        <x:v>50</x:v>
      </x:c>
      <x:c r="H77" s="12" t="n">
        <x:f>IF(A77="","",'Agenda'!$B$6)</x:f>
        <x:v>10</x:v>
      </x:c>
      <x:c r="I77" s="24" t="n">
        <x:f>IF(A77="","",C77+G77/1440)</x:f>
        <x:v>0.5763888888888888</x:v>
      </x:c>
      <x:c r="J77" s="24" t="n">
        <x:f>IF(A77="","",C77+(G77+H77)/1440)</x:f>
        <x:v>0.5833333333333333</x:v>
      </x:c>
      <x:c r="K77" s="27" t="n">
        <x:f>IF(A77="","",IF(E77&lt;&gt;"sim",0,COUNTIFS($B$2:$B$501,B77,$F$2:$F$501,F77,$E$2:$E$501,"sim",$C$2:$C$501,"&lt;"&amp;J77,$J$2:$J$501,"&gt;"&amp;C77)-1))</x:f>
        <x:v>0</x:v>
      </x:c>
      <x:c r="L77" s="27" t="n">
        <x:f>IF(A77="","",IF(E77&lt;&gt;"sim",0,COUNTIFS($B$2:$B$501,B77,$A$2:$A$501,A77,$E$2:$E$501,"sim",$C$2:$C$501,"&lt;"&amp;J77,$J$2:$J$501,"&gt;"&amp;C77)-1))</x:f>
        <x:v>0</x:v>
      </x:c>
      <x:c r="M77" s="2" t="str">
        <x:f>IF(A77="","",IF(E77&lt;&gt;"sim","Revisar escala",IF(OR(K77&gt;0,L77&gt;0),"Conflito de escala",IF(COUNTIFS('Solicitacoes'!$F$2:$F$501,B77,'Solicitacoes'!$K$2:$K$501,F77,'Solicitacoes'!$I$2:$I$501,"pendente",'Solicitacoes'!$G$2:$G$501,"&lt;"&amp;J77,'Solicitacoes'!$N$2:$N$501,"&gt;"&amp;C77)+COUNTIFS('Solicitacoes'!$F$2:$F$501,B77,'Solicitacoes'!$E$2:$E$501,A77,'Solicitacoes'!$I$2:$I$501,"pendente",'Solicitacoes'!$G$2:$G$501,"&lt;"&amp;J77,'Solicitacoes'!$N$2:$N$501,"&gt;"&amp;C77)+COUNTIFS('Solicitacoes'!$F$2:$F$501,B77,'Solicitacoes'!$K$2:$K$501,F77,'Solicitacoes'!$I$2:$I$501,"confirmado",'Solicitacoes'!$G$2:$G$501,"&lt;"&amp;J77,'Solicitacoes'!$N$2:$N$501,"&gt;"&amp;C77)+COUNTIFS('Solicitacoes'!$F$2:$F$501,B77,'Solicitacoes'!$E$2:$E$501,A77,'Solicitacoes'!$I$2:$I$501,"confirmado",'Solicitacoes'!$G$2:$G$501,"&lt;"&amp;J77,'Solicitacoes'!$N$2:$N$501,"&gt;"&amp;C77)&gt;0,"Ocupado","Disponível"))))</x:f>
        <x:v>Revisar escala</x:v>
      </x:c>
      <x:c r="N77" s="2" t="n">
        <x:f>IF(A77="","",ROW()-1)</x:f>
        <x:v>76</x:v>
      </x:c>
    </x:row>
    <x:row r="78" ht="24" customHeight="1">
      <x:c r="A78" s="13" t="str">
        <x:v>Laura Casanova</x:v>
      </x:c>
      <x:c r="B78" s="14" t="d">
        <x:v>2026-10-08T00:00:00.000Z</x:v>
      </x:c>
      <x:c r="C78" s="26" t="n">
        <x:v>0.5833333333333334</x:v>
      </x:c>
      <x:c r="D78" s="13" t="str">
        <x:v>presencial</x:v>
      </x:c>
      <x:c r="E78" s="13" t="str">
        <x:v>não</x:v>
      </x:c>
      <x:c r="F78" s="13" t="str">
        <x:v>Sala 1</x:v>
      </x:c>
      <x:c r="G78" s="12" t="n">
        <x:f>IF(A78="","",'Agenda'!$B$5)</x:f>
        <x:v>50</x:v>
      </x:c>
      <x:c r="H78" s="12" t="n">
        <x:f>IF(A78="","",'Agenda'!$B$6)</x:f>
        <x:v>10</x:v>
      </x:c>
      <x:c r="I78" s="24" t="n">
        <x:f>IF(A78="","",C78+G78/1440)</x:f>
        <x:v>0.6180555555555556</x:v>
      </x:c>
      <x:c r="J78" s="24" t="n">
        <x:f>IF(A78="","",C78+(G78+H78)/1440)</x:f>
        <x:v>0.625</x:v>
      </x:c>
      <x:c r="K78" s="27" t="n">
        <x:f>IF(A78="","",IF(E78&lt;&gt;"sim",0,COUNTIFS($B$2:$B$501,B78,$F$2:$F$501,F78,$E$2:$E$501,"sim",$C$2:$C$501,"&lt;"&amp;J78,$J$2:$J$501,"&gt;"&amp;C78)-1))</x:f>
        <x:v>0</x:v>
      </x:c>
      <x:c r="L78" s="27" t="n">
        <x:f>IF(A78="","",IF(E78&lt;&gt;"sim",0,COUNTIFS($B$2:$B$501,B78,$A$2:$A$501,A78,$E$2:$E$501,"sim",$C$2:$C$501,"&lt;"&amp;J78,$J$2:$J$501,"&gt;"&amp;C78)-1))</x:f>
        <x:v>0</x:v>
      </x:c>
      <x:c r="M78" s="2" t="str">
        <x:f>IF(A78="","",IF(E78&lt;&gt;"sim","Revisar escala",IF(OR(K78&gt;0,L78&gt;0),"Conflito de escala",IF(COUNTIFS('Solicitacoes'!$F$2:$F$501,B78,'Solicitacoes'!$K$2:$K$501,F78,'Solicitacoes'!$I$2:$I$501,"pendente",'Solicitacoes'!$G$2:$G$501,"&lt;"&amp;J78,'Solicitacoes'!$N$2:$N$501,"&gt;"&amp;C78)+COUNTIFS('Solicitacoes'!$F$2:$F$501,B78,'Solicitacoes'!$E$2:$E$501,A78,'Solicitacoes'!$I$2:$I$501,"pendente",'Solicitacoes'!$G$2:$G$501,"&lt;"&amp;J78,'Solicitacoes'!$N$2:$N$501,"&gt;"&amp;C78)+COUNTIFS('Solicitacoes'!$F$2:$F$501,B78,'Solicitacoes'!$K$2:$K$501,F78,'Solicitacoes'!$I$2:$I$501,"confirmado",'Solicitacoes'!$G$2:$G$501,"&lt;"&amp;J78,'Solicitacoes'!$N$2:$N$501,"&gt;"&amp;C78)+COUNTIFS('Solicitacoes'!$F$2:$F$501,B78,'Solicitacoes'!$E$2:$E$501,A78,'Solicitacoes'!$I$2:$I$501,"confirmado",'Solicitacoes'!$G$2:$G$501,"&lt;"&amp;J78,'Solicitacoes'!$N$2:$N$501,"&gt;"&amp;C78)&gt;0,"Ocupado","Disponível"))))</x:f>
        <x:v>Revisar escala</x:v>
      </x:c>
      <x:c r="N78" s="2" t="n">
        <x:f>IF(A78="","",ROW()-1)</x:f>
        <x:v>77</x:v>
      </x:c>
    </x:row>
    <x:row r="79" ht="24" customHeight="1">
      <x:c r="A79" s="13" t="str">
        <x:v>Aline Reis</x:v>
      </x:c>
      <x:c r="B79" s="14" t="d">
        <x:v>2026-10-08T00:00:00.000Z</x:v>
      </x:c>
      <x:c r="C79" s="26" t="n">
        <x:v>0.5833333333333334</x:v>
      </x:c>
      <x:c r="D79" s="13" t="str">
        <x:v>presencial</x:v>
      </x:c>
      <x:c r="E79" s="13" t="str">
        <x:v>não</x:v>
      </x:c>
      <x:c r="F79" s="13" t="str">
        <x:v>Sala 2</x:v>
      </x:c>
      <x:c r="G79" s="12" t="n">
        <x:f>IF(A79="","",'Agenda'!$B$5)</x:f>
        <x:v>50</x:v>
      </x:c>
      <x:c r="H79" s="12" t="n">
        <x:f>IF(A79="","",'Agenda'!$B$6)</x:f>
        <x:v>10</x:v>
      </x:c>
      <x:c r="I79" s="24" t="n">
        <x:f>IF(A79="","",C79+G79/1440)</x:f>
        <x:v>0.6180555555555556</x:v>
      </x:c>
      <x:c r="J79" s="24" t="n">
        <x:f>IF(A79="","",C79+(G79+H79)/1440)</x:f>
        <x:v>0.625</x:v>
      </x:c>
      <x:c r="K79" s="27" t="n">
        <x:f>IF(A79="","",IF(E79&lt;&gt;"sim",0,COUNTIFS($B$2:$B$501,B79,$F$2:$F$501,F79,$E$2:$E$501,"sim",$C$2:$C$501,"&lt;"&amp;J79,$J$2:$J$501,"&gt;"&amp;C79)-1))</x:f>
        <x:v>0</x:v>
      </x:c>
      <x:c r="L79" s="27" t="n">
        <x:f>IF(A79="","",IF(E79&lt;&gt;"sim",0,COUNTIFS($B$2:$B$501,B79,$A$2:$A$501,A79,$E$2:$E$501,"sim",$C$2:$C$501,"&lt;"&amp;J79,$J$2:$J$501,"&gt;"&amp;C79)-1))</x:f>
        <x:v>0</x:v>
      </x:c>
      <x:c r="M79" s="2" t="str">
        <x:f>IF(A79="","",IF(E79&lt;&gt;"sim","Revisar escala",IF(OR(K79&gt;0,L79&gt;0),"Conflito de escala",IF(COUNTIFS('Solicitacoes'!$F$2:$F$501,B79,'Solicitacoes'!$K$2:$K$501,F79,'Solicitacoes'!$I$2:$I$501,"pendente",'Solicitacoes'!$G$2:$G$501,"&lt;"&amp;J79,'Solicitacoes'!$N$2:$N$501,"&gt;"&amp;C79)+COUNTIFS('Solicitacoes'!$F$2:$F$501,B79,'Solicitacoes'!$E$2:$E$501,A79,'Solicitacoes'!$I$2:$I$501,"pendente",'Solicitacoes'!$G$2:$G$501,"&lt;"&amp;J79,'Solicitacoes'!$N$2:$N$501,"&gt;"&amp;C79)+COUNTIFS('Solicitacoes'!$F$2:$F$501,B79,'Solicitacoes'!$K$2:$K$501,F79,'Solicitacoes'!$I$2:$I$501,"confirmado",'Solicitacoes'!$G$2:$G$501,"&lt;"&amp;J79,'Solicitacoes'!$N$2:$N$501,"&gt;"&amp;C79)+COUNTIFS('Solicitacoes'!$F$2:$F$501,B79,'Solicitacoes'!$E$2:$E$501,A79,'Solicitacoes'!$I$2:$I$501,"confirmado",'Solicitacoes'!$G$2:$G$501,"&lt;"&amp;J79,'Solicitacoes'!$N$2:$N$501,"&gt;"&amp;C79)&gt;0,"Ocupado","Disponível"))))</x:f>
        <x:v>Revisar escala</x:v>
      </x:c>
      <x:c r="N79" s="2" t="n">
        <x:f>IF(A79="","",ROW()-1)</x:f>
        <x:v>78</x:v>
      </x:c>
    </x:row>
    <x:row r="80" ht="24" customHeight="1">
      <x:c r="A80" s="13" t="str">
        <x:v>Laura Casanova</x:v>
      </x:c>
      <x:c r="B80" s="14" t="d">
        <x:v>2026-10-08T00:00:00.000Z</x:v>
      </x:c>
      <x:c r="C80" s="26" t="n">
        <x:v>0.625</x:v>
      </x:c>
      <x:c r="D80" s="13" t="str">
        <x:v>presencial</x:v>
      </x:c>
      <x:c r="E80" s="13" t="str">
        <x:v>não</x:v>
      </x:c>
      <x:c r="F80" s="13" t="str">
        <x:v>Sala 1</x:v>
      </x:c>
      <x:c r="G80" s="12" t="n">
        <x:f>IF(A80="","",'Agenda'!$B$5)</x:f>
        <x:v>50</x:v>
      </x:c>
      <x:c r="H80" s="12" t="n">
        <x:f>IF(A80="","",'Agenda'!$B$6)</x:f>
        <x:v>10</x:v>
      </x:c>
      <x:c r="I80" s="24" t="n">
        <x:f>IF(A80="","",C80+G80/1440)</x:f>
        <x:v>0.6597222222222222</x:v>
      </x:c>
      <x:c r="J80" s="24" t="n">
        <x:f>IF(A80="","",C80+(G80+H80)/1440)</x:f>
        <x:v>0.6666666666666666</x:v>
      </x:c>
      <x:c r="K80" s="27" t="n">
        <x:f>IF(A80="","",IF(E80&lt;&gt;"sim",0,COUNTIFS($B$2:$B$501,B80,$F$2:$F$501,F80,$E$2:$E$501,"sim",$C$2:$C$501,"&lt;"&amp;J80,$J$2:$J$501,"&gt;"&amp;C80)-1))</x:f>
        <x:v>0</x:v>
      </x:c>
      <x:c r="L80" s="27" t="n">
        <x:f>IF(A80="","",IF(E80&lt;&gt;"sim",0,COUNTIFS($B$2:$B$501,B80,$A$2:$A$501,A80,$E$2:$E$501,"sim",$C$2:$C$501,"&lt;"&amp;J80,$J$2:$J$501,"&gt;"&amp;C80)-1))</x:f>
        <x:v>0</x:v>
      </x:c>
      <x:c r="M80" s="2" t="str">
        <x:f>IF(A80="","",IF(E80&lt;&gt;"sim","Revisar escala",IF(OR(K80&gt;0,L80&gt;0),"Conflito de escala",IF(COUNTIFS('Solicitacoes'!$F$2:$F$501,B80,'Solicitacoes'!$K$2:$K$501,F80,'Solicitacoes'!$I$2:$I$501,"pendente",'Solicitacoes'!$G$2:$G$501,"&lt;"&amp;J80,'Solicitacoes'!$N$2:$N$501,"&gt;"&amp;C80)+COUNTIFS('Solicitacoes'!$F$2:$F$501,B80,'Solicitacoes'!$E$2:$E$501,A80,'Solicitacoes'!$I$2:$I$501,"pendente",'Solicitacoes'!$G$2:$G$501,"&lt;"&amp;J80,'Solicitacoes'!$N$2:$N$501,"&gt;"&amp;C80)+COUNTIFS('Solicitacoes'!$F$2:$F$501,B80,'Solicitacoes'!$K$2:$K$501,F80,'Solicitacoes'!$I$2:$I$501,"confirmado",'Solicitacoes'!$G$2:$G$501,"&lt;"&amp;J80,'Solicitacoes'!$N$2:$N$501,"&gt;"&amp;C80)+COUNTIFS('Solicitacoes'!$F$2:$F$501,B80,'Solicitacoes'!$E$2:$E$501,A80,'Solicitacoes'!$I$2:$I$501,"confirmado",'Solicitacoes'!$G$2:$G$501,"&lt;"&amp;J80,'Solicitacoes'!$N$2:$N$501,"&gt;"&amp;C80)&gt;0,"Ocupado","Disponível"))))</x:f>
        <x:v>Revisar escala</x:v>
      </x:c>
      <x:c r="N80" s="2" t="n">
        <x:f>IF(A80="","",ROW()-1)</x:f>
        <x:v>79</x:v>
      </x:c>
    </x:row>
    <x:row r="81" ht="24" customHeight="1">
      <x:c r="A81" s="13" t="str">
        <x:v>Aline Reis</x:v>
      </x:c>
      <x:c r="B81" s="14" t="d">
        <x:v>2026-10-08T00:00:00.000Z</x:v>
      </x:c>
      <x:c r="C81" s="26" t="n">
        <x:v>0.625</x:v>
      </x:c>
      <x:c r="D81" s="13" t="str">
        <x:v>presencial</x:v>
      </x:c>
      <x:c r="E81" s="13" t="str">
        <x:v>não</x:v>
      </x:c>
      <x:c r="F81" s="13" t="str">
        <x:v>Sala 2</x:v>
      </x:c>
      <x:c r="G81" s="12" t="n">
        <x:f>IF(A81="","",'Agenda'!$B$5)</x:f>
        <x:v>50</x:v>
      </x:c>
      <x:c r="H81" s="12" t="n">
        <x:f>IF(A81="","",'Agenda'!$B$6)</x:f>
        <x:v>10</x:v>
      </x:c>
      <x:c r="I81" s="24" t="n">
        <x:f>IF(A81="","",C81+G81/1440)</x:f>
        <x:v>0.6597222222222222</x:v>
      </x:c>
      <x:c r="J81" s="24" t="n">
        <x:f>IF(A81="","",C81+(G81+H81)/1440)</x:f>
        <x:v>0.6666666666666666</x:v>
      </x:c>
      <x:c r="K81" s="27" t="n">
        <x:f>IF(A81="","",IF(E81&lt;&gt;"sim",0,COUNTIFS($B$2:$B$501,B81,$F$2:$F$501,F81,$E$2:$E$501,"sim",$C$2:$C$501,"&lt;"&amp;J81,$J$2:$J$501,"&gt;"&amp;C81)-1))</x:f>
        <x:v>0</x:v>
      </x:c>
      <x:c r="L81" s="27" t="n">
        <x:f>IF(A81="","",IF(E81&lt;&gt;"sim",0,COUNTIFS($B$2:$B$501,B81,$A$2:$A$501,A81,$E$2:$E$501,"sim",$C$2:$C$501,"&lt;"&amp;J81,$J$2:$J$501,"&gt;"&amp;C81)-1))</x:f>
        <x:v>0</x:v>
      </x:c>
      <x:c r="M81" s="2" t="str">
        <x:f>IF(A81="","",IF(E81&lt;&gt;"sim","Revisar escala",IF(OR(K81&gt;0,L81&gt;0),"Conflito de escala",IF(COUNTIFS('Solicitacoes'!$F$2:$F$501,B81,'Solicitacoes'!$K$2:$K$501,F81,'Solicitacoes'!$I$2:$I$501,"pendente",'Solicitacoes'!$G$2:$G$501,"&lt;"&amp;J81,'Solicitacoes'!$N$2:$N$501,"&gt;"&amp;C81)+COUNTIFS('Solicitacoes'!$F$2:$F$501,B81,'Solicitacoes'!$E$2:$E$501,A81,'Solicitacoes'!$I$2:$I$501,"pendente",'Solicitacoes'!$G$2:$G$501,"&lt;"&amp;J81,'Solicitacoes'!$N$2:$N$501,"&gt;"&amp;C81)+COUNTIFS('Solicitacoes'!$F$2:$F$501,B81,'Solicitacoes'!$K$2:$K$501,F81,'Solicitacoes'!$I$2:$I$501,"confirmado",'Solicitacoes'!$G$2:$G$501,"&lt;"&amp;J81,'Solicitacoes'!$N$2:$N$501,"&gt;"&amp;C81)+COUNTIFS('Solicitacoes'!$F$2:$F$501,B81,'Solicitacoes'!$E$2:$E$501,A81,'Solicitacoes'!$I$2:$I$501,"confirmado",'Solicitacoes'!$G$2:$G$501,"&lt;"&amp;J81,'Solicitacoes'!$N$2:$N$501,"&gt;"&amp;C81)&gt;0,"Ocupado","Disponível"))))</x:f>
        <x:v>Revisar escala</x:v>
      </x:c>
      <x:c r="N81" s="2" t="n">
        <x:f>IF(A81="","",ROW()-1)</x:f>
        <x:v>80</x:v>
      </x:c>
    </x:row>
    <x:row r="82" ht="24" customHeight="1">
      <x:c r="A82" s="13" t="str">
        <x:v>Laura Casanova</x:v>
      </x:c>
      <x:c r="B82" s="14" t="d">
        <x:v>2026-10-08T00:00:00.000Z</x:v>
      </x:c>
      <x:c r="C82" s="26" t="n">
        <x:v>0.6666666666666666</x:v>
      </x:c>
      <x:c r="D82" s="13" t="str">
        <x:v>presencial</x:v>
      </x:c>
      <x:c r="E82" s="13" t="str">
        <x:v>não</x:v>
      </x:c>
      <x:c r="F82" s="13" t="str">
        <x:v>Sala 1</x:v>
      </x:c>
      <x:c r="G82" s="12" t="n">
        <x:f>IF(A82="","",'Agenda'!$B$5)</x:f>
        <x:v>50</x:v>
      </x:c>
      <x:c r="H82" s="12" t="n">
        <x:f>IF(A82="","",'Agenda'!$B$6)</x:f>
        <x:v>10</x:v>
      </x:c>
      <x:c r="I82" s="24" t="n">
        <x:f>IF(A82="","",C82+G82/1440)</x:f>
        <x:v>0.7013888888888888</x:v>
      </x:c>
      <x:c r="J82" s="24" t="n">
        <x:f>IF(A82="","",C82+(G82+H82)/1440)</x:f>
        <x:v>0.7083333333333333</x:v>
      </x:c>
      <x:c r="K82" s="27" t="n">
        <x:f>IF(A82="","",IF(E82&lt;&gt;"sim",0,COUNTIFS($B$2:$B$501,B82,$F$2:$F$501,F82,$E$2:$E$501,"sim",$C$2:$C$501,"&lt;"&amp;J82,$J$2:$J$501,"&gt;"&amp;C82)-1))</x:f>
        <x:v>0</x:v>
      </x:c>
      <x:c r="L82" s="27" t="n">
        <x:f>IF(A82="","",IF(E82&lt;&gt;"sim",0,COUNTIFS($B$2:$B$501,B82,$A$2:$A$501,A82,$E$2:$E$501,"sim",$C$2:$C$501,"&lt;"&amp;J82,$J$2:$J$501,"&gt;"&amp;C82)-1))</x:f>
        <x:v>0</x:v>
      </x:c>
      <x:c r="M82" s="2" t="str">
        <x:f>IF(A82="","",IF(E82&lt;&gt;"sim","Revisar escala",IF(OR(K82&gt;0,L82&gt;0),"Conflito de escala",IF(COUNTIFS('Solicitacoes'!$F$2:$F$501,B82,'Solicitacoes'!$K$2:$K$501,F82,'Solicitacoes'!$I$2:$I$501,"pendente",'Solicitacoes'!$G$2:$G$501,"&lt;"&amp;J82,'Solicitacoes'!$N$2:$N$501,"&gt;"&amp;C82)+COUNTIFS('Solicitacoes'!$F$2:$F$501,B82,'Solicitacoes'!$E$2:$E$501,A82,'Solicitacoes'!$I$2:$I$501,"pendente",'Solicitacoes'!$G$2:$G$501,"&lt;"&amp;J82,'Solicitacoes'!$N$2:$N$501,"&gt;"&amp;C82)+COUNTIFS('Solicitacoes'!$F$2:$F$501,B82,'Solicitacoes'!$K$2:$K$501,F82,'Solicitacoes'!$I$2:$I$501,"confirmado",'Solicitacoes'!$G$2:$G$501,"&lt;"&amp;J82,'Solicitacoes'!$N$2:$N$501,"&gt;"&amp;C82)+COUNTIFS('Solicitacoes'!$F$2:$F$501,B82,'Solicitacoes'!$E$2:$E$501,A82,'Solicitacoes'!$I$2:$I$501,"confirmado",'Solicitacoes'!$G$2:$G$501,"&lt;"&amp;J82,'Solicitacoes'!$N$2:$N$501,"&gt;"&amp;C82)&gt;0,"Ocupado","Disponível"))))</x:f>
        <x:v>Revisar escala</x:v>
      </x:c>
      <x:c r="N82" s="2" t="n">
        <x:f>IF(A82="","",ROW()-1)</x:f>
        <x:v>81</x:v>
      </x:c>
    </x:row>
    <x:row r="83" ht="24" customHeight="1">
      <x:c r="A83" s="13" t="str">
        <x:v>Aline Reis</x:v>
      </x:c>
      <x:c r="B83" s="14" t="d">
        <x:v>2026-10-08T00:00:00.000Z</x:v>
      </x:c>
      <x:c r="C83" s="26" t="n">
        <x:v>0.6666666666666666</x:v>
      </x:c>
      <x:c r="D83" s="13" t="str">
        <x:v>presencial</x:v>
      </x:c>
      <x:c r="E83" s="13" t="str">
        <x:v>não</x:v>
      </x:c>
      <x:c r="F83" s="13" t="str">
        <x:v>Sala 2</x:v>
      </x:c>
      <x:c r="G83" s="12" t="n">
        <x:f>IF(A83="","",'Agenda'!$B$5)</x:f>
        <x:v>50</x:v>
      </x:c>
      <x:c r="H83" s="12" t="n">
        <x:f>IF(A83="","",'Agenda'!$B$6)</x:f>
        <x:v>10</x:v>
      </x:c>
      <x:c r="I83" s="24" t="n">
        <x:f>IF(A83="","",C83+G83/1440)</x:f>
        <x:v>0.7013888888888888</x:v>
      </x:c>
      <x:c r="J83" s="24" t="n">
        <x:f>IF(A83="","",C83+(G83+H83)/1440)</x:f>
        <x:v>0.7083333333333333</x:v>
      </x:c>
      <x:c r="K83" s="27" t="n">
        <x:f>IF(A83="","",IF(E83&lt;&gt;"sim",0,COUNTIFS($B$2:$B$501,B83,$F$2:$F$501,F83,$E$2:$E$501,"sim",$C$2:$C$501,"&lt;"&amp;J83,$J$2:$J$501,"&gt;"&amp;C83)-1))</x:f>
        <x:v>0</x:v>
      </x:c>
      <x:c r="L83" s="27" t="n">
        <x:f>IF(A83="","",IF(E83&lt;&gt;"sim",0,COUNTIFS($B$2:$B$501,B83,$A$2:$A$501,A83,$E$2:$E$501,"sim",$C$2:$C$501,"&lt;"&amp;J83,$J$2:$J$501,"&gt;"&amp;C83)-1))</x:f>
        <x:v>0</x:v>
      </x:c>
      <x:c r="M83" s="2" t="str">
        <x:f>IF(A83="","",IF(E83&lt;&gt;"sim","Revisar escala",IF(OR(K83&gt;0,L83&gt;0),"Conflito de escala",IF(COUNTIFS('Solicitacoes'!$F$2:$F$501,B83,'Solicitacoes'!$K$2:$K$501,F83,'Solicitacoes'!$I$2:$I$501,"pendente",'Solicitacoes'!$G$2:$G$501,"&lt;"&amp;J83,'Solicitacoes'!$N$2:$N$501,"&gt;"&amp;C83)+COUNTIFS('Solicitacoes'!$F$2:$F$501,B83,'Solicitacoes'!$E$2:$E$501,A83,'Solicitacoes'!$I$2:$I$501,"pendente",'Solicitacoes'!$G$2:$G$501,"&lt;"&amp;J83,'Solicitacoes'!$N$2:$N$501,"&gt;"&amp;C83)+COUNTIFS('Solicitacoes'!$F$2:$F$501,B83,'Solicitacoes'!$K$2:$K$501,F83,'Solicitacoes'!$I$2:$I$501,"confirmado",'Solicitacoes'!$G$2:$G$501,"&lt;"&amp;J83,'Solicitacoes'!$N$2:$N$501,"&gt;"&amp;C83)+COUNTIFS('Solicitacoes'!$F$2:$F$501,B83,'Solicitacoes'!$E$2:$E$501,A83,'Solicitacoes'!$I$2:$I$501,"confirmado",'Solicitacoes'!$G$2:$G$501,"&lt;"&amp;J83,'Solicitacoes'!$N$2:$N$501,"&gt;"&amp;C83)&gt;0,"Ocupado","Disponível"))))</x:f>
        <x:v>Revisar escala</x:v>
      </x:c>
      <x:c r="N83" s="2" t="n">
        <x:f>IF(A83="","",ROW()-1)</x:f>
        <x:v>82</x:v>
      </x:c>
    </x:row>
    <x:row r="84" ht="24" customHeight="1">
      <x:c r="A84" s="13" t="str">
        <x:v>Laura Casanova</x:v>
      </x:c>
      <x:c r="B84" s="14" t="d">
        <x:v>2026-10-08T00:00:00.000Z</x:v>
      </x:c>
      <x:c r="C84" s="26" t="n">
        <x:v>0.7083333333333334</x:v>
      </x:c>
      <x:c r="D84" s="13" t="str">
        <x:v>presencial</x:v>
      </x:c>
      <x:c r="E84" s="13" t="str">
        <x:v>não</x:v>
      </x:c>
      <x:c r="F84" s="13" t="str">
        <x:v>Sala 1</x:v>
      </x:c>
      <x:c r="G84" s="12" t="n">
        <x:f>IF(A84="","",'Agenda'!$B$5)</x:f>
        <x:v>50</x:v>
      </x:c>
      <x:c r="H84" s="12" t="n">
        <x:f>IF(A84="","",'Agenda'!$B$6)</x:f>
        <x:v>10</x:v>
      </x:c>
      <x:c r="I84" s="24" t="n">
        <x:f>IF(A84="","",C84+G84/1440)</x:f>
        <x:v>0.7430555555555556</x:v>
      </x:c>
      <x:c r="J84" s="24" t="n">
        <x:f>IF(A84="","",C84+(G84+H84)/1440)</x:f>
        <x:v>0.75</x:v>
      </x:c>
      <x:c r="K84" s="27" t="n">
        <x:f>IF(A84="","",IF(E84&lt;&gt;"sim",0,COUNTIFS($B$2:$B$501,B84,$F$2:$F$501,F84,$E$2:$E$501,"sim",$C$2:$C$501,"&lt;"&amp;J84,$J$2:$J$501,"&gt;"&amp;C84)-1))</x:f>
        <x:v>0</x:v>
      </x:c>
      <x:c r="L84" s="27" t="n">
        <x:f>IF(A84="","",IF(E84&lt;&gt;"sim",0,COUNTIFS($B$2:$B$501,B84,$A$2:$A$501,A84,$E$2:$E$501,"sim",$C$2:$C$501,"&lt;"&amp;J84,$J$2:$J$501,"&gt;"&amp;C84)-1))</x:f>
        <x:v>0</x:v>
      </x:c>
      <x:c r="M84" s="2" t="str">
        <x:f>IF(A84="","",IF(E84&lt;&gt;"sim","Revisar escala",IF(OR(K84&gt;0,L84&gt;0),"Conflito de escala",IF(COUNTIFS('Solicitacoes'!$F$2:$F$501,B84,'Solicitacoes'!$K$2:$K$501,F84,'Solicitacoes'!$I$2:$I$501,"pendente",'Solicitacoes'!$G$2:$G$501,"&lt;"&amp;J84,'Solicitacoes'!$N$2:$N$501,"&gt;"&amp;C84)+COUNTIFS('Solicitacoes'!$F$2:$F$501,B84,'Solicitacoes'!$E$2:$E$501,A84,'Solicitacoes'!$I$2:$I$501,"pendente",'Solicitacoes'!$G$2:$G$501,"&lt;"&amp;J84,'Solicitacoes'!$N$2:$N$501,"&gt;"&amp;C84)+COUNTIFS('Solicitacoes'!$F$2:$F$501,B84,'Solicitacoes'!$K$2:$K$501,F84,'Solicitacoes'!$I$2:$I$501,"confirmado",'Solicitacoes'!$G$2:$G$501,"&lt;"&amp;J84,'Solicitacoes'!$N$2:$N$501,"&gt;"&amp;C84)+COUNTIFS('Solicitacoes'!$F$2:$F$501,B84,'Solicitacoes'!$E$2:$E$501,A84,'Solicitacoes'!$I$2:$I$501,"confirmado",'Solicitacoes'!$G$2:$G$501,"&lt;"&amp;J84,'Solicitacoes'!$N$2:$N$501,"&gt;"&amp;C84)&gt;0,"Ocupado","Disponível"))))</x:f>
        <x:v>Revisar escala</x:v>
      </x:c>
      <x:c r="N84" s="2" t="n">
        <x:f>IF(A84="","",ROW()-1)</x:f>
        <x:v>83</x:v>
      </x:c>
    </x:row>
    <x:row r="85" ht="24" customHeight="1">
      <x:c r="A85" s="13" t="str">
        <x:v>Aline Reis</x:v>
      </x:c>
      <x:c r="B85" s="14" t="d">
        <x:v>2026-10-08T00:00:00.000Z</x:v>
      </x:c>
      <x:c r="C85" s="26" t="n">
        <x:v>0.7083333333333334</x:v>
      </x:c>
      <x:c r="D85" s="13" t="str">
        <x:v>presencial</x:v>
      </x:c>
      <x:c r="E85" s="13" t="str">
        <x:v>não</x:v>
      </x:c>
      <x:c r="F85" s="13" t="str">
        <x:v>Sala 2</x:v>
      </x:c>
      <x:c r="G85" s="12" t="n">
        <x:f>IF(A85="","",'Agenda'!$B$5)</x:f>
        <x:v>50</x:v>
      </x:c>
      <x:c r="H85" s="12" t="n">
        <x:f>IF(A85="","",'Agenda'!$B$6)</x:f>
        <x:v>10</x:v>
      </x:c>
      <x:c r="I85" s="24" t="n">
        <x:f>IF(A85="","",C85+G85/1440)</x:f>
        <x:v>0.7430555555555556</x:v>
      </x:c>
      <x:c r="J85" s="24" t="n">
        <x:f>IF(A85="","",C85+(G85+H85)/1440)</x:f>
        <x:v>0.75</x:v>
      </x:c>
      <x:c r="K85" s="27" t="n">
        <x:f>IF(A85="","",IF(E85&lt;&gt;"sim",0,COUNTIFS($B$2:$B$501,B85,$F$2:$F$501,F85,$E$2:$E$501,"sim",$C$2:$C$501,"&lt;"&amp;J85,$J$2:$J$501,"&gt;"&amp;C85)-1))</x:f>
        <x:v>0</x:v>
      </x:c>
      <x:c r="L85" s="27" t="n">
        <x:f>IF(A85="","",IF(E85&lt;&gt;"sim",0,COUNTIFS($B$2:$B$501,B85,$A$2:$A$501,A85,$E$2:$E$501,"sim",$C$2:$C$501,"&lt;"&amp;J85,$J$2:$J$501,"&gt;"&amp;C85)-1))</x:f>
        <x:v>0</x:v>
      </x:c>
      <x:c r="M85" s="2" t="str">
        <x:f>IF(A85="","",IF(E85&lt;&gt;"sim","Revisar escala",IF(OR(K85&gt;0,L85&gt;0),"Conflito de escala",IF(COUNTIFS('Solicitacoes'!$F$2:$F$501,B85,'Solicitacoes'!$K$2:$K$501,F85,'Solicitacoes'!$I$2:$I$501,"pendente",'Solicitacoes'!$G$2:$G$501,"&lt;"&amp;J85,'Solicitacoes'!$N$2:$N$501,"&gt;"&amp;C85)+COUNTIFS('Solicitacoes'!$F$2:$F$501,B85,'Solicitacoes'!$E$2:$E$501,A85,'Solicitacoes'!$I$2:$I$501,"pendente",'Solicitacoes'!$G$2:$G$501,"&lt;"&amp;J85,'Solicitacoes'!$N$2:$N$501,"&gt;"&amp;C85)+COUNTIFS('Solicitacoes'!$F$2:$F$501,B85,'Solicitacoes'!$K$2:$K$501,F85,'Solicitacoes'!$I$2:$I$501,"confirmado",'Solicitacoes'!$G$2:$G$501,"&lt;"&amp;J85,'Solicitacoes'!$N$2:$N$501,"&gt;"&amp;C85)+COUNTIFS('Solicitacoes'!$F$2:$F$501,B85,'Solicitacoes'!$E$2:$E$501,A85,'Solicitacoes'!$I$2:$I$501,"confirmado",'Solicitacoes'!$G$2:$G$501,"&lt;"&amp;J85,'Solicitacoes'!$N$2:$N$501,"&gt;"&amp;C85)&gt;0,"Ocupado","Disponível"))))</x:f>
        <x:v>Revisar escala</x:v>
      </x:c>
      <x:c r="N85" s="2" t="n">
        <x:f>IF(A85="","",ROW()-1)</x:f>
        <x:v>84</x:v>
      </x:c>
    </x:row>
    <x:row r="86" ht="24" customHeight="1">
      <x:c r="A86" s="13" t="str">
        <x:v>Laura Casanova</x:v>
      </x:c>
      <x:c r="B86" s="14" t="d">
        <x:v>2026-10-08T00:00:00.000Z</x:v>
      </x:c>
      <x:c r="C86" s="26" t="n">
        <x:v>0.75</x:v>
      </x:c>
      <x:c r="D86" s="13" t="str">
        <x:v>presencial</x:v>
      </x:c>
      <x:c r="E86" s="13" t="str">
        <x:v>não</x:v>
      </x:c>
      <x:c r="F86" s="13" t="str">
        <x:v>Sala 1</x:v>
      </x:c>
      <x:c r="G86" s="12" t="n">
        <x:f>IF(A86="","",'Agenda'!$B$5)</x:f>
        <x:v>50</x:v>
      </x:c>
      <x:c r="H86" s="12" t="n">
        <x:f>IF(A86="","",'Agenda'!$B$6)</x:f>
        <x:v>10</x:v>
      </x:c>
      <x:c r="I86" s="24" t="n">
        <x:f>IF(A86="","",C86+G86/1440)</x:f>
        <x:v>0.7847222222222222</x:v>
      </x:c>
      <x:c r="J86" s="24" t="n">
        <x:f>IF(A86="","",C86+(G86+H86)/1440)</x:f>
        <x:v>0.7916666666666666</x:v>
      </x:c>
      <x:c r="K86" s="27" t="n">
        <x:f>IF(A86="","",IF(E86&lt;&gt;"sim",0,COUNTIFS($B$2:$B$501,B86,$F$2:$F$501,F86,$E$2:$E$501,"sim",$C$2:$C$501,"&lt;"&amp;J86,$J$2:$J$501,"&gt;"&amp;C86)-1))</x:f>
        <x:v>0</x:v>
      </x:c>
      <x:c r="L86" s="27" t="n">
        <x:f>IF(A86="","",IF(E86&lt;&gt;"sim",0,COUNTIFS($B$2:$B$501,B86,$A$2:$A$501,A86,$E$2:$E$501,"sim",$C$2:$C$501,"&lt;"&amp;J86,$J$2:$J$501,"&gt;"&amp;C86)-1))</x:f>
        <x:v>0</x:v>
      </x:c>
      <x:c r="M86" s="2" t="str">
        <x:f>IF(A86="","",IF(E86&lt;&gt;"sim","Revisar escala",IF(OR(K86&gt;0,L86&gt;0),"Conflito de escala",IF(COUNTIFS('Solicitacoes'!$F$2:$F$501,B86,'Solicitacoes'!$K$2:$K$501,F86,'Solicitacoes'!$I$2:$I$501,"pendente",'Solicitacoes'!$G$2:$G$501,"&lt;"&amp;J86,'Solicitacoes'!$N$2:$N$501,"&gt;"&amp;C86)+COUNTIFS('Solicitacoes'!$F$2:$F$501,B86,'Solicitacoes'!$E$2:$E$501,A86,'Solicitacoes'!$I$2:$I$501,"pendente",'Solicitacoes'!$G$2:$G$501,"&lt;"&amp;J86,'Solicitacoes'!$N$2:$N$501,"&gt;"&amp;C86)+COUNTIFS('Solicitacoes'!$F$2:$F$501,B86,'Solicitacoes'!$K$2:$K$501,F86,'Solicitacoes'!$I$2:$I$501,"confirmado",'Solicitacoes'!$G$2:$G$501,"&lt;"&amp;J86,'Solicitacoes'!$N$2:$N$501,"&gt;"&amp;C86)+COUNTIFS('Solicitacoes'!$F$2:$F$501,B86,'Solicitacoes'!$E$2:$E$501,A86,'Solicitacoes'!$I$2:$I$501,"confirmado",'Solicitacoes'!$G$2:$G$501,"&lt;"&amp;J86,'Solicitacoes'!$N$2:$N$501,"&gt;"&amp;C86)&gt;0,"Ocupado","Disponível"))))</x:f>
        <x:v>Revisar escala</x:v>
      </x:c>
      <x:c r="N86" s="2" t="n">
        <x:f>IF(A86="","",ROW()-1)</x:f>
        <x:v>85</x:v>
      </x:c>
    </x:row>
    <x:row r="87" ht="24" customHeight="1">
      <x:c r="A87" s="13" t="str">
        <x:v>Aline Reis</x:v>
      </x:c>
      <x:c r="B87" s="14" t="d">
        <x:v>2026-10-08T00:00:00.000Z</x:v>
      </x:c>
      <x:c r="C87" s="26" t="n">
        <x:v>0.75</x:v>
      </x:c>
      <x:c r="D87" s="13" t="str">
        <x:v>presencial</x:v>
      </x:c>
      <x:c r="E87" s="13" t="str">
        <x:v>não</x:v>
      </x:c>
      <x:c r="F87" s="13" t="str">
        <x:v>Sala 2</x:v>
      </x:c>
      <x:c r="G87" s="12" t="n">
        <x:f>IF(A87="","",'Agenda'!$B$5)</x:f>
        <x:v>50</x:v>
      </x:c>
      <x:c r="H87" s="12" t="n">
        <x:f>IF(A87="","",'Agenda'!$B$6)</x:f>
        <x:v>10</x:v>
      </x:c>
      <x:c r="I87" s="24" t="n">
        <x:f>IF(A87="","",C87+G87/1440)</x:f>
        <x:v>0.7847222222222222</x:v>
      </x:c>
      <x:c r="J87" s="24" t="n">
        <x:f>IF(A87="","",C87+(G87+H87)/1440)</x:f>
        <x:v>0.7916666666666666</x:v>
      </x:c>
      <x:c r="K87" s="27" t="n">
        <x:f>IF(A87="","",IF(E87&lt;&gt;"sim",0,COUNTIFS($B$2:$B$501,B87,$F$2:$F$501,F87,$E$2:$E$501,"sim",$C$2:$C$501,"&lt;"&amp;J87,$J$2:$J$501,"&gt;"&amp;C87)-1))</x:f>
        <x:v>0</x:v>
      </x:c>
      <x:c r="L87" s="27" t="n">
        <x:f>IF(A87="","",IF(E87&lt;&gt;"sim",0,COUNTIFS($B$2:$B$501,B87,$A$2:$A$501,A87,$E$2:$E$501,"sim",$C$2:$C$501,"&lt;"&amp;J87,$J$2:$J$501,"&gt;"&amp;C87)-1))</x:f>
        <x:v>0</x:v>
      </x:c>
      <x:c r="M87" s="2" t="str">
        <x:f>IF(A87="","",IF(E87&lt;&gt;"sim","Revisar escala",IF(OR(K87&gt;0,L87&gt;0),"Conflito de escala",IF(COUNTIFS('Solicitacoes'!$F$2:$F$501,B87,'Solicitacoes'!$K$2:$K$501,F87,'Solicitacoes'!$I$2:$I$501,"pendente",'Solicitacoes'!$G$2:$G$501,"&lt;"&amp;J87,'Solicitacoes'!$N$2:$N$501,"&gt;"&amp;C87)+COUNTIFS('Solicitacoes'!$F$2:$F$501,B87,'Solicitacoes'!$E$2:$E$501,A87,'Solicitacoes'!$I$2:$I$501,"pendente",'Solicitacoes'!$G$2:$G$501,"&lt;"&amp;J87,'Solicitacoes'!$N$2:$N$501,"&gt;"&amp;C87)+COUNTIFS('Solicitacoes'!$F$2:$F$501,B87,'Solicitacoes'!$K$2:$K$501,F87,'Solicitacoes'!$I$2:$I$501,"confirmado",'Solicitacoes'!$G$2:$G$501,"&lt;"&amp;J87,'Solicitacoes'!$N$2:$N$501,"&gt;"&amp;C87)+COUNTIFS('Solicitacoes'!$F$2:$F$501,B87,'Solicitacoes'!$E$2:$E$501,A87,'Solicitacoes'!$I$2:$I$501,"confirmado",'Solicitacoes'!$G$2:$G$501,"&lt;"&amp;J87,'Solicitacoes'!$N$2:$N$501,"&gt;"&amp;C87)&gt;0,"Ocupado","Disponível"))))</x:f>
        <x:v>Revisar escala</x:v>
      </x:c>
      <x:c r="N87" s="2" t="n">
        <x:f>IF(A87="","",ROW()-1)</x:f>
        <x:v>86</x:v>
      </x:c>
    </x:row>
    <x:row r="88" ht="24" customHeight="1">
      <x:c r="A88" s="13" t="str">
        <x:v>Laura Casanova</x:v>
      </x:c>
      <x:c r="B88" s="14" t="d">
        <x:v>2026-10-08T00:00:00.000Z</x:v>
      </x:c>
      <x:c r="C88" s="26" t="n">
        <x:v>0.7916666666666666</x:v>
      </x:c>
      <x:c r="D88" s="13" t="str">
        <x:v>presencial</x:v>
      </x:c>
      <x:c r="E88" s="13" t="str">
        <x:v>não</x:v>
      </x:c>
      <x:c r="F88" s="13" t="str">
        <x:v>Sala 1</x:v>
      </x:c>
      <x:c r="G88" s="12" t="n">
        <x:f>IF(A88="","",'Agenda'!$B$5)</x:f>
        <x:v>50</x:v>
      </x:c>
      <x:c r="H88" s="12" t="n">
        <x:f>IF(A88="","",'Agenda'!$B$6)</x:f>
        <x:v>10</x:v>
      </x:c>
      <x:c r="I88" s="24" t="n">
        <x:f>IF(A88="","",C88+G88/1440)</x:f>
        <x:v>0.8263888888888888</x:v>
      </x:c>
      <x:c r="J88" s="24" t="n">
        <x:f>IF(A88="","",C88+(G88+H88)/1440)</x:f>
        <x:v>0.8333333333333333</x:v>
      </x:c>
      <x:c r="K88" s="27" t="n">
        <x:f>IF(A88="","",IF(E88&lt;&gt;"sim",0,COUNTIFS($B$2:$B$501,B88,$F$2:$F$501,F88,$E$2:$E$501,"sim",$C$2:$C$501,"&lt;"&amp;J88,$J$2:$J$501,"&gt;"&amp;C88)-1))</x:f>
        <x:v>0</x:v>
      </x:c>
      <x:c r="L88" s="27" t="n">
        <x:f>IF(A88="","",IF(E88&lt;&gt;"sim",0,COUNTIFS($B$2:$B$501,B88,$A$2:$A$501,A88,$E$2:$E$501,"sim",$C$2:$C$501,"&lt;"&amp;J88,$J$2:$J$501,"&gt;"&amp;C88)-1))</x:f>
        <x:v>0</x:v>
      </x:c>
      <x:c r="M88" s="2" t="str">
        <x:f>IF(A88="","",IF(E88&lt;&gt;"sim","Revisar escala",IF(OR(K88&gt;0,L88&gt;0),"Conflito de escala",IF(COUNTIFS('Solicitacoes'!$F$2:$F$501,B88,'Solicitacoes'!$K$2:$K$501,F88,'Solicitacoes'!$I$2:$I$501,"pendente",'Solicitacoes'!$G$2:$G$501,"&lt;"&amp;J88,'Solicitacoes'!$N$2:$N$501,"&gt;"&amp;C88)+COUNTIFS('Solicitacoes'!$F$2:$F$501,B88,'Solicitacoes'!$E$2:$E$501,A88,'Solicitacoes'!$I$2:$I$501,"pendente",'Solicitacoes'!$G$2:$G$501,"&lt;"&amp;J88,'Solicitacoes'!$N$2:$N$501,"&gt;"&amp;C88)+COUNTIFS('Solicitacoes'!$F$2:$F$501,B88,'Solicitacoes'!$K$2:$K$501,F88,'Solicitacoes'!$I$2:$I$501,"confirmado",'Solicitacoes'!$G$2:$G$501,"&lt;"&amp;J88,'Solicitacoes'!$N$2:$N$501,"&gt;"&amp;C88)+COUNTIFS('Solicitacoes'!$F$2:$F$501,B88,'Solicitacoes'!$E$2:$E$501,A88,'Solicitacoes'!$I$2:$I$501,"confirmado",'Solicitacoes'!$G$2:$G$501,"&lt;"&amp;J88,'Solicitacoes'!$N$2:$N$501,"&gt;"&amp;C88)&gt;0,"Ocupado","Disponível"))))</x:f>
        <x:v>Revisar escala</x:v>
      </x:c>
      <x:c r="N88" s="2" t="n">
        <x:f>IF(A88="","",ROW()-1)</x:f>
        <x:v>87</x:v>
      </x:c>
    </x:row>
    <x:row r="89" ht="24" customHeight="1">
      <x:c r="A89" s="13" t="str">
        <x:v>Aline Reis</x:v>
      </x:c>
      <x:c r="B89" s="14" t="d">
        <x:v>2026-10-08T00:00:00.000Z</x:v>
      </x:c>
      <x:c r="C89" s="26" t="n">
        <x:v>0.7916666666666666</x:v>
      </x:c>
      <x:c r="D89" s="13" t="str">
        <x:v>presencial</x:v>
      </x:c>
      <x:c r="E89" s="13" t="str">
        <x:v>não</x:v>
      </x:c>
      <x:c r="F89" s="13" t="str">
        <x:v>Sala 2</x:v>
      </x:c>
      <x:c r="G89" s="12" t="n">
        <x:f>IF(A89="","",'Agenda'!$B$5)</x:f>
        <x:v>50</x:v>
      </x:c>
      <x:c r="H89" s="12" t="n">
        <x:f>IF(A89="","",'Agenda'!$B$6)</x:f>
        <x:v>10</x:v>
      </x:c>
      <x:c r="I89" s="24" t="n">
        <x:f>IF(A89="","",C89+G89/1440)</x:f>
        <x:v>0.8263888888888888</x:v>
      </x:c>
      <x:c r="J89" s="24" t="n">
        <x:f>IF(A89="","",C89+(G89+H89)/1440)</x:f>
        <x:v>0.8333333333333333</x:v>
      </x:c>
      <x:c r="K89" s="27" t="n">
        <x:f>IF(A89="","",IF(E89&lt;&gt;"sim",0,COUNTIFS($B$2:$B$501,B89,$F$2:$F$501,F89,$E$2:$E$501,"sim",$C$2:$C$501,"&lt;"&amp;J89,$J$2:$J$501,"&gt;"&amp;C89)-1))</x:f>
        <x:v>0</x:v>
      </x:c>
      <x:c r="L89" s="27" t="n">
        <x:f>IF(A89="","",IF(E89&lt;&gt;"sim",0,COUNTIFS($B$2:$B$501,B89,$A$2:$A$501,A89,$E$2:$E$501,"sim",$C$2:$C$501,"&lt;"&amp;J89,$J$2:$J$501,"&gt;"&amp;C89)-1))</x:f>
        <x:v>0</x:v>
      </x:c>
      <x:c r="M89" s="2" t="str">
        <x:f>IF(A89="","",IF(E89&lt;&gt;"sim","Revisar escala",IF(OR(K89&gt;0,L89&gt;0),"Conflito de escala",IF(COUNTIFS('Solicitacoes'!$F$2:$F$501,B89,'Solicitacoes'!$K$2:$K$501,F89,'Solicitacoes'!$I$2:$I$501,"pendente",'Solicitacoes'!$G$2:$G$501,"&lt;"&amp;J89,'Solicitacoes'!$N$2:$N$501,"&gt;"&amp;C89)+COUNTIFS('Solicitacoes'!$F$2:$F$501,B89,'Solicitacoes'!$E$2:$E$501,A89,'Solicitacoes'!$I$2:$I$501,"pendente",'Solicitacoes'!$G$2:$G$501,"&lt;"&amp;J89,'Solicitacoes'!$N$2:$N$501,"&gt;"&amp;C89)+COUNTIFS('Solicitacoes'!$F$2:$F$501,B89,'Solicitacoes'!$K$2:$K$501,F89,'Solicitacoes'!$I$2:$I$501,"confirmado",'Solicitacoes'!$G$2:$G$501,"&lt;"&amp;J89,'Solicitacoes'!$N$2:$N$501,"&gt;"&amp;C89)+COUNTIFS('Solicitacoes'!$F$2:$F$501,B89,'Solicitacoes'!$E$2:$E$501,A89,'Solicitacoes'!$I$2:$I$501,"confirmado",'Solicitacoes'!$G$2:$G$501,"&lt;"&amp;J89,'Solicitacoes'!$N$2:$N$501,"&gt;"&amp;C89)&gt;0,"Ocupado","Disponível"))))</x:f>
        <x:v>Revisar escala</x:v>
      </x:c>
      <x:c r="N89" s="2" t="n">
        <x:f>IF(A89="","",ROW()-1)</x:f>
        <x:v>88</x:v>
      </x:c>
    </x:row>
    <x:row r="90" ht="24" customHeight="1">
      <x:c r="A90" s="13" t="str">
        <x:v>Géssyca Martins</x:v>
      </x:c>
      <x:c r="B90" s="14" t="d">
        <x:v>2026-10-09T00:00:00.000Z</x:v>
      </x:c>
      <x:c r="C90" s="26" t="n">
        <x:v>0.375</x:v>
      </x:c>
      <x:c r="D90" s="13" t="str">
        <x:v>presencial</x:v>
      </x:c>
      <x:c r="E90" s="13" t="str">
        <x:v>não</x:v>
      </x:c>
      <x:c r="F90" s="13" t="str">
        <x:v>Sala 1</x:v>
      </x:c>
      <x:c r="G90" s="12" t="n">
        <x:f>IF(A90="","",'Agenda'!$B$5)</x:f>
        <x:v>50</x:v>
      </x:c>
      <x:c r="H90" s="12" t="n">
        <x:f>IF(A90="","",'Agenda'!$B$6)</x:f>
        <x:v>10</x:v>
      </x:c>
      <x:c r="I90" s="24" t="n">
        <x:f>IF(A90="","",C90+G90/1440)</x:f>
        <x:v>0.4097222222222222</x:v>
      </x:c>
      <x:c r="J90" s="24" t="n">
        <x:f>IF(A90="","",C90+(G90+H90)/1440)</x:f>
        <x:v>0.4166666666666667</x:v>
      </x:c>
      <x:c r="K90" s="27" t="n">
        <x:f>IF(A90="","",IF(E90&lt;&gt;"sim",0,COUNTIFS($B$2:$B$501,B90,$F$2:$F$501,F90,$E$2:$E$501,"sim",$C$2:$C$501,"&lt;"&amp;J90,$J$2:$J$501,"&gt;"&amp;C90)-1))</x:f>
        <x:v>0</x:v>
      </x:c>
      <x:c r="L90" s="27" t="n">
        <x:f>IF(A90="","",IF(E90&lt;&gt;"sim",0,COUNTIFS($B$2:$B$501,B90,$A$2:$A$501,A90,$E$2:$E$501,"sim",$C$2:$C$501,"&lt;"&amp;J90,$J$2:$J$501,"&gt;"&amp;C90)-1))</x:f>
        <x:v>0</x:v>
      </x:c>
      <x:c r="M90" s="2" t="str">
        <x:f>IF(A90="","",IF(E90&lt;&gt;"sim","Revisar escala",IF(OR(K90&gt;0,L90&gt;0),"Conflito de escala",IF(COUNTIFS('Solicitacoes'!$F$2:$F$501,B90,'Solicitacoes'!$K$2:$K$501,F90,'Solicitacoes'!$I$2:$I$501,"pendente",'Solicitacoes'!$G$2:$G$501,"&lt;"&amp;J90,'Solicitacoes'!$N$2:$N$501,"&gt;"&amp;C90)+COUNTIFS('Solicitacoes'!$F$2:$F$501,B90,'Solicitacoes'!$E$2:$E$501,A90,'Solicitacoes'!$I$2:$I$501,"pendente",'Solicitacoes'!$G$2:$G$501,"&lt;"&amp;J90,'Solicitacoes'!$N$2:$N$501,"&gt;"&amp;C90)+COUNTIFS('Solicitacoes'!$F$2:$F$501,B90,'Solicitacoes'!$K$2:$K$501,F90,'Solicitacoes'!$I$2:$I$501,"confirmado",'Solicitacoes'!$G$2:$G$501,"&lt;"&amp;J90,'Solicitacoes'!$N$2:$N$501,"&gt;"&amp;C90)+COUNTIFS('Solicitacoes'!$F$2:$F$501,B90,'Solicitacoes'!$E$2:$E$501,A90,'Solicitacoes'!$I$2:$I$501,"confirmado",'Solicitacoes'!$G$2:$G$501,"&lt;"&amp;J90,'Solicitacoes'!$N$2:$N$501,"&gt;"&amp;C90)&gt;0,"Ocupado","Disponível"))))</x:f>
        <x:v>Revisar escala</x:v>
      </x:c>
      <x:c r="N90" s="2" t="n">
        <x:f>IF(A90="","",ROW()-1)</x:f>
        <x:v>89</x:v>
      </x:c>
    </x:row>
    <x:row r="91" ht="24" customHeight="1">
      <x:c r="A91" s="13" t="str">
        <x:v>Laura Casanova</x:v>
      </x:c>
      <x:c r="B91" s="14" t="d">
        <x:v>2026-10-09T00:00:00.000Z</x:v>
      </x:c>
      <x:c r="C91" s="26" t="n">
        <x:v>0.375</x:v>
      </x:c>
      <x:c r="D91" s="13" t="str">
        <x:v>presencial</x:v>
      </x:c>
      <x:c r="E91" s="13" t="str">
        <x:v>não</x:v>
      </x:c>
      <x:c r="F91" s="13" t="str">
        <x:v>Sala 2</x:v>
      </x:c>
      <x:c r="G91" s="12" t="n">
        <x:f>IF(A91="","",'Agenda'!$B$5)</x:f>
        <x:v>50</x:v>
      </x:c>
      <x:c r="H91" s="12" t="n">
        <x:f>IF(A91="","",'Agenda'!$B$6)</x:f>
        <x:v>10</x:v>
      </x:c>
      <x:c r="I91" s="24" t="n">
        <x:f>IF(A91="","",C91+G91/1440)</x:f>
        <x:v>0.4097222222222222</x:v>
      </x:c>
      <x:c r="J91" s="24" t="n">
        <x:f>IF(A91="","",C91+(G91+H91)/1440)</x:f>
        <x:v>0.4166666666666667</x:v>
      </x:c>
      <x:c r="K91" s="27" t="n">
        <x:f>IF(A91="","",IF(E91&lt;&gt;"sim",0,COUNTIFS($B$2:$B$501,B91,$F$2:$F$501,F91,$E$2:$E$501,"sim",$C$2:$C$501,"&lt;"&amp;J91,$J$2:$J$501,"&gt;"&amp;C91)-1))</x:f>
        <x:v>0</x:v>
      </x:c>
      <x:c r="L91" s="27" t="n">
        <x:f>IF(A91="","",IF(E91&lt;&gt;"sim",0,COUNTIFS($B$2:$B$501,B91,$A$2:$A$501,A91,$E$2:$E$501,"sim",$C$2:$C$501,"&lt;"&amp;J91,$J$2:$J$501,"&gt;"&amp;C91)-1))</x:f>
        <x:v>0</x:v>
      </x:c>
      <x:c r="M91" s="2" t="str">
        <x:f>IF(A91="","",IF(E91&lt;&gt;"sim","Revisar escala",IF(OR(K91&gt;0,L91&gt;0),"Conflito de escala",IF(COUNTIFS('Solicitacoes'!$F$2:$F$501,B91,'Solicitacoes'!$K$2:$K$501,F91,'Solicitacoes'!$I$2:$I$501,"pendente",'Solicitacoes'!$G$2:$G$501,"&lt;"&amp;J91,'Solicitacoes'!$N$2:$N$501,"&gt;"&amp;C91)+COUNTIFS('Solicitacoes'!$F$2:$F$501,B91,'Solicitacoes'!$E$2:$E$501,A91,'Solicitacoes'!$I$2:$I$501,"pendente",'Solicitacoes'!$G$2:$G$501,"&lt;"&amp;J91,'Solicitacoes'!$N$2:$N$501,"&gt;"&amp;C91)+COUNTIFS('Solicitacoes'!$F$2:$F$501,B91,'Solicitacoes'!$K$2:$K$501,F91,'Solicitacoes'!$I$2:$I$501,"confirmado",'Solicitacoes'!$G$2:$G$501,"&lt;"&amp;J91,'Solicitacoes'!$N$2:$N$501,"&gt;"&amp;C91)+COUNTIFS('Solicitacoes'!$F$2:$F$501,B91,'Solicitacoes'!$E$2:$E$501,A91,'Solicitacoes'!$I$2:$I$501,"confirmado",'Solicitacoes'!$G$2:$G$501,"&lt;"&amp;J91,'Solicitacoes'!$N$2:$N$501,"&gt;"&amp;C91)&gt;0,"Ocupado","Disponível"))))</x:f>
        <x:v>Revisar escala</x:v>
      </x:c>
      <x:c r="N91" s="2" t="n">
        <x:f>IF(A91="","",ROW()-1)</x:f>
        <x:v>90</x:v>
      </x:c>
    </x:row>
    <x:row r="92" ht="24" customHeight="1">
      <x:c r="A92" s="13" t="str">
        <x:v>Géssyca Martins</x:v>
      </x:c>
      <x:c r="B92" s="14" t="d">
        <x:v>2026-10-09T00:00:00.000Z</x:v>
      </x:c>
      <x:c r="C92" s="26" t="n">
        <x:v>0.4166666666666667</x:v>
      </x:c>
      <x:c r="D92" s="13" t="str">
        <x:v>presencial</x:v>
      </x:c>
      <x:c r="E92" s="13" t="str">
        <x:v>não</x:v>
      </x:c>
      <x:c r="F92" s="13" t="str">
        <x:v>Sala 1</x:v>
      </x:c>
      <x:c r="G92" s="12" t="n">
        <x:f>IF(A92="","",'Agenda'!$B$5)</x:f>
        <x:v>50</x:v>
      </x:c>
      <x:c r="H92" s="12" t="n">
        <x:f>IF(A92="","",'Agenda'!$B$6)</x:f>
        <x:v>10</x:v>
      </x:c>
      <x:c r="I92" s="24" t="n">
        <x:f>IF(A92="","",C92+G92/1440)</x:f>
        <x:v>0.4513888888888889</x:v>
      </x:c>
      <x:c r="J92" s="24" t="n">
        <x:f>IF(A92="","",C92+(G92+H92)/1440)</x:f>
        <x:v>0.45833333333333337</x:v>
      </x:c>
      <x:c r="K92" s="27" t="n">
        <x:f>IF(A92="","",IF(E92&lt;&gt;"sim",0,COUNTIFS($B$2:$B$501,B92,$F$2:$F$501,F92,$E$2:$E$501,"sim",$C$2:$C$501,"&lt;"&amp;J92,$J$2:$J$501,"&gt;"&amp;C92)-1))</x:f>
        <x:v>0</x:v>
      </x:c>
      <x:c r="L92" s="27" t="n">
        <x:f>IF(A92="","",IF(E92&lt;&gt;"sim",0,COUNTIFS($B$2:$B$501,B92,$A$2:$A$501,A92,$E$2:$E$501,"sim",$C$2:$C$501,"&lt;"&amp;J92,$J$2:$J$501,"&gt;"&amp;C92)-1))</x:f>
        <x:v>0</x:v>
      </x:c>
      <x:c r="M92" s="2" t="str">
        <x:f>IF(A92="","",IF(E92&lt;&gt;"sim","Revisar escala",IF(OR(K92&gt;0,L92&gt;0),"Conflito de escala",IF(COUNTIFS('Solicitacoes'!$F$2:$F$501,B92,'Solicitacoes'!$K$2:$K$501,F92,'Solicitacoes'!$I$2:$I$501,"pendente",'Solicitacoes'!$G$2:$G$501,"&lt;"&amp;J92,'Solicitacoes'!$N$2:$N$501,"&gt;"&amp;C92)+COUNTIFS('Solicitacoes'!$F$2:$F$501,B92,'Solicitacoes'!$E$2:$E$501,A92,'Solicitacoes'!$I$2:$I$501,"pendente",'Solicitacoes'!$G$2:$G$501,"&lt;"&amp;J92,'Solicitacoes'!$N$2:$N$501,"&gt;"&amp;C92)+COUNTIFS('Solicitacoes'!$F$2:$F$501,B92,'Solicitacoes'!$K$2:$K$501,F92,'Solicitacoes'!$I$2:$I$501,"confirmado",'Solicitacoes'!$G$2:$G$501,"&lt;"&amp;J92,'Solicitacoes'!$N$2:$N$501,"&gt;"&amp;C92)+COUNTIFS('Solicitacoes'!$F$2:$F$501,B92,'Solicitacoes'!$E$2:$E$501,A92,'Solicitacoes'!$I$2:$I$501,"confirmado",'Solicitacoes'!$G$2:$G$501,"&lt;"&amp;J92,'Solicitacoes'!$N$2:$N$501,"&gt;"&amp;C92)&gt;0,"Ocupado","Disponível"))))</x:f>
        <x:v>Revisar escala</x:v>
      </x:c>
      <x:c r="N92" s="2" t="n">
        <x:f>IF(A92="","",ROW()-1)</x:f>
        <x:v>91</x:v>
      </x:c>
    </x:row>
    <x:row r="93" ht="24" customHeight="1">
      <x:c r="A93" s="13" t="str">
        <x:v>Laura Casanova</x:v>
      </x:c>
      <x:c r="B93" s="14" t="d">
        <x:v>2026-10-09T00:00:00.000Z</x:v>
      </x:c>
      <x:c r="C93" s="26" t="n">
        <x:v>0.4166666666666667</x:v>
      </x:c>
      <x:c r="D93" s="13" t="str">
        <x:v>presencial</x:v>
      </x:c>
      <x:c r="E93" s="13" t="str">
        <x:v>não</x:v>
      </x:c>
      <x:c r="F93" s="13" t="str">
        <x:v>Sala 2</x:v>
      </x:c>
      <x:c r="G93" s="12" t="n">
        <x:f>IF(A93="","",'Agenda'!$B$5)</x:f>
        <x:v>50</x:v>
      </x:c>
      <x:c r="H93" s="12" t="n">
        <x:f>IF(A93="","",'Agenda'!$B$6)</x:f>
        <x:v>10</x:v>
      </x:c>
      <x:c r="I93" s="24" t="n">
        <x:f>IF(A93="","",C93+G93/1440)</x:f>
        <x:v>0.4513888888888889</x:v>
      </x:c>
      <x:c r="J93" s="24" t="n">
        <x:f>IF(A93="","",C93+(G93+H93)/1440)</x:f>
        <x:v>0.45833333333333337</x:v>
      </x:c>
      <x:c r="K93" s="27" t="n">
        <x:f>IF(A93="","",IF(E93&lt;&gt;"sim",0,COUNTIFS($B$2:$B$501,B93,$F$2:$F$501,F93,$E$2:$E$501,"sim",$C$2:$C$501,"&lt;"&amp;J93,$J$2:$J$501,"&gt;"&amp;C93)-1))</x:f>
        <x:v>0</x:v>
      </x:c>
      <x:c r="L93" s="27" t="n">
        <x:f>IF(A93="","",IF(E93&lt;&gt;"sim",0,COUNTIFS($B$2:$B$501,B93,$A$2:$A$501,A93,$E$2:$E$501,"sim",$C$2:$C$501,"&lt;"&amp;J93,$J$2:$J$501,"&gt;"&amp;C93)-1))</x:f>
        <x:v>0</x:v>
      </x:c>
      <x:c r="M93" s="2" t="str">
        <x:f>IF(A93="","",IF(E93&lt;&gt;"sim","Revisar escala",IF(OR(K93&gt;0,L93&gt;0),"Conflito de escala",IF(COUNTIFS('Solicitacoes'!$F$2:$F$501,B93,'Solicitacoes'!$K$2:$K$501,F93,'Solicitacoes'!$I$2:$I$501,"pendente",'Solicitacoes'!$G$2:$G$501,"&lt;"&amp;J93,'Solicitacoes'!$N$2:$N$501,"&gt;"&amp;C93)+COUNTIFS('Solicitacoes'!$F$2:$F$501,B93,'Solicitacoes'!$E$2:$E$501,A93,'Solicitacoes'!$I$2:$I$501,"pendente",'Solicitacoes'!$G$2:$G$501,"&lt;"&amp;J93,'Solicitacoes'!$N$2:$N$501,"&gt;"&amp;C93)+COUNTIFS('Solicitacoes'!$F$2:$F$501,B93,'Solicitacoes'!$K$2:$K$501,F93,'Solicitacoes'!$I$2:$I$501,"confirmado",'Solicitacoes'!$G$2:$G$501,"&lt;"&amp;J93,'Solicitacoes'!$N$2:$N$501,"&gt;"&amp;C93)+COUNTIFS('Solicitacoes'!$F$2:$F$501,B93,'Solicitacoes'!$E$2:$E$501,A93,'Solicitacoes'!$I$2:$I$501,"confirmado",'Solicitacoes'!$G$2:$G$501,"&lt;"&amp;J93,'Solicitacoes'!$N$2:$N$501,"&gt;"&amp;C93)&gt;0,"Ocupado","Disponível"))))</x:f>
        <x:v>Revisar escala</x:v>
      </x:c>
      <x:c r="N93" s="2" t="n">
        <x:f>IF(A93="","",ROW()-1)</x:f>
        <x:v>92</x:v>
      </x:c>
    </x:row>
    <x:row r="94" ht="24" customHeight="1">
      <x:c r="A94" s="13" t="str">
        <x:v>Géssyca Martins</x:v>
      </x:c>
      <x:c r="B94" s="14" t="d">
        <x:v>2026-10-09T00:00:00.000Z</x:v>
      </x:c>
      <x:c r="C94" s="26" t="n">
        <x:v>0.4583333333333333</x:v>
      </x:c>
      <x:c r="D94" s="13" t="str">
        <x:v>presencial</x:v>
      </x:c>
      <x:c r="E94" s="13" t="str">
        <x:v>não</x:v>
      </x:c>
      <x:c r="F94" s="13" t="str">
        <x:v>Sala 1</x:v>
      </x:c>
      <x:c r="G94" s="12" t="n">
        <x:f>IF(A94="","",'Agenda'!$B$5)</x:f>
        <x:v>50</x:v>
      </x:c>
      <x:c r="H94" s="12" t="n">
        <x:f>IF(A94="","",'Agenda'!$B$6)</x:f>
        <x:v>10</x:v>
      </x:c>
      <x:c r="I94" s="24" t="n">
        <x:f>IF(A94="","",C94+G94/1440)</x:f>
        <x:v>0.4930555555555555</x:v>
      </x:c>
      <x:c r="J94" s="24" t="n">
        <x:f>IF(A94="","",C94+(G94+H94)/1440)</x:f>
        <x:v>0.5</x:v>
      </x:c>
      <x:c r="K94" s="27" t="n">
        <x:f>IF(A94="","",IF(E94&lt;&gt;"sim",0,COUNTIFS($B$2:$B$501,B94,$F$2:$F$501,F94,$E$2:$E$501,"sim",$C$2:$C$501,"&lt;"&amp;J94,$J$2:$J$501,"&gt;"&amp;C94)-1))</x:f>
        <x:v>0</x:v>
      </x:c>
      <x:c r="L94" s="27" t="n">
        <x:f>IF(A94="","",IF(E94&lt;&gt;"sim",0,COUNTIFS($B$2:$B$501,B94,$A$2:$A$501,A94,$E$2:$E$501,"sim",$C$2:$C$501,"&lt;"&amp;J94,$J$2:$J$501,"&gt;"&amp;C94)-1))</x:f>
        <x:v>0</x:v>
      </x:c>
      <x:c r="M94" s="2" t="str">
        <x:f>IF(A94="","",IF(E94&lt;&gt;"sim","Revisar escala",IF(OR(K94&gt;0,L94&gt;0),"Conflito de escala",IF(COUNTIFS('Solicitacoes'!$F$2:$F$501,B94,'Solicitacoes'!$K$2:$K$501,F94,'Solicitacoes'!$I$2:$I$501,"pendente",'Solicitacoes'!$G$2:$G$501,"&lt;"&amp;J94,'Solicitacoes'!$N$2:$N$501,"&gt;"&amp;C94)+COUNTIFS('Solicitacoes'!$F$2:$F$501,B94,'Solicitacoes'!$E$2:$E$501,A94,'Solicitacoes'!$I$2:$I$501,"pendente",'Solicitacoes'!$G$2:$G$501,"&lt;"&amp;J94,'Solicitacoes'!$N$2:$N$501,"&gt;"&amp;C94)+COUNTIFS('Solicitacoes'!$F$2:$F$501,B94,'Solicitacoes'!$K$2:$K$501,F94,'Solicitacoes'!$I$2:$I$501,"confirmado",'Solicitacoes'!$G$2:$G$501,"&lt;"&amp;J94,'Solicitacoes'!$N$2:$N$501,"&gt;"&amp;C94)+COUNTIFS('Solicitacoes'!$F$2:$F$501,B94,'Solicitacoes'!$E$2:$E$501,A94,'Solicitacoes'!$I$2:$I$501,"confirmado",'Solicitacoes'!$G$2:$G$501,"&lt;"&amp;J94,'Solicitacoes'!$N$2:$N$501,"&gt;"&amp;C94)&gt;0,"Ocupado","Disponível"))))</x:f>
        <x:v>Revisar escala</x:v>
      </x:c>
      <x:c r="N94" s="2" t="n">
        <x:f>IF(A94="","",ROW()-1)</x:f>
        <x:v>93</x:v>
      </x:c>
    </x:row>
    <x:row r="95" ht="24" customHeight="1">
      <x:c r="A95" s="13" t="str">
        <x:v>Laura Casanova</x:v>
      </x:c>
      <x:c r="B95" s="14" t="d">
        <x:v>2026-10-09T00:00:00.000Z</x:v>
      </x:c>
      <x:c r="C95" s="26" t="n">
        <x:v>0.4583333333333333</x:v>
      </x:c>
      <x:c r="D95" s="13" t="str">
        <x:v>presencial</x:v>
      </x:c>
      <x:c r="E95" s="13" t="str">
        <x:v>não</x:v>
      </x:c>
      <x:c r="F95" s="13" t="str">
        <x:v>Sala 2</x:v>
      </x:c>
      <x:c r="G95" s="12" t="n">
        <x:f>IF(A95="","",'Agenda'!$B$5)</x:f>
        <x:v>50</x:v>
      </x:c>
      <x:c r="H95" s="12" t="n">
        <x:f>IF(A95="","",'Agenda'!$B$6)</x:f>
        <x:v>10</x:v>
      </x:c>
      <x:c r="I95" s="24" t="n">
        <x:f>IF(A95="","",C95+G95/1440)</x:f>
        <x:v>0.4930555555555555</x:v>
      </x:c>
      <x:c r="J95" s="24" t="n">
        <x:f>IF(A95="","",C95+(G95+H95)/1440)</x:f>
        <x:v>0.5</x:v>
      </x:c>
      <x:c r="K95" s="27" t="n">
        <x:f>IF(A95="","",IF(E95&lt;&gt;"sim",0,COUNTIFS($B$2:$B$501,B95,$F$2:$F$501,F95,$E$2:$E$501,"sim",$C$2:$C$501,"&lt;"&amp;J95,$J$2:$J$501,"&gt;"&amp;C95)-1))</x:f>
        <x:v>0</x:v>
      </x:c>
      <x:c r="L95" s="27" t="n">
        <x:f>IF(A95="","",IF(E95&lt;&gt;"sim",0,COUNTIFS($B$2:$B$501,B95,$A$2:$A$501,A95,$E$2:$E$501,"sim",$C$2:$C$501,"&lt;"&amp;J95,$J$2:$J$501,"&gt;"&amp;C95)-1))</x:f>
        <x:v>0</x:v>
      </x:c>
      <x:c r="M95" s="2" t="str">
        <x:f>IF(A95="","",IF(E95&lt;&gt;"sim","Revisar escala",IF(OR(K95&gt;0,L95&gt;0),"Conflito de escala",IF(COUNTIFS('Solicitacoes'!$F$2:$F$501,B95,'Solicitacoes'!$K$2:$K$501,F95,'Solicitacoes'!$I$2:$I$501,"pendente",'Solicitacoes'!$G$2:$G$501,"&lt;"&amp;J95,'Solicitacoes'!$N$2:$N$501,"&gt;"&amp;C95)+COUNTIFS('Solicitacoes'!$F$2:$F$501,B95,'Solicitacoes'!$E$2:$E$501,A95,'Solicitacoes'!$I$2:$I$501,"pendente",'Solicitacoes'!$G$2:$G$501,"&lt;"&amp;J95,'Solicitacoes'!$N$2:$N$501,"&gt;"&amp;C95)+COUNTIFS('Solicitacoes'!$F$2:$F$501,B95,'Solicitacoes'!$K$2:$K$501,F95,'Solicitacoes'!$I$2:$I$501,"confirmado",'Solicitacoes'!$G$2:$G$501,"&lt;"&amp;J95,'Solicitacoes'!$N$2:$N$501,"&gt;"&amp;C95)+COUNTIFS('Solicitacoes'!$F$2:$F$501,B95,'Solicitacoes'!$E$2:$E$501,A95,'Solicitacoes'!$I$2:$I$501,"confirmado",'Solicitacoes'!$G$2:$G$501,"&lt;"&amp;J95,'Solicitacoes'!$N$2:$N$501,"&gt;"&amp;C95)&gt;0,"Ocupado","Disponível"))))</x:f>
        <x:v>Revisar escala</x:v>
      </x:c>
      <x:c r="N95" s="2" t="n">
        <x:f>IF(A95="","",ROW()-1)</x:f>
        <x:v>94</x:v>
      </x:c>
    </x:row>
    <x:row r="96" ht="24" customHeight="1">
      <x:c r="A96" s="13" t="str">
        <x:v>Géssyca Martins</x:v>
      </x:c>
      <x:c r="B96" s="14" t="d">
        <x:v>2026-10-09T00:00:00.000Z</x:v>
      </x:c>
      <x:c r="C96" s="26" t="n">
        <x:v>0.5</x:v>
      </x:c>
      <x:c r="D96" s="13" t="str">
        <x:v>presencial</x:v>
      </x:c>
      <x:c r="E96" s="13" t="str">
        <x:v>não</x:v>
      </x:c>
      <x:c r="F96" s="13" t="str">
        <x:v>Sala 1</x:v>
      </x:c>
      <x:c r="G96" s="12" t="n">
        <x:f>IF(A96="","",'Agenda'!$B$5)</x:f>
        <x:v>50</x:v>
      </x:c>
      <x:c r="H96" s="12" t="n">
        <x:f>IF(A96="","",'Agenda'!$B$6)</x:f>
        <x:v>10</x:v>
      </x:c>
      <x:c r="I96" s="24" t="n">
        <x:f>IF(A96="","",C96+G96/1440)</x:f>
        <x:v>0.5347222222222222</x:v>
      </x:c>
      <x:c r="J96" s="24" t="n">
        <x:f>IF(A96="","",C96+(G96+H96)/1440)</x:f>
        <x:v>0.5416666666666666</x:v>
      </x:c>
      <x:c r="K96" s="27" t="n">
        <x:f>IF(A96="","",IF(E96&lt;&gt;"sim",0,COUNTIFS($B$2:$B$501,B96,$F$2:$F$501,F96,$E$2:$E$501,"sim",$C$2:$C$501,"&lt;"&amp;J96,$J$2:$J$501,"&gt;"&amp;C96)-1))</x:f>
        <x:v>0</x:v>
      </x:c>
      <x:c r="L96" s="27" t="n">
        <x:f>IF(A96="","",IF(E96&lt;&gt;"sim",0,COUNTIFS($B$2:$B$501,B96,$A$2:$A$501,A96,$E$2:$E$501,"sim",$C$2:$C$501,"&lt;"&amp;J96,$J$2:$J$501,"&gt;"&amp;C96)-1))</x:f>
        <x:v>0</x:v>
      </x:c>
      <x:c r="M96" s="2" t="str">
        <x:f>IF(A96="","",IF(E96&lt;&gt;"sim","Revisar escala",IF(OR(K96&gt;0,L96&gt;0),"Conflito de escala",IF(COUNTIFS('Solicitacoes'!$F$2:$F$501,B96,'Solicitacoes'!$K$2:$K$501,F96,'Solicitacoes'!$I$2:$I$501,"pendente",'Solicitacoes'!$G$2:$G$501,"&lt;"&amp;J96,'Solicitacoes'!$N$2:$N$501,"&gt;"&amp;C96)+COUNTIFS('Solicitacoes'!$F$2:$F$501,B96,'Solicitacoes'!$E$2:$E$501,A96,'Solicitacoes'!$I$2:$I$501,"pendente",'Solicitacoes'!$G$2:$G$501,"&lt;"&amp;J96,'Solicitacoes'!$N$2:$N$501,"&gt;"&amp;C96)+COUNTIFS('Solicitacoes'!$F$2:$F$501,B96,'Solicitacoes'!$K$2:$K$501,F96,'Solicitacoes'!$I$2:$I$501,"confirmado",'Solicitacoes'!$G$2:$G$501,"&lt;"&amp;J96,'Solicitacoes'!$N$2:$N$501,"&gt;"&amp;C96)+COUNTIFS('Solicitacoes'!$F$2:$F$501,B96,'Solicitacoes'!$E$2:$E$501,A96,'Solicitacoes'!$I$2:$I$501,"confirmado",'Solicitacoes'!$G$2:$G$501,"&lt;"&amp;J96,'Solicitacoes'!$N$2:$N$501,"&gt;"&amp;C96)&gt;0,"Ocupado","Disponível"))))</x:f>
        <x:v>Revisar escala</x:v>
      </x:c>
      <x:c r="N96" s="2" t="n">
        <x:f>IF(A96="","",ROW()-1)</x:f>
        <x:v>95</x:v>
      </x:c>
    </x:row>
    <x:row r="97" ht="24" customHeight="1">
      <x:c r="A97" s="13" t="str">
        <x:v>Laura Casanova</x:v>
      </x:c>
      <x:c r="B97" s="14" t="d">
        <x:v>2026-10-09T00:00:00.000Z</x:v>
      </x:c>
      <x:c r="C97" s="26" t="n">
        <x:v>0.5</x:v>
      </x:c>
      <x:c r="D97" s="13" t="str">
        <x:v>presencial</x:v>
      </x:c>
      <x:c r="E97" s="13" t="str">
        <x:v>não</x:v>
      </x:c>
      <x:c r="F97" s="13" t="str">
        <x:v>Sala 2</x:v>
      </x:c>
      <x:c r="G97" s="12" t="n">
        <x:f>IF(A97="","",'Agenda'!$B$5)</x:f>
        <x:v>50</x:v>
      </x:c>
      <x:c r="H97" s="12" t="n">
        <x:f>IF(A97="","",'Agenda'!$B$6)</x:f>
        <x:v>10</x:v>
      </x:c>
      <x:c r="I97" s="24" t="n">
        <x:f>IF(A97="","",C97+G97/1440)</x:f>
        <x:v>0.5347222222222222</x:v>
      </x:c>
      <x:c r="J97" s="24" t="n">
        <x:f>IF(A97="","",C97+(G97+H97)/1440)</x:f>
        <x:v>0.5416666666666666</x:v>
      </x:c>
      <x:c r="K97" s="27" t="n">
        <x:f>IF(A97="","",IF(E97&lt;&gt;"sim",0,COUNTIFS($B$2:$B$501,B97,$F$2:$F$501,F97,$E$2:$E$501,"sim",$C$2:$C$501,"&lt;"&amp;J97,$J$2:$J$501,"&gt;"&amp;C97)-1))</x:f>
        <x:v>0</x:v>
      </x:c>
      <x:c r="L97" s="27" t="n">
        <x:f>IF(A97="","",IF(E97&lt;&gt;"sim",0,COUNTIFS($B$2:$B$501,B97,$A$2:$A$501,A97,$E$2:$E$501,"sim",$C$2:$C$501,"&lt;"&amp;J97,$J$2:$J$501,"&gt;"&amp;C97)-1))</x:f>
        <x:v>0</x:v>
      </x:c>
      <x:c r="M97" s="2" t="str">
        <x:f>IF(A97="","",IF(E97&lt;&gt;"sim","Revisar escala",IF(OR(K97&gt;0,L97&gt;0),"Conflito de escala",IF(COUNTIFS('Solicitacoes'!$F$2:$F$501,B97,'Solicitacoes'!$K$2:$K$501,F97,'Solicitacoes'!$I$2:$I$501,"pendente",'Solicitacoes'!$G$2:$G$501,"&lt;"&amp;J97,'Solicitacoes'!$N$2:$N$501,"&gt;"&amp;C97)+COUNTIFS('Solicitacoes'!$F$2:$F$501,B97,'Solicitacoes'!$E$2:$E$501,A97,'Solicitacoes'!$I$2:$I$501,"pendente",'Solicitacoes'!$G$2:$G$501,"&lt;"&amp;J97,'Solicitacoes'!$N$2:$N$501,"&gt;"&amp;C97)+COUNTIFS('Solicitacoes'!$F$2:$F$501,B97,'Solicitacoes'!$K$2:$K$501,F97,'Solicitacoes'!$I$2:$I$501,"confirmado",'Solicitacoes'!$G$2:$G$501,"&lt;"&amp;J97,'Solicitacoes'!$N$2:$N$501,"&gt;"&amp;C97)+COUNTIFS('Solicitacoes'!$F$2:$F$501,B97,'Solicitacoes'!$E$2:$E$501,A97,'Solicitacoes'!$I$2:$I$501,"confirmado",'Solicitacoes'!$G$2:$G$501,"&lt;"&amp;J97,'Solicitacoes'!$N$2:$N$501,"&gt;"&amp;C97)&gt;0,"Ocupado","Disponível"))))</x:f>
        <x:v>Revisar escala</x:v>
      </x:c>
      <x:c r="N97" s="2" t="n">
        <x:f>IF(A97="","",ROW()-1)</x:f>
        <x:v>96</x:v>
      </x:c>
    </x:row>
    <x:row r="98" ht="24" customHeight="1">
      <x:c r="A98" s="13" t="str">
        <x:v>Géssyca Martins</x:v>
      </x:c>
      <x:c r="B98" s="14" t="d">
        <x:v>2026-10-09T00:00:00.000Z</x:v>
      </x:c>
      <x:c r="C98" s="26" t="n">
        <x:v>0.5416666666666666</x:v>
      </x:c>
      <x:c r="D98" s="13" t="str">
        <x:v>presencial</x:v>
      </x:c>
      <x:c r="E98" s="13" t="str">
        <x:v>não</x:v>
      </x:c>
      <x:c r="F98" s="13" t="str">
        <x:v>Sala 1</x:v>
      </x:c>
      <x:c r="G98" s="12" t="n">
        <x:f>IF(A98="","",'Agenda'!$B$5)</x:f>
        <x:v>50</x:v>
      </x:c>
      <x:c r="H98" s="12" t="n">
        <x:f>IF(A98="","",'Agenda'!$B$6)</x:f>
        <x:v>10</x:v>
      </x:c>
      <x:c r="I98" s="24" t="n">
        <x:f>IF(A98="","",C98+G98/1440)</x:f>
        <x:v>0.5763888888888888</x:v>
      </x:c>
      <x:c r="J98" s="24" t="n">
        <x:f>IF(A98="","",C98+(G98+H98)/1440)</x:f>
        <x:v>0.5833333333333333</x:v>
      </x:c>
      <x:c r="K98" s="27" t="n">
        <x:f>IF(A98="","",IF(E98&lt;&gt;"sim",0,COUNTIFS($B$2:$B$501,B98,$F$2:$F$501,F98,$E$2:$E$501,"sim",$C$2:$C$501,"&lt;"&amp;J98,$J$2:$J$501,"&gt;"&amp;C98)-1))</x:f>
        <x:v>0</x:v>
      </x:c>
      <x:c r="L98" s="27" t="n">
        <x:f>IF(A98="","",IF(E98&lt;&gt;"sim",0,COUNTIFS($B$2:$B$501,B98,$A$2:$A$501,A98,$E$2:$E$501,"sim",$C$2:$C$501,"&lt;"&amp;J98,$J$2:$J$501,"&gt;"&amp;C98)-1))</x:f>
        <x:v>0</x:v>
      </x:c>
      <x:c r="M98" s="2" t="str">
        <x:f>IF(A98="","",IF(E98&lt;&gt;"sim","Revisar escala",IF(OR(K98&gt;0,L98&gt;0),"Conflito de escala",IF(COUNTIFS('Solicitacoes'!$F$2:$F$501,B98,'Solicitacoes'!$K$2:$K$501,F98,'Solicitacoes'!$I$2:$I$501,"pendente",'Solicitacoes'!$G$2:$G$501,"&lt;"&amp;J98,'Solicitacoes'!$N$2:$N$501,"&gt;"&amp;C98)+COUNTIFS('Solicitacoes'!$F$2:$F$501,B98,'Solicitacoes'!$E$2:$E$501,A98,'Solicitacoes'!$I$2:$I$501,"pendente",'Solicitacoes'!$G$2:$G$501,"&lt;"&amp;J98,'Solicitacoes'!$N$2:$N$501,"&gt;"&amp;C98)+COUNTIFS('Solicitacoes'!$F$2:$F$501,B98,'Solicitacoes'!$K$2:$K$501,F98,'Solicitacoes'!$I$2:$I$501,"confirmado",'Solicitacoes'!$G$2:$G$501,"&lt;"&amp;J98,'Solicitacoes'!$N$2:$N$501,"&gt;"&amp;C98)+COUNTIFS('Solicitacoes'!$F$2:$F$501,B98,'Solicitacoes'!$E$2:$E$501,A98,'Solicitacoes'!$I$2:$I$501,"confirmado",'Solicitacoes'!$G$2:$G$501,"&lt;"&amp;J98,'Solicitacoes'!$N$2:$N$501,"&gt;"&amp;C98)&gt;0,"Ocupado","Disponível"))))</x:f>
        <x:v>Revisar escala</x:v>
      </x:c>
      <x:c r="N98" s="2" t="n">
        <x:f>IF(A98="","",ROW()-1)</x:f>
        <x:v>97</x:v>
      </x:c>
    </x:row>
    <x:row r="99" ht="24" customHeight="1">
      <x:c r="A99" s="13" t="str">
        <x:v>Laura Casanova</x:v>
      </x:c>
      <x:c r="B99" s="14" t="d">
        <x:v>2026-10-09T00:00:00.000Z</x:v>
      </x:c>
      <x:c r="C99" s="26" t="n">
        <x:v>0.5416666666666666</x:v>
      </x:c>
      <x:c r="D99" s="13" t="str">
        <x:v>presencial</x:v>
      </x:c>
      <x:c r="E99" s="13" t="str">
        <x:v>não</x:v>
      </x:c>
      <x:c r="F99" s="13" t="str">
        <x:v>Sala 2</x:v>
      </x:c>
      <x:c r="G99" s="12" t="n">
        <x:f>IF(A99="","",'Agenda'!$B$5)</x:f>
        <x:v>50</x:v>
      </x:c>
      <x:c r="H99" s="12" t="n">
        <x:f>IF(A99="","",'Agenda'!$B$6)</x:f>
        <x:v>10</x:v>
      </x:c>
      <x:c r="I99" s="24" t="n">
        <x:f>IF(A99="","",C99+G99/1440)</x:f>
        <x:v>0.5763888888888888</x:v>
      </x:c>
      <x:c r="J99" s="24" t="n">
        <x:f>IF(A99="","",C99+(G99+H99)/1440)</x:f>
        <x:v>0.5833333333333333</x:v>
      </x:c>
      <x:c r="K99" s="27" t="n">
        <x:f>IF(A99="","",IF(E99&lt;&gt;"sim",0,COUNTIFS($B$2:$B$501,B99,$F$2:$F$501,F99,$E$2:$E$501,"sim",$C$2:$C$501,"&lt;"&amp;J99,$J$2:$J$501,"&gt;"&amp;C99)-1))</x:f>
        <x:v>0</x:v>
      </x:c>
      <x:c r="L99" s="27" t="n">
        <x:f>IF(A99="","",IF(E99&lt;&gt;"sim",0,COUNTIFS($B$2:$B$501,B99,$A$2:$A$501,A99,$E$2:$E$501,"sim",$C$2:$C$501,"&lt;"&amp;J99,$J$2:$J$501,"&gt;"&amp;C99)-1))</x:f>
        <x:v>0</x:v>
      </x:c>
      <x:c r="M99" s="2" t="str">
        <x:f>IF(A99="","",IF(E99&lt;&gt;"sim","Revisar escala",IF(OR(K99&gt;0,L99&gt;0),"Conflito de escala",IF(COUNTIFS('Solicitacoes'!$F$2:$F$501,B99,'Solicitacoes'!$K$2:$K$501,F99,'Solicitacoes'!$I$2:$I$501,"pendente",'Solicitacoes'!$G$2:$G$501,"&lt;"&amp;J99,'Solicitacoes'!$N$2:$N$501,"&gt;"&amp;C99)+COUNTIFS('Solicitacoes'!$F$2:$F$501,B99,'Solicitacoes'!$E$2:$E$501,A99,'Solicitacoes'!$I$2:$I$501,"pendente",'Solicitacoes'!$G$2:$G$501,"&lt;"&amp;J99,'Solicitacoes'!$N$2:$N$501,"&gt;"&amp;C99)+COUNTIFS('Solicitacoes'!$F$2:$F$501,B99,'Solicitacoes'!$K$2:$K$501,F99,'Solicitacoes'!$I$2:$I$501,"confirmado",'Solicitacoes'!$G$2:$G$501,"&lt;"&amp;J99,'Solicitacoes'!$N$2:$N$501,"&gt;"&amp;C99)+COUNTIFS('Solicitacoes'!$F$2:$F$501,B99,'Solicitacoes'!$E$2:$E$501,A99,'Solicitacoes'!$I$2:$I$501,"confirmado",'Solicitacoes'!$G$2:$G$501,"&lt;"&amp;J99,'Solicitacoes'!$N$2:$N$501,"&gt;"&amp;C99)&gt;0,"Ocupado","Disponível"))))</x:f>
        <x:v>Revisar escala</x:v>
      </x:c>
      <x:c r="N99" s="2" t="n">
        <x:f>IF(A99="","",ROW()-1)</x:f>
        <x:v>98</x:v>
      </x:c>
    </x:row>
    <x:row r="100" ht="24" customHeight="1">
      <x:c r="A100" s="13" t="str">
        <x:v>Aline Reis</x:v>
      </x:c>
      <x:c r="B100" s="14" t="d">
        <x:v>2026-10-09T00:00:00.000Z</x:v>
      </x:c>
      <x:c r="C100" s="26" t="n">
        <x:v>0.5833333333333334</x:v>
      </x:c>
      <x:c r="D100" s="13" t="str">
        <x:v>presencial</x:v>
      </x:c>
      <x:c r="E100" s="13" t="str">
        <x:v>não</x:v>
      </x:c>
      <x:c r="F100" s="13" t="str">
        <x:v>Sala 1</x:v>
      </x:c>
      <x:c r="G100" s="12" t="n">
        <x:f>IF(A100="","",'Agenda'!$B$5)</x:f>
        <x:v>50</x:v>
      </x:c>
      <x:c r="H100" s="12" t="n">
        <x:f>IF(A100="","",'Agenda'!$B$6)</x:f>
        <x:v>10</x:v>
      </x:c>
      <x:c r="I100" s="24" t="n">
        <x:f>IF(A100="","",C100+G100/1440)</x:f>
        <x:v>0.6180555555555556</x:v>
      </x:c>
      <x:c r="J100" s="24" t="n">
        <x:f>IF(A100="","",C100+(G100+H100)/1440)</x:f>
        <x:v>0.625</x:v>
      </x:c>
      <x:c r="K100" s="27" t="n">
        <x:f>IF(A100="","",IF(E100&lt;&gt;"sim",0,COUNTIFS($B$2:$B$501,B100,$F$2:$F$501,F100,$E$2:$E$501,"sim",$C$2:$C$501,"&lt;"&amp;J100,$J$2:$J$501,"&gt;"&amp;C100)-1))</x:f>
        <x:v>0</x:v>
      </x:c>
      <x:c r="L100" s="27" t="n">
        <x:f>IF(A100="","",IF(E100&lt;&gt;"sim",0,COUNTIFS($B$2:$B$501,B100,$A$2:$A$501,A100,$E$2:$E$501,"sim",$C$2:$C$501,"&lt;"&amp;J100,$J$2:$J$501,"&gt;"&amp;C100)-1))</x:f>
        <x:v>0</x:v>
      </x:c>
      <x:c r="M100" s="2" t="str">
        <x:f>IF(A100="","",IF(E100&lt;&gt;"sim","Revisar escala",IF(OR(K100&gt;0,L100&gt;0),"Conflito de escala",IF(COUNTIFS('Solicitacoes'!$F$2:$F$501,B100,'Solicitacoes'!$K$2:$K$501,F100,'Solicitacoes'!$I$2:$I$501,"pendente",'Solicitacoes'!$G$2:$G$501,"&lt;"&amp;J100,'Solicitacoes'!$N$2:$N$501,"&gt;"&amp;C100)+COUNTIFS('Solicitacoes'!$F$2:$F$501,B100,'Solicitacoes'!$E$2:$E$501,A100,'Solicitacoes'!$I$2:$I$501,"pendente",'Solicitacoes'!$G$2:$G$501,"&lt;"&amp;J100,'Solicitacoes'!$N$2:$N$501,"&gt;"&amp;C100)+COUNTIFS('Solicitacoes'!$F$2:$F$501,B100,'Solicitacoes'!$K$2:$K$501,F100,'Solicitacoes'!$I$2:$I$501,"confirmado",'Solicitacoes'!$G$2:$G$501,"&lt;"&amp;J100,'Solicitacoes'!$N$2:$N$501,"&gt;"&amp;C100)+COUNTIFS('Solicitacoes'!$F$2:$F$501,B100,'Solicitacoes'!$E$2:$E$501,A100,'Solicitacoes'!$I$2:$I$501,"confirmado",'Solicitacoes'!$G$2:$G$501,"&lt;"&amp;J100,'Solicitacoes'!$N$2:$N$501,"&gt;"&amp;C100)&gt;0,"Ocupado","Disponível"))))</x:f>
        <x:v>Revisar escala</x:v>
      </x:c>
      <x:c r="N100" s="2" t="n">
        <x:f>IF(A100="","",ROW()-1)</x:f>
        <x:v>99</x:v>
      </x:c>
    </x:row>
    <x:row r="101" ht="24" customHeight="1">
      <x:c r="A101" s="13" t="str">
        <x:v>Géssyca Martins</x:v>
      </x:c>
      <x:c r="B101" s="14" t="d">
        <x:v>2026-10-09T00:00:00.000Z</x:v>
      </x:c>
      <x:c r="C101" s="26" t="n">
        <x:v>0.5833333333333334</x:v>
      </x:c>
      <x:c r="D101" s="13" t="str">
        <x:v>presencial</x:v>
      </x:c>
      <x:c r="E101" s="13" t="str">
        <x:v>não</x:v>
      </x:c>
      <x:c r="F101" s="13" t="str">
        <x:v>Sala 2</x:v>
      </x:c>
      <x:c r="G101" s="12" t="n">
        <x:f>IF(A101="","",'Agenda'!$B$5)</x:f>
        <x:v>50</x:v>
      </x:c>
      <x:c r="H101" s="12" t="n">
        <x:f>IF(A101="","",'Agenda'!$B$6)</x:f>
        <x:v>10</x:v>
      </x:c>
      <x:c r="I101" s="24" t="n">
        <x:f>IF(A101="","",C101+G101/1440)</x:f>
        <x:v>0.6180555555555556</x:v>
      </x:c>
      <x:c r="J101" s="24" t="n">
        <x:f>IF(A101="","",C101+(G101+H101)/1440)</x:f>
        <x:v>0.625</x:v>
      </x:c>
      <x:c r="K101" s="27" t="n">
        <x:f>IF(A101="","",IF(E101&lt;&gt;"sim",0,COUNTIFS($B$2:$B$501,B101,$F$2:$F$501,F101,$E$2:$E$501,"sim",$C$2:$C$501,"&lt;"&amp;J101,$J$2:$J$501,"&gt;"&amp;C101)-1))</x:f>
        <x:v>0</x:v>
      </x:c>
      <x:c r="L101" s="27" t="n">
        <x:f>IF(A101="","",IF(E101&lt;&gt;"sim",0,COUNTIFS($B$2:$B$501,B101,$A$2:$A$501,A101,$E$2:$E$501,"sim",$C$2:$C$501,"&lt;"&amp;J101,$J$2:$J$501,"&gt;"&amp;C101)-1))</x:f>
        <x:v>0</x:v>
      </x:c>
      <x:c r="M101" s="2" t="str">
        <x:f>IF(A101="","",IF(E101&lt;&gt;"sim","Revisar escala",IF(OR(K101&gt;0,L101&gt;0),"Conflito de escala",IF(COUNTIFS('Solicitacoes'!$F$2:$F$501,B101,'Solicitacoes'!$K$2:$K$501,F101,'Solicitacoes'!$I$2:$I$501,"pendente",'Solicitacoes'!$G$2:$G$501,"&lt;"&amp;J101,'Solicitacoes'!$N$2:$N$501,"&gt;"&amp;C101)+COUNTIFS('Solicitacoes'!$F$2:$F$501,B101,'Solicitacoes'!$E$2:$E$501,A101,'Solicitacoes'!$I$2:$I$501,"pendente",'Solicitacoes'!$G$2:$G$501,"&lt;"&amp;J101,'Solicitacoes'!$N$2:$N$501,"&gt;"&amp;C101)+COUNTIFS('Solicitacoes'!$F$2:$F$501,B101,'Solicitacoes'!$K$2:$K$501,F101,'Solicitacoes'!$I$2:$I$501,"confirmado",'Solicitacoes'!$G$2:$G$501,"&lt;"&amp;J101,'Solicitacoes'!$N$2:$N$501,"&gt;"&amp;C101)+COUNTIFS('Solicitacoes'!$F$2:$F$501,B101,'Solicitacoes'!$E$2:$E$501,A101,'Solicitacoes'!$I$2:$I$501,"confirmado",'Solicitacoes'!$G$2:$G$501,"&lt;"&amp;J101,'Solicitacoes'!$N$2:$N$501,"&gt;"&amp;C101)&gt;0,"Ocupado","Disponível"))))</x:f>
        <x:v>Revisar escala</x:v>
      </x:c>
      <x:c r="N101" s="2" t="n">
        <x:f>IF(A101="","",ROW()-1)</x:f>
        <x:v>100</x:v>
      </x:c>
    </x:row>
    <x:row r="102" ht="24" customHeight="1">
      <x:c r="A102" s="13" t="str">
        <x:v>Aline Reis</x:v>
      </x:c>
      <x:c r="B102" s="14" t="d">
        <x:v>2026-10-09T00:00:00.000Z</x:v>
      </x:c>
      <x:c r="C102" s="26" t="n">
        <x:v>0.625</x:v>
      </x:c>
      <x:c r="D102" s="13" t="str">
        <x:v>presencial</x:v>
      </x:c>
      <x:c r="E102" s="13" t="str">
        <x:v>não</x:v>
      </x:c>
      <x:c r="F102" s="13" t="str">
        <x:v>Sala 1</x:v>
      </x:c>
      <x:c r="G102" s="12" t="n">
        <x:f>IF(A102="","",'Agenda'!$B$5)</x:f>
        <x:v>50</x:v>
      </x:c>
      <x:c r="H102" s="12" t="n">
        <x:f>IF(A102="","",'Agenda'!$B$6)</x:f>
        <x:v>10</x:v>
      </x:c>
      <x:c r="I102" s="24" t="n">
        <x:f>IF(A102="","",C102+G102/1440)</x:f>
        <x:v>0.6597222222222222</x:v>
      </x:c>
      <x:c r="J102" s="24" t="n">
        <x:f>IF(A102="","",C102+(G102+H102)/1440)</x:f>
        <x:v>0.6666666666666666</x:v>
      </x:c>
      <x:c r="K102" s="27" t="n">
        <x:f>IF(A102="","",IF(E102&lt;&gt;"sim",0,COUNTIFS($B$2:$B$501,B102,$F$2:$F$501,F102,$E$2:$E$501,"sim",$C$2:$C$501,"&lt;"&amp;J102,$J$2:$J$501,"&gt;"&amp;C102)-1))</x:f>
        <x:v>0</x:v>
      </x:c>
      <x:c r="L102" s="27" t="n">
        <x:f>IF(A102="","",IF(E102&lt;&gt;"sim",0,COUNTIFS($B$2:$B$501,B102,$A$2:$A$501,A102,$E$2:$E$501,"sim",$C$2:$C$501,"&lt;"&amp;J102,$J$2:$J$501,"&gt;"&amp;C102)-1))</x:f>
        <x:v>0</x:v>
      </x:c>
      <x:c r="M102" s="2" t="str">
        <x:f>IF(A102="","",IF(E102&lt;&gt;"sim","Revisar escala",IF(OR(K102&gt;0,L102&gt;0),"Conflito de escala",IF(COUNTIFS('Solicitacoes'!$F$2:$F$501,B102,'Solicitacoes'!$K$2:$K$501,F102,'Solicitacoes'!$I$2:$I$501,"pendente",'Solicitacoes'!$G$2:$G$501,"&lt;"&amp;J102,'Solicitacoes'!$N$2:$N$501,"&gt;"&amp;C102)+COUNTIFS('Solicitacoes'!$F$2:$F$501,B102,'Solicitacoes'!$E$2:$E$501,A102,'Solicitacoes'!$I$2:$I$501,"pendente",'Solicitacoes'!$G$2:$G$501,"&lt;"&amp;J102,'Solicitacoes'!$N$2:$N$501,"&gt;"&amp;C102)+COUNTIFS('Solicitacoes'!$F$2:$F$501,B102,'Solicitacoes'!$K$2:$K$501,F102,'Solicitacoes'!$I$2:$I$501,"confirmado",'Solicitacoes'!$G$2:$G$501,"&lt;"&amp;J102,'Solicitacoes'!$N$2:$N$501,"&gt;"&amp;C102)+COUNTIFS('Solicitacoes'!$F$2:$F$501,B102,'Solicitacoes'!$E$2:$E$501,A102,'Solicitacoes'!$I$2:$I$501,"confirmado",'Solicitacoes'!$G$2:$G$501,"&lt;"&amp;J102,'Solicitacoes'!$N$2:$N$501,"&gt;"&amp;C102)&gt;0,"Ocupado","Disponível"))))</x:f>
        <x:v>Revisar escala</x:v>
      </x:c>
      <x:c r="N102" s="2" t="n">
        <x:f>IF(A102="","",ROW()-1)</x:f>
        <x:v>101</x:v>
      </x:c>
    </x:row>
    <x:row r="103" ht="24" customHeight="1">
      <x:c r="A103" s="13" t="str">
        <x:v>Géssyca Martins</x:v>
      </x:c>
      <x:c r="B103" s="14" t="d">
        <x:v>2026-10-09T00:00:00.000Z</x:v>
      </x:c>
      <x:c r="C103" s="26" t="n">
        <x:v>0.625</x:v>
      </x:c>
      <x:c r="D103" s="13" t="str">
        <x:v>presencial</x:v>
      </x:c>
      <x:c r="E103" s="13" t="str">
        <x:v>não</x:v>
      </x:c>
      <x:c r="F103" s="13" t="str">
        <x:v>Sala 2</x:v>
      </x:c>
      <x:c r="G103" s="12" t="n">
        <x:f>IF(A103="","",'Agenda'!$B$5)</x:f>
        <x:v>50</x:v>
      </x:c>
      <x:c r="H103" s="12" t="n">
        <x:f>IF(A103="","",'Agenda'!$B$6)</x:f>
        <x:v>10</x:v>
      </x:c>
      <x:c r="I103" s="24" t="n">
        <x:f>IF(A103="","",C103+G103/1440)</x:f>
        <x:v>0.6597222222222222</x:v>
      </x:c>
      <x:c r="J103" s="24" t="n">
        <x:f>IF(A103="","",C103+(G103+H103)/1440)</x:f>
        <x:v>0.6666666666666666</x:v>
      </x:c>
      <x:c r="K103" s="27" t="n">
        <x:f>IF(A103="","",IF(E103&lt;&gt;"sim",0,COUNTIFS($B$2:$B$501,B103,$F$2:$F$501,F103,$E$2:$E$501,"sim",$C$2:$C$501,"&lt;"&amp;J103,$J$2:$J$501,"&gt;"&amp;C103)-1))</x:f>
        <x:v>0</x:v>
      </x:c>
      <x:c r="L103" s="27" t="n">
        <x:f>IF(A103="","",IF(E103&lt;&gt;"sim",0,COUNTIFS($B$2:$B$501,B103,$A$2:$A$501,A103,$E$2:$E$501,"sim",$C$2:$C$501,"&lt;"&amp;J103,$J$2:$J$501,"&gt;"&amp;C103)-1))</x:f>
        <x:v>0</x:v>
      </x:c>
      <x:c r="M103" s="2" t="str">
        <x:f>IF(A103="","",IF(E103&lt;&gt;"sim","Revisar escala",IF(OR(K103&gt;0,L103&gt;0),"Conflito de escala",IF(COUNTIFS('Solicitacoes'!$F$2:$F$501,B103,'Solicitacoes'!$K$2:$K$501,F103,'Solicitacoes'!$I$2:$I$501,"pendente",'Solicitacoes'!$G$2:$G$501,"&lt;"&amp;J103,'Solicitacoes'!$N$2:$N$501,"&gt;"&amp;C103)+COUNTIFS('Solicitacoes'!$F$2:$F$501,B103,'Solicitacoes'!$E$2:$E$501,A103,'Solicitacoes'!$I$2:$I$501,"pendente",'Solicitacoes'!$G$2:$G$501,"&lt;"&amp;J103,'Solicitacoes'!$N$2:$N$501,"&gt;"&amp;C103)+COUNTIFS('Solicitacoes'!$F$2:$F$501,B103,'Solicitacoes'!$K$2:$K$501,F103,'Solicitacoes'!$I$2:$I$501,"confirmado",'Solicitacoes'!$G$2:$G$501,"&lt;"&amp;J103,'Solicitacoes'!$N$2:$N$501,"&gt;"&amp;C103)+COUNTIFS('Solicitacoes'!$F$2:$F$501,B103,'Solicitacoes'!$E$2:$E$501,A103,'Solicitacoes'!$I$2:$I$501,"confirmado",'Solicitacoes'!$G$2:$G$501,"&lt;"&amp;J103,'Solicitacoes'!$N$2:$N$501,"&gt;"&amp;C103)&gt;0,"Ocupado","Disponível"))))</x:f>
        <x:v>Revisar escala</x:v>
      </x:c>
      <x:c r="N103" s="2" t="n">
        <x:f>IF(A103="","",ROW()-1)</x:f>
        <x:v>102</x:v>
      </x:c>
    </x:row>
    <x:row r="104" ht="24" customHeight="1">
      <x:c r="A104" s="13" t="str">
        <x:v>Aline Reis</x:v>
      </x:c>
      <x:c r="B104" s="14" t="d">
        <x:v>2026-10-09T00:00:00.000Z</x:v>
      </x:c>
      <x:c r="C104" s="26" t="n">
        <x:v>0.6666666666666666</x:v>
      </x:c>
      <x:c r="D104" s="13" t="str">
        <x:v>presencial</x:v>
      </x:c>
      <x:c r="E104" s="13" t="str">
        <x:v>não</x:v>
      </x:c>
      <x:c r="F104" s="13" t="str">
        <x:v>Sala 1</x:v>
      </x:c>
      <x:c r="G104" s="12" t="n">
        <x:f>IF(A104="","",'Agenda'!$B$5)</x:f>
        <x:v>50</x:v>
      </x:c>
      <x:c r="H104" s="12" t="n">
        <x:f>IF(A104="","",'Agenda'!$B$6)</x:f>
        <x:v>10</x:v>
      </x:c>
      <x:c r="I104" s="24" t="n">
        <x:f>IF(A104="","",C104+G104/1440)</x:f>
        <x:v>0.7013888888888888</x:v>
      </x:c>
      <x:c r="J104" s="24" t="n">
        <x:f>IF(A104="","",C104+(G104+H104)/1440)</x:f>
        <x:v>0.7083333333333333</x:v>
      </x:c>
      <x:c r="K104" s="27" t="n">
        <x:f>IF(A104="","",IF(E104&lt;&gt;"sim",0,COUNTIFS($B$2:$B$501,B104,$F$2:$F$501,F104,$E$2:$E$501,"sim",$C$2:$C$501,"&lt;"&amp;J104,$J$2:$J$501,"&gt;"&amp;C104)-1))</x:f>
        <x:v>0</x:v>
      </x:c>
      <x:c r="L104" s="27" t="n">
        <x:f>IF(A104="","",IF(E104&lt;&gt;"sim",0,COUNTIFS($B$2:$B$501,B104,$A$2:$A$501,A104,$E$2:$E$501,"sim",$C$2:$C$501,"&lt;"&amp;J104,$J$2:$J$501,"&gt;"&amp;C104)-1))</x:f>
        <x:v>0</x:v>
      </x:c>
      <x:c r="M104" s="2" t="str">
        <x:f>IF(A104="","",IF(E104&lt;&gt;"sim","Revisar escala",IF(OR(K104&gt;0,L104&gt;0),"Conflito de escala",IF(COUNTIFS('Solicitacoes'!$F$2:$F$501,B104,'Solicitacoes'!$K$2:$K$501,F104,'Solicitacoes'!$I$2:$I$501,"pendente",'Solicitacoes'!$G$2:$G$501,"&lt;"&amp;J104,'Solicitacoes'!$N$2:$N$501,"&gt;"&amp;C104)+COUNTIFS('Solicitacoes'!$F$2:$F$501,B104,'Solicitacoes'!$E$2:$E$501,A104,'Solicitacoes'!$I$2:$I$501,"pendente",'Solicitacoes'!$G$2:$G$501,"&lt;"&amp;J104,'Solicitacoes'!$N$2:$N$501,"&gt;"&amp;C104)+COUNTIFS('Solicitacoes'!$F$2:$F$501,B104,'Solicitacoes'!$K$2:$K$501,F104,'Solicitacoes'!$I$2:$I$501,"confirmado",'Solicitacoes'!$G$2:$G$501,"&lt;"&amp;J104,'Solicitacoes'!$N$2:$N$501,"&gt;"&amp;C104)+COUNTIFS('Solicitacoes'!$F$2:$F$501,B104,'Solicitacoes'!$E$2:$E$501,A104,'Solicitacoes'!$I$2:$I$501,"confirmado",'Solicitacoes'!$G$2:$G$501,"&lt;"&amp;J104,'Solicitacoes'!$N$2:$N$501,"&gt;"&amp;C104)&gt;0,"Ocupado","Disponível"))))</x:f>
        <x:v>Revisar escala</x:v>
      </x:c>
      <x:c r="N104" s="2" t="n">
        <x:f>IF(A104="","",ROW()-1)</x:f>
        <x:v>103</x:v>
      </x:c>
    </x:row>
    <x:row r="105" ht="24" customHeight="1">
      <x:c r="A105" s="13" t="str">
        <x:v>Géssyca Martins</x:v>
      </x:c>
      <x:c r="B105" s="14" t="d">
        <x:v>2026-10-09T00:00:00.000Z</x:v>
      </x:c>
      <x:c r="C105" s="26" t="n">
        <x:v>0.6666666666666666</x:v>
      </x:c>
      <x:c r="D105" s="13" t="str">
        <x:v>presencial</x:v>
      </x:c>
      <x:c r="E105" s="13" t="str">
        <x:v>não</x:v>
      </x:c>
      <x:c r="F105" s="13" t="str">
        <x:v>Sala 2</x:v>
      </x:c>
      <x:c r="G105" s="12" t="n">
        <x:f>IF(A105="","",'Agenda'!$B$5)</x:f>
        <x:v>50</x:v>
      </x:c>
      <x:c r="H105" s="12" t="n">
        <x:f>IF(A105="","",'Agenda'!$B$6)</x:f>
        <x:v>10</x:v>
      </x:c>
      <x:c r="I105" s="24" t="n">
        <x:f>IF(A105="","",C105+G105/1440)</x:f>
        <x:v>0.7013888888888888</x:v>
      </x:c>
      <x:c r="J105" s="24" t="n">
        <x:f>IF(A105="","",C105+(G105+H105)/1440)</x:f>
        <x:v>0.7083333333333333</x:v>
      </x:c>
      <x:c r="K105" s="27" t="n">
        <x:f>IF(A105="","",IF(E105&lt;&gt;"sim",0,COUNTIFS($B$2:$B$501,B105,$F$2:$F$501,F105,$E$2:$E$501,"sim",$C$2:$C$501,"&lt;"&amp;J105,$J$2:$J$501,"&gt;"&amp;C105)-1))</x:f>
        <x:v>0</x:v>
      </x:c>
      <x:c r="L105" s="27" t="n">
        <x:f>IF(A105="","",IF(E105&lt;&gt;"sim",0,COUNTIFS($B$2:$B$501,B105,$A$2:$A$501,A105,$E$2:$E$501,"sim",$C$2:$C$501,"&lt;"&amp;J105,$J$2:$J$501,"&gt;"&amp;C105)-1))</x:f>
        <x:v>0</x:v>
      </x:c>
      <x:c r="M105" s="2" t="str">
        <x:f>IF(A105="","",IF(E105&lt;&gt;"sim","Revisar escala",IF(OR(K105&gt;0,L105&gt;0),"Conflito de escala",IF(COUNTIFS('Solicitacoes'!$F$2:$F$501,B105,'Solicitacoes'!$K$2:$K$501,F105,'Solicitacoes'!$I$2:$I$501,"pendente",'Solicitacoes'!$G$2:$G$501,"&lt;"&amp;J105,'Solicitacoes'!$N$2:$N$501,"&gt;"&amp;C105)+COUNTIFS('Solicitacoes'!$F$2:$F$501,B105,'Solicitacoes'!$E$2:$E$501,A105,'Solicitacoes'!$I$2:$I$501,"pendente",'Solicitacoes'!$G$2:$G$501,"&lt;"&amp;J105,'Solicitacoes'!$N$2:$N$501,"&gt;"&amp;C105)+COUNTIFS('Solicitacoes'!$F$2:$F$501,B105,'Solicitacoes'!$K$2:$K$501,F105,'Solicitacoes'!$I$2:$I$501,"confirmado",'Solicitacoes'!$G$2:$G$501,"&lt;"&amp;J105,'Solicitacoes'!$N$2:$N$501,"&gt;"&amp;C105)+COUNTIFS('Solicitacoes'!$F$2:$F$501,B105,'Solicitacoes'!$E$2:$E$501,A105,'Solicitacoes'!$I$2:$I$501,"confirmado",'Solicitacoes'!$G$2:$G$501,"&lt;"&amp;J105,'Solicitacoes'!$N$2:$N$501,"&gt;"&amp;C105)&gt;0,"Ocupado","Disponível"))))</x:f>
        <x:v>Revisar escala</x:v>
      </x:c>
      <x:c r="N105" s="2" t="n">
        <x:f>IF(A105="","",ROW()-1)</x:f>
        <x:v>104</x:v>
      </x:c>
    </x:row>
    <x:row r="106" ht="24" customHeight="1">
      <x:c r="A106" s="13" t="str">
        <x:v>Aline Reis</x:v>
      </x:c>
      <x:c r="B106" s="14" t="d">
        <x:v>2026-10-09T00:00:00.000Z</x:v>
      </x:c>
      <x:c r="C106" s="26" t="n">
        <x:v>0.7083333333333334</x:v>
      </x:c>
      <x:c r="D106" s="13" t="str">
        <x:v>presencial</x:v>
      </x:c>
      <x:c r="E106" s="13" t="str">
        <x:v>não</x:v>
      </x:c>
      <x:c r="F106" s="13" t="str">
        <x:v>Sala 1</x:v>
      </x:c>
      <x:c r="G106" s="12" t="n">
        <x:f>IF(A106="","",'Agenda'!$B$5)</x:f>
        <x:v>50</x:v>
      </x:c>
      <x:c r="H106" s="12" t="n">
        <x:f>IF(A106="","",'Agenda'!$B$6)</x:f>
        <x:v>10</x:v>
      </x:c>
      <x:c r="I106" s="24" t="n">
        <x:f>IF(A106="","",C106+G106/1440)</x:f>
        <x:v>0.7430555555555556</x:v>
      </x:c>
      <x:c r="J106" s="24" t="n">
        <x:f>IF(A106="","",C106+(G106+H106)/1440)</x:f>
        <x:v>0.75</x:v>
      </x:c>
      <x:c r="K106" s="27" t="n">
        <x:f>IF(A106="","",IF(E106&lt;&gt;"sim",0,COUNTIFS($B$2:$B$501,B106,$F$2:$F$501,F106,$E$2:$E$501,"sim",$C$2:$C$501,"&lt;"&amp;J106,$J$2:$J$501,"&gt;"&amp;C106)-1))</x:f>
        <x:v>0</x:v>
      </x:c>
      <x:c r="L106" s="27" t="n">
        <x:f>IF(A106="","",IF(E106&lt;&gt;"sim",0,COUNTIFS($B$2:$B$501,B106,$A$2:$A$501,A106,$E$2:$E$501,"sim",$C$2:$C$501,"&lt;"&amp;J106,$J$2:$J$501,"&gt;"&amp;C106)-1))</x:f>
        <x:v>0</x:v>
      </x:c>
      <x:c r="M106" s="2" t="str">
        <x:f>IF(A106="","",IF(E106&lt;&gt;"sim","Revisar escala",IF(OR(K106&gt;0,L106&gt;0),"Conflito de escala",IF(COUNTIFS('Solicitacoes'!$F$2:$F$501,B106,'Solicitacoes'!$K$2:$K$501,F106,'Solicitacoes'!$I$2:$I$501,"pendente",'Solicitacoes'!$G$2:$G$501,"&lt;"&amp;J106,'Solicitacoes'!$N$2:$N$501,"&gt;"&amp;C106)+COUNTIFS('Solicitacoes'!$F$2:$F$501,B106,'Solicitacoes'!$E$2:$E$501,A106,'Solicitacoes'!$I$2:$I$501,"pendente",'Solicitacoes'!$G$2:$G$501,"&lt;"&amp;J106,'Solicitacoes'!$N$2:$N$501,"&gt;"&amp;C106)+COUNTIFS('Solicitacoes'!$F$2:$F$501,B106,'Solicitacoes'!$K$2:$K$501,F106,'Solicitacoes'!$I$2:$I$501,"confirmado",'Solicitacoes'!$G$2:$G$501,"&lt;"&amp;J106,'Solicitacoes'!$N$2:$N$501,"&gt;"&amp;C106)+COUNTIFS('Solicitacoes'!$F$2:$F$501,B106,'Solicitacoes'!$E$2:$E$501,A106,'Solicitacoes'!$I$2:$I$501,"confirmado",'Solicitacoes'!$G$2:$G$501,"&lt;"&amp;J106,'Solicitacoes'!$N$2:$N$501,"&gt;"&amp;C106)&gt;0,"Ocupado","Disponível"))))</x:f>
        <x:v>Revisar escala</x:v>
      </x:c>
      <x:c r="N106" s="2" t="n">
        <x:f>IF(A106="","",ROW()-1)</x:f>
        <x:v>105</x:v>
      </x:c>
    </x:row>
    <x:row r="107" ht="24" customHeight="1">
      <x:c r="A107" s="13" t="str">
        <x:v>Géssyca Martins</x:v>
      </x:c>
      <x:c r="B107" s="14" t="d">
        <x:v>2026-10-09T00:00:00.000Z</x:v>
      </x:c>
      <x:c r="C107" s="26" t="n">
        <x:v>0.7083333333333334</x:v>
      </x:c>
      <x:c r="D107" s="13" t="str">
        <x:v>presencial</x:v>
      </x:c>
      <x:c r="E107" s="13" t="str">
        <x:v>não</x:v>
      </x:c>
      <x:c r="F107" s="13" t="str">
        <x:v>Sala 2</x:v>
      </x:c>
      <x:c r="G107" s="12" t="n">
        <x:f>IF(A107="","",'Agenda'!$B$5)</x:f>
        <x:v>50</x:v>
      </x:c>
      <x:c r="H107" s="12" t="n">
        <x:f>IF(A107="","",'Agenda'!$B$6)</x:f>
        <x:v>10</x:v>
      </x:c>
      <x:c r="I107" s="24" t="n">
        <x:f>IF(A107="","",C107+G107/1440)</x:f>
        <x:v>0.7430555555555556</x:v>
      </x:c>
      <x:c r="J107" s="24" t="n">
        <x:f>IF(A107="","",C107+(G107+H107)/1440)</x:f>
        <x:v>0.75</x:v>
      </x:c>
      <x:c r="K107" s="27" t="n">
        <x:f>IF(A107="","",IF(E107&lt;&gt;"sim",0,COUNTIFS($B$2:$B$501,B107,$F$2:$F$501,F107,$E$2:$E$501,"sim",$C$2:$C$501,"&lt;"&amp;J107,$J$2:$J$501,"&gt;"&amp;C107)-1))</x:f>
        <x:v>0</x:v>
      </x:c>
      <x:c r="L107" s="27" t="n">
        <x:f>IF(A107="","",IF(E107&lt;&gt;"sim",0,COUNTIFS($B$2:$B$501,B107,$A$2:$A$501,A107,$E$2:$E$501,"sim",$C$2:$C$501,"&lt;"&amp;J107,$J$2:$J$501,"&gt;"&amp;C107)-1))</x:f>
        <x:v>0</x:v>
      </x:c>
      <x:c r="M107" s="2" t="str">
        <x:f>IF(A107="","",IF(E107&lt;&gt;"sim","Revisar escala",IF(OR(K107&gt;0,L107&gt;0),"Conflito de escala",IF(COUNTIFS('Solicitacoes'!$F$2:$F$501,B107,'Solicitacoes'!$K$2:$K$501,F107,'Solicitacoes'!$I$2:$I$501,"pendente",'Solicitacoes'!$G$2:$G$501,"&lt;"&amp;J107,'Solicitacoes'!$N$2:$N$501,"&gt;"&amp;C107)+COUNTIFS('Solicitacoes'!$F$2:$F$501,B107,'Solicitacoes'!$E$2:$E$501,A107,'Solicitacoes'!$I$2:$I$501,"pendente",'Solicitacoes'!$G$2:$G$501,"&lt;"&amp;J107,'Solicitacoes'!$N$2:$N$501,"&gt;"&amp;C107)+COUNTIFS('Solicitacoes'!$F$2:$F$501,B107,'Solicitacoes'!$K$2:$K$501,F107,'Solicitacoes'!$I$2:$I$501,"confirmado",'Solicitacoes'!$G$2:$G$501,"&lt;"&amp;J107,'Solicitacoes'!$N$2:$N$501,"&gt;"&amp;C107)+COUNTIFS('Solicitacoes'!$F$2:$F$501,B107,'Solicitacoes'!$E$2:$E$501,A107,'Solicitacoes'!$I$2:$I$501,"confirmado",'Solicitacoes'!$G$2:$G$501,"&lt;"&amp;J107,'Solicitacoes'!$N$2:$N$501,"&gt;"&amp;C107)&gt;0,"Ocupado","Disponível"))))</x:f>
        <x:v>Revisar escala</x:v>
      </x:c>
      <x:c r="N107" s="2" t="n">
        <x:f>IF(A107="","",ROW()-1)</x:f>
        <x:v>106</x:v>
      </x:c>
    </x:row>
    <x:row r="108" ht="24" customHeight="1">
      <x:c r="A108" s="13" t="str">
        <x:v>Aline Reis</x:v>
      </x:c>
      <x:c r="B108" s="14" t="d">
        <x:v>2026-10-09T00:00:00.000Z</x:v>
      </x:c>
      <x:c r="C108" s="26" t="n">
        <x:v>0.75</x:v>
      </x:c>
      <x:c r="D108" s="13" t="str">
        <x:v>presencial</x:v>
      </x:c>
      <x:c r="E108" s="13" t="str">
        <x:v>não</x:v>
      </x:c>
      <x:c r="F108" s="13" t="str">
        <x:v>Sala 1</x:v>
      </x:c>
      <x:c r="G108" s="12" t="n">
        <x:f>IF(A108="","",'Agenda'!$B$5)</x:f>
        <x:v>50</x:v>
      </x:c>
      <x:c r="H108" s="12" t="n">
        <x:f>IF(A108="","",'Agenda'!$B$6)</x:f>
        <x:v>10</x:v>
      </x:c>
      <x:c r="I108" s="24" t="n">
        <x:f>IF(A108="","",C108+G108/1440)</x:f>
        <x:v>0.7847222222222222</x:v>
      </x:c>
      <x:c r="J108" s="24" t="n">
        <x:f>IF(A108="","",C108+(G108+H108)/1440)</x:f>
        <x:v>0.7916666666666666</x:v>
      </x:c>
      <x:c r="K108" s="27" t="n">
        <x:f>IF(A108="","",IF(E108&lt;&gt;"sim",0,COUNTIFS($B$2:$B$501,B108,$F$2:$F$501,F108,$E$2:$E$501,"sim",$C$2:$C$501,"&lt;"&amp;J108,$J$2:$J$501,"&gt;"&amp;C108)-1))</x:f>
        <x:v>0</x:v>
      </x:c>
      <x:c r="L108" s="27" t="n">
        <x:f>IF(A108="","",IF(E108&lt;&gt;"sim",0,COUNTIFS($B$2:$B$501,B108,$A$2:$A$501,A108,$E$2:$E$501,"sim",$C$2:$C$501,"&lt;"&amp;J108,$J$2:$J$501,"&gt;"&amp;C108)-1))</x:f>
        <x:v>0</x:v>
      </x:c>
      <x:c r="M108" s="2" t="str">
        <x:f>IF(A108="","",IF(E108&lt;&gt;"sim","Revisar escala",IF(OR(K108&gt;0,L108&gt;0),"Conflito de escala",IF(COUNTIFS('Solicitacoes'!$F$2:$F$501,B108,'Solicitacoes'!$K$2:$K$501,F108,'Solicitacoes'!$I$2:$I$501,"pendente",'Solicitacoes'!$G$2:$G$501,"&lt;"&amp;J108,'Solicitacoes'!$N$2:$N$501,"&gt;"&amp;C108)+COUNTIFS('Solicitacoes'!$F$2:$F$501,B108,'Solicitacoes'!$E$2:$E$501,A108,'Solicitacoes'!$I$2:$I$501,"pendente",'Solicitacoes'!$G$2:$G$501,"&lt;"&amp;J108,'Solicitacoes'!$N$2:$N$501,"&gt;"&amp;C108)+COUNTIFS('Solicitacoes'!$F$2:$F$501,B108,'Solicitacoes'!$K$2:$K$501,F108,'Solicitacoes'!$I$2:$I$501,"confirmado",'Solicitacoes'!$G$2:$G$501,"&lt;"&amp;J108,'Solicitacoes'!$N$2:$N$501,"&gt;"&amp;C108)+COUNTIFS('Solicitacoes'!$F$2:$F$501,B108,'Solicitacoes'!$E$2:$E$501,A108,'Solicitacoes'!$I$2:$I$501,"confirmado",'Solicitacoes'!$G$2:$G$501,"&lt;"&amp;J108,'Solicitacoes'!$N$2:$N$501,"&gt;"&amp;C108)&gt;0,"Ocupado","Disponível"))))</x:f>
        <x:v>Revisar escala</x:v>
      </x:c>
      <x:c r="N108" s="2" t="n">
        <x:f>IF(A108="","",ROW()-1)</x:f>
        <x:v>107</x:v>
      </x:c>
    </x:row>
    <x:row r="109" ht="24" customHeight="1">
      <x:c r="A109" s="13" t="str">
        <x:v>Géssyca Martins</x:v>
      </x:c>
      <x:c r="B109" s="14" t="d">
        <x:v>2026-10-09T00:00:00.000Z</x:v>
      </x:c>
      <x:c r="C109" s="26" t="n">
        <x:v>0.75</x:v>
      </x:c>
      <x:c r="D109" s="13" t="str">
        <x:v>presencial</x:v>
      </x:c>
      <x:c r="E109" s="13" t="str">
        <x:v>não</x:v>
      </x:c>
      <x:c r="F109" s="13" t="str">
        <x:v>Sala 2</x:v>
      </x:c>
      <x:c r="G109" s="12" t="n">
        <x:f>IF(A109="","",'Agenda'!$B$5)</x:f>
        <x:v>50</x:v>
      </x:c>
      <x:c r="H109" s="12" t="n">
        <x:f>IF(A109="","",'Agenda'!$B$6)</x:f>
        <x:v>10</x:v>
      </x:c>
      <x:c r="I109" s="24" t="n">
        <x:f>IF(A109="","",C109+G109/1440)</x:f>
        <x:v>0.7847222222222222</x:v>
      </x:c>
      <x:c r="J109" s="24" t="n">
        <x:f>IF(A109="","",C109+(G109+H109)/1440)</x:f>
        <x:v>0.7916666666666666</x:v>
      </x:c>
      <x:c r="K109" s="27" t="n">
        <x:f>IF(A109="","",IF(E109&lt;&gt;"sim",0,COUNTIFS($B$2:$B$501,B109,$F$2:$F$501,F109,$E$2:$E$501,"sim",$C$2:$C$501,"&lt;"&amp;J109,$J$2:$J$501,"&gt;"&amp;C109)-1))</x:f>
        <x:v>0</x:v>
      </x:c>
      <x:c r="L109" s="27" t="n">
        <x:f>IF(A109="","",IF(E109&lt;&gt;"sim",0,COUNTIFS($B$2:$B$501,B109,$A$2:$A$501,A109,$E$2:$E$501,"sim",$C$2:$C$501,"&lt;"&amp;J109,$J$2:$J$501,"&gt;"&amp;C109)-1))</x:f>
        <x:v>0</x:v>
      </x:c>
      <x:c r="M109" s="2" t="str">
        <x:f>IF(A109="","",IF(E109&lt;&gt;"sim","Revisar escala",IF(OR(K109&gt;0,L109&gt;0),"Conflito de escala",IF(COUNTIFS('Solicitacoes'!$F$2:$F$501,B109,'Solicitacoes'!$K$2:$K$501,F109,'Solicitacoes'!$I$2:$I$501,"pendente",'Solicitacoes'!$G$2:$G$501,"&lt;"&amp;J109,'Solicitacoes'!$N$2:$N$501,"&gt;"&amp;C109)+COUNTIFS('Solicitacoes'!$F$2:$F$501,B109,'Solicitacoes'!$E$2:$E$501,A109,'Solicitacoes'!$I$2:$I$501,"pendente",'Solicitacoes'!$G$2:$G$501,"&lt;"&amp;J109,'Solicitacoes'!$N$2:$N$501,"&gt;"&amp;C109)+COUNTIFS('Solicitacoes'!$F$2:$F$501,B109,'Solicitacoes'!$K$2:$K$501,F109,'Solicitacoes'!$I$2:$I$501,"confirmado",'Solicitacoes'!$G$2:$G$501,"&lt;"&amp;J109,'Solicitacoes'!$N$2:$N$501,"&gt;"&amp;C109)+COUNTIFS('Solicitacoes'!$F$2:$F$501,B109,'Solicitacoes'!$E$2:$E$501,A109,'Solicitacoes'!$I$2:$I$501,"confirmado",'Solicitacoes'!$G$2:$G$501,"&lt;"&amp;J109,'Solicitacoes'!$N$2:$N$501,"&gt;"&amp;C109)&gt;0,"Ocupado","Disponível"))))</x:f>
        <x:v>Revisar escala</x:v>
      </x:c>
      <x:c r="N109" s="2" t="n">
        <x:f>IF(A109="","",ROW()-1)</x:f>
        <x:v>108</x:v>
      </x:c>
    </x:row>
    <x:row r="110" ht="24" customHeight="1">
      <x:c r="A110" s="13" t="str">
        <x:v>Aline Reis</x:v>
      </x:c>
      <x:c r="B110" s="14" t="d">
        <x:v>2026-10-09T00:00:00.000Z</x:v>
      </x:c>
      <x:c r="C110" s="26" t="n">
        <x:v>0.7916666666666666</x:v>
      </x:c>
      <x:c r="D110" s="13" t="str">
        <x:v>presencial</x:v>
      </x:c>
      <x:c r="E110" s="13" t="str">
        <x:v>não</x:v>
      </x:c>
      <x:c r="F110" s="13" t="str">
        <x:v>Sala 1</x:v>
      </x:c>
      <x:c r="G110" s="12" t="n">
        <x:f>IF(A110="","",'Agenda'!$B$5)</x:f>
        <x:v>50</x:v>
      </x:c>
      <x:c r="H110" s="12" t="n">
        <x:f>IF(A110="","",'Agenda'!$B$6)</x:f>
        <x:v>10</x:v>
      </x:c>
      <x:c r="I110" s="24" t="n">
        <x:f>IF(A110="","",C110+G110/1440)</x:f>
        <x:v>0.8263888888888888</x:v>
      </x:c>
      <x:c r="J110" s="24" t="n">
        <x:f>IF(A110="","",C110+(G110+H110)/1440)</x:f>
        <x:v>0.8333333333333333</x:v>
      </x:c>
      <x:c r="K110" s="27" t="n">
        <x:f>IF(A110="","",IF(E110&lt;&gt;"sim",0,COUNTIFS($B$2:$B$501,B110,$F$2:$F$501,F110,$E$2:$E$501,"sim",$C$2:$C$501,"&lt;"&amp;J110,$J$2:$J$501,"&gt;"&amp;C110)-1))</x:f>
        <x:v>0</x:v>
      </x:c>
      <x:c r="L110" s="27" t="n">
        <x:f>IF(A110="","",IF(E110&lt;&gt;"sim",0,COUNTIFS($B$2:$B$501,B110,$A$2:$A$501,A110,$E$2:$E$501,"sim",$C$2:$C$501,"&lt;"&amp;J110,$J$2:$J$501,"&gt;"&amp;C110)-1))</x:f>
        <x:v>0</x:v>
      </x:c>
      <x:c r="M110" s="2" t="str">
        <x:f>IF(A110="","",IF(E110&lt;&gt;"sim","Revisar escala",IF(OR(K110&gt;0,L110&gt;0),"Conflito de escala",IF(COUNTIFS('Solicitacoes'!$F$2:$F$501,B110,'Solicitacoes'!$K$2:$K$501,F110,'Solicitacoes'!$I$2:$I$501,"pendente",'Solicitacoes'!$G$2:$G$501,"&lt;"&amp;J110,'Solicitacoes'!$N$2:$N$501,"&gt;"&amp;C110)+COUNTIFS('Solicitacoes'!$F$2:$F$501,B110,'Solicitacoes'!$E$2:$E$501,A110,'Solicitacoes'!$I$2:$I$501,"pendente",'Solicitacoes'!$G$2:$G$501,"&lt;"&amp;J110,'Solicitacoes'!$N$2:$N$501,"&gt;"&amp;C110)+COUNTIFS('Solicitacoes'!$F$2:$F$501,B110,'Solicitacoes'!$K$2:$K$501,F110,'Solicitacoes'!$I$2:$I$501,"confirmado",'Solicitacoes'!$G$2:$G$501,"&lt;"&amp;J110,'Solicitacoes'!$N$2:$N$501,"&gt;"&amp;C110)+COUNTIFS('Solicitacoes'!$F$2:$F$501,B110,'Solicitacoes'!$E$2:$E$501,A110,'Solicitacoes'!$I$2:$I$501,"confirmado",'Solicitacoes'!$G$2:$G$501,"&lt;"&amp;J110,'Solicitacoes'!$N$2:$N$501,"&gt;"&amp;C110)&gt;0,"Ocupado","Disponível"))))</x:f>
        <x:v>Revisar escala</x:v>
      </x:c>
      <x:c r="N110" s="2" t="n">
        <x:f>IF(A110="","",ROW()-1)</x:f>
        <x:v>109</x:v>
      </x:c>
    </x:row>
    <x:row r="111" ht="24" customHeight="1">
      <x:c r="A111" s="13" t="str">
        <x:v>Géssyca Martins</x:v>
      </x:c>
      <x:c r="B111" s="14" t="d">
        <x:v>2026-10-09T00:00:00.000Z</x:v>
      </x:c>
      <x:c r="C111" s="26" t="n">
        <x:v>0.7916666666666666</x:v>
      </x:c>
      <x:c r="D111" s="13" t="str">
        <x:v>presencial</x:v>
      </x:c>
      <x:c r="E111" s="13" t="str">
        <x:v>não</x:v>
      </x:c>
      <x:c r="F111" s="13" t="str">
        <x:v>Sala 2</x:v>
      </x:c>
      <x:c r="G111" s="12" t="n">
        <x:f>IF(A111="","",'Agenda'!$B$5)</x:f>
        <x:v>50</x:v>
      </x:c>
      <x:c r="H111" s="12" t="n">
        <x:f>IF(A111="","",'Agenda'!$B$6)</x:f>
        <x:v>10</x:v>
      </x:c>
      <x:c r="I111" s="24" t="n">
        <x:f>IF(A111="","",C111+G111/1440)</x:f>
        <x:v>0.8263888888888888</x:v>
      </x:c>
      <x:c r="J111" s="24" t="n">
        <x:f>IF(A111="","",C111+(G111+H111)/1440)</x:f>
        <x:v>0.8333333333333333</x:v>
      </x:c>
      <x:c r="K111" s="27" t="n">
        <x:f>IF(A111="","",IF(E111&lt;&gt;"sim",0,COUNTIFS($B$2:$B$501,B111,$F$2:$F$501,F111,$E$2:$E$501,"sim",$C$2:$C$501,"&lt;"&amp;J111,$J$2:$J$501,"&gt;"&amp;C111)-1))</x:f>
        <x:v>0</x:v>
      </x:c>
      <x:c r="L111" s="27" t="n">
        <x:f>IF(A111="","",IF(E111&lt;&gt;"sim",0,COUNTIFS($B$2:$B$501,B111,$A$2:$A$501,A111,$E$2:$E$501,"sim",$C$2:$C$501,"&lt;"&amp;J111,$J$2:$J$501,"&gt;"&amp;C111)-1))</x:f>
        <x:v>0</x:v>
      </x:c>
      <x:c r="M111" s="2" t="str">
        <x:f>IF(A111="","",IF(E111&lt;&gt;"sim","Revisar escala",IF(OR(K111&gt;0,L111&gt;0),"Conflito de escala",IF(COUNTIFS('Solicitacoes'!$F$2:$F$501,B111,'Solicitacoes'!$K$2:$K$501,F111,'Solicitacoes'!$I$2:$I$501,"pendente",'Solicitacoes'!$G$2:$G$501,"&lt;"&amp;J111,'Solicitacoes'!$N$2:$N$501,"&gt;"&amp;C111)+COUNTIFS('Solicitacoes'!$F$2:$F$501,B111,'Solicitacoes'!$E$2:$E$501,A111,'Solicitacoes'!$I$2:$I$501,"pendente",'Solicitacoes'!$G$2:$G$501,"&lt;"&amp;J111,'Solicitacoes'!$N$2:$N$501,"&gt;"&amp;C111)+COUNTIFS('Solicitacoes'!$F$2:$F$501,B111,'Solicitacoes'!$K$2:$K$501,F111,'Solicitacoes'!$I$2:$I$501,"confirmado",'Solicitacoes'!$G$2:$G$501,"&lt;"&amp;J111,'Solicitacoes'!$N$2:$N$501,"&gt;"&amp;C111)+COUNTIFS('Solicitacoes'!$F$2:$F$501,B111,'Solicitacoes'!$E$2:$E$501,A111,'Solicitacoes'!$I$2:$I$501,"confirmado",'Solicitacoes'!$G$2:$G$501,"&lt;"&amp;J111,'Solicitacoes'!$N$2:$N$501,"&gt;"&amp;C111)&gt;0,"Ocupado","Disponível"))))</x:f>
        <x:v>Revisar escala</x:v>
      </x:c>
      <x:c r="N111" s="2" t="n">
        <x:f>IF(A111="","",ROW()-1)</x:f>
        <x:v>110</x:v>
      </x:c>
    </x:row>
    <x:row r="112" ht="24" customHeight="1">
      <x:c r="A112" s="13" t="str">
        <x:v>Laura Casanova</x:v>
      </x:c>
      <x:c r="B112" s="14" t="d">
        <x:v>2026-10-12T00:00:00.000Z</x:v>
      </x:c>
      <x:c r="C112" s="26" t="n">
        <x:v>0.375</x:v>
      </x:c>
      <x:c r="D112" s="13" t="str">
        <x:v>presencial</x:v>
      </x:c>
      <x:c r="E112" s="13" t="str">
        <x:v>não</x:v>
      </x:c>
      <x:c r="F112" s="13" t="str">
        <x:v>Sala 1</x:v>
      </x:c>
      <x:c r="G112" s="12" t="n">
        <x:f>IF(A112="","",'Agenda'!$B$5)</x:f>
        <x:v>50</x:v>
      </x:c>
      <x:c r="H112" s="12" t="n">
        <x:f>IF(A112="","",'Agenda'!$B$6)</x:f>
        <x:v>10</x:v>
      </x:c>
      <x:c r="I112" s="24" t="n">
        <x:f>IF(A112="","",C112+G112/1440)</x:f>
        <x:v>0.4097222222222222</x:v>
      </x:c>
      <x:c r="J112" s="24" t="n">
        <x:f>IF(A112="","",C112+(G112+H112)/1440)</x:f>
        <x:v>0.4166666666666667</x:v>
      </x:c>
      <x:c r="K112" s="27" t="n">
        <x:f>IF(A112="","",IF(E112&lt;&gt;"sim",0,COUNTIFS($B$2:$B$501,B112,$F$2:$F$501,F112,$E$2:$E$501,"sim",$C$2:$C$501,"&lt;"&amp;J112,$J$2:$J$501,"&gt;"&amp;C112)-1))</x:f>
        <x:v>0</x:v>
      </x:c>
      <x:c r="L112" s="27" t="n">
        <x:f>IF(A112="","",IF(E112&lt;&gt;"sim",0,COUNTIFS($B$2:$B$501,B112,$A$2:$A$501,A112,$E$2:$E$501,"sim",$C$2:$C$501,"&lt;"&amp;J112,$J$2:$J$501,"&gt;"&amp;C112)-1))</x:f>
        <x:v>0</x:v>
      </x:c>
      <x:c r="M112" s="2" t="str">
        <x:f>IF(A112="","",IF(E112&lt;&gt;"sim","Revisar escala",IF(OR(K112&gt;0,L112&gt;0),"Conflito de escala",IF(COUNTIFS('Solicitacoes'!$F$2:$F$501,B112,'Solicitacoes'!$K$2:$K$501,F112,'Solicitacoes'!$I$2:$I$501,"pendente",'Solicitacoes'!$G$2:$G$501,"&lt;"&amp;J112,'Solicitacoes'!$N$2:$N$501,"&gt;"&amp;C112)+COUNTIFS('Solicitacoes'!$F$2:$F$501,B112,'Solicitacoes'!$E$2:$E$501,A112,'Solicitacoes'!$I$2:$I$501,"pendente",'Solicitacoes'!$G$2:$G$501,"&lt;"&amp;J112,'Solicitacoes'!$N$2:$N$501,"&gt;"&amp;C112)+COUNTIFS('Solicitacoes'!$F$2:$F$501,B112,'Solicitacoes'!$K$2:$K$501,F112,'Solicitacoes'!$I$2:$I$501,"confirmado",'Solicitacoes'!$G$2:$G$501,"&lt;"&amp;J112,'Solicitacoes'!$N$2:$N$501,"&gt;"&amp;C112)+COUNTIFS('Solicitacoes'!$F$2:$F$501,B112,'Solicitacoes'!$E$2:$E$501,A112,'Solicitacoes'!$I$2:$I$501,"confirmado",'Solicitacoes'!$G$2:$G$501,"&lt;"&amp;J112,'Solicitacoes'!$N$2:$N$501,"&gt;"&amp;C112)&gt;0,"Ocupado","Disponível"))))</x:f>
        <x:v>Revisar escala</x:v>
      </x:c>
      <x:c r="N112" s="2" t="n">
        <x:f>IF(A112="","",ROW()-1)</x:f>
        <x:v>111</x:v>
      </x:c>
    </x:row>
    <x:row r="113" ht="24" customHeight="1">
      <x:c r="A113" s="13" t="str">
        <x:v>Aline Reis</x:v>
      </x:c>
      <x:c r="B113" s="14" t="d">
        <x:v>2026-10-12T00:00:00.000Z</x:v>
      </x:c>
      <x:c r="C113" s="26" t="n">
        <x:v>0.375</x:v>
      </x:c>
      <x:c r="D113" s="13" t="str">
        <x:v>presencial</x:v>
      </x:c>
      <x:c r="E113" s="13" t="str">
        <x:v>não</x:v>
      </x:c>
      <x:c r="F113" s="13" t="str">
        <x:v>Sala 2</x:v>
      </x:c>
      <x:c r="G113" s="12" t="n">
        <x:f>IF(A113="","",'Agenda'!$B$5)</x:f>
        <x:v>50</x:v>
      </x:c>
      <x:c r="H113" s="12" t="n">
        <x:f>IF(A113="","",'Agenda'!$B$6)</x:f>
        <x:v>10</x:v>
      </x:c>
      <x:c r="I113" s="24" t="n">
        <x:f>IF(A113="","",C113+G113/1440)</x:f>
        <x:v>0.4097222222222222</x:v>
      </x:c>
      <x:c r="J113" s="24" t="n">
        <x:f>IF(A113="","",C113+(G113+H113)/1440)</x:f>
        <x:v>0.4166666666666667</x:v>
      </x:c>
      <x:c r="K113" s="27" t="n">
        <x:f>IF(A113="","",IF(E113&lt;&gt;"sim",0,COUNTIFS($B$2:$B$501,B113,$F$2:$F$501,F113,$E$2:$E$501,"sim",$C$2:$C$501,"&lt;"&amp;J113,$J$2:$J$501,"&gt;"&amp;C113)-1))</x:f>
        <x:v>0</x:v>
      </x:c>
      <x:c r="L113" s="27" t="n">
        <x:f>IF(A113="","",IF(E113&lt;&gt;"sim",0,COUNTIFS($B$2:$B$501,B113,$A$2:$A$501,A113,$E$2:$E$501,"sim",$C$2:$C$501,"&lt;"&amp;J113,$J$2:$J$501,"&gt;"&amp;C113)-1))</x:f>
        <x:v>0</x:v>
      </x:c>
      <x:c r="M113" s="2" t="str">
        <x:f>IF(A113="","",IF(E113&lt;&gt;"sim","Revisar escala",IF(OR(K113&gt;0,L113&gt;0),"Conflito de escala",IF(COUNTIFS('Solicitacoes'!$F$2:$F$501,B113,'Solicitacoes'!$K$2:$K$501,F113,'Solicitacoes'!$I$2:$I$501,"pendente",'Solicitacoes'!$G$2:$G$501,"&lt;"&amp;J113,'Solicitacoes'!$N$2:$N$501,"&gt;"&amp;C113)+COUNTIFS('Solicitacoes'!$F$2:$F$501,B113,'Solicitacoes'!$E$2:$E$501,A113,'Solicitacoes'!$I$2:$I$501,"pendente",'Solicitacoes'!$G$2:$G$501,"&lt;"&amp;J113,'Solicitacoes'!$N$2:$N$501,"&gt;"&amp;C113)+COUNTIFS('Solicitacoes'!$F$2:$F$501,B113,'Solicitacoes'!$K$2:$K$501,F113,'Solicitacoes'!$I$2:$I$501,"confirmado",'Solicitacoes'!$G$2:$G$501,"&lt;"&amp;J113,'Solicitacoes'!$N$2:$N$501,"&gt;"&amp;C113)+COUNTIFS('Solicitacoes'!$F$2:$F$501,B113,'Solicitacoes'!$E$2:$E$501,A113,'Solicitacoes'!$I$2:$I$501,"confirmado",'Solicitacoes'!$G$2:$G$501,"&lt;"&amp;J113,'Solicitacoes'!$N$2:$N$501,"&gt;"&amp;C113)&gt;0,"Ocupado","Disponível"))))</x:f>
        <x:v>Revisar escala</x:v>
      </x:c>
      <x:c r="N113" s="2" t="n">
        <x:f>IF(A113="","",ROW()-1)</x:f>
        <x:v>112</x:v>
      </x:c>
    </x:row>
    <x:row r="114" ht="24" customHeight="1">
      <x:c r="A114" s="13" t="str">
        <x:v>Laura Casanova</x:v>
      </x:c>
      <x:c r="B114" s="14" t="d">
        <x:v>2026-10-12T00:00:00.000Z</x:v>
      </x:c>
      <x:c r="C114" s="26" t="n">
        <x:v>0.4166666666666667</x:v>
      </x:c>
      <x:c r="D114" s="13" t="str">
        <x:v>presencial</x:v>
      </x:c>
      <x:c r="E114" s="13" t="str">
        <x:v>não</x:v>
      </x:c>
      <x:c r="F114" s="13" t="str">
        <x:v>Sala 1</x:v>
      </x:c>
      <x:c r="G114" s="12" t="n">
        <x:f>IF(A114="","",'Agenda'!$B$5)</x:f>
        <x:v>50</x:v>
      </x:c>
      <x:c r="H114" s="12" t="n">
        <x:f>IF(A114="","",'Agenda'!$B$6)</x:f>
        <x:v>10</x:v>
      </x:c>
      <x:c r="I114" s="24" t="n">
        <x:f>IF(A114="","",C114+G114/1440)</x:f>
        <x:v>0.4513888888888889</x:v>
      </x:c>
      <x:c r="J114" s="24" t="n">
        <x:f>IF(A114="","",C114+(G114+H114)/1440)</x:f>
        <x:v>0.45833333333333337</x:v>
      </x:c>
      <x:c r="K114" s="27" t="n">
        <x:f>IF(A114="","",IF(E114&lt;&gt;"sim",0,COUNTIFS($B$2:$B$501,B114,$F$2:$F$501,F114,$E$2:$E$501,"sim",$C$2:$C$501,"&lt;"&amp;J114,$J$2:$J$501,"&gt;"&amp;C114)-1))</x:f>
        <x:v>0</x:v>
      </x:c>
      <x:c r="L114" s="27" t="n">
        <x:f>IF(A114="","",IF(E114&lt;&gt;"sim",0,COUNTIFS($B$2:$B$501,B114,$A$2:$A$501,A114,$E$2:$E$501,"sim",$C$2:$C$501,"&lt;"&amp;J114,$J$2:$J$501,"&gt;"&amp;C114)-1))</x:f>
        <x:v>0</x:v>
      </x:c>
      <x:c r="M114" s="2" t="str">
        <x:f>IF(A114="","",IF(E114&lt;&gt;"sim","Revisar escala",IF(OR(K114&gt;0,L114&gt;0),"Conflito de escala",IF(COUNTIFS('Solicitacoes'!$F$2:$F$501,B114,'Solicitacoes'!$K$2:$K$501,F114,'Solicitacoes'!$I$2:$I$501,"pendente",'Solicitacoes'!$G$2:$G$501,"&lt;"&amp;J114,'Solicitacoes'!$N$2:$N$501,"&gt;"&amp;C114)+COUNTIFS('Solicitacoes'!$F$2:$F$501,B114,'Solicitacoes'!$E$2:$E$501,A114,'Solicitacoes'!$I$2:$I$501,"pendente",'Solicitacoes'!$G$2:$G$501,"&lt;"&amp;J114,'Solicitacoes'!$N$2:$N$501,"&gt;"&amp;C114)+COUNTIFS('Solicitacoes'!$F$2:$F$501,B114,'Solicitacoes'!$K$2:$K$501,F114,'Solicitacoes'!$I$2:$I$501,"confirmado",'Solicitacoes'!$G$2:$G$501,"&lt;"&amp;J114,'Solicitacoes'!$N$2:$N$501,"&gt;"&amp;C114)+COUNTIFS('Solicitacoes'!$F$2:$F$501,B114,'Solicitacoes'!$E$2:$E$501,A114,'Solicitacoes'!$I$2:$I$501,"confirmado",'Solicitacoes'!$G$2:$G$501,"&lt;"&amp;J114,'Solicitacoes'!$N$2:$N$501,"&gt;"&amp;C114)&gt;0,"Ocupado","Disponível"))))</x:f>
        <x:v>Revisar escala</x:v>
      </x:c>
      <x:c r="N114" s="2" t="n">
        <x:f>IF(A114="","",ROW()-1)</x:f>
        <x:v>113</x:v>
      </x:c>
    </x:row>
    <x:row r="115" ht="24" customHeight="1">
      <x:c r="A115" s="13" t="str">
        <x:v>Aline Reis</x:v>
      </x:c>
      <x:c r="B115" s="14" t="d">
        <x:v>2026-10-12T00:00:00.000Z</x:v>
      </x:c>
      <x:c r="C115" s="26" t="n">
        <x:v>0.4166666666666667</x:v>
      </x:c>
      <x:c r="D115" s="13" t="str">
        <x:v>presencial</x:v>
      </x:c>
      <x:c r="E115" s="13" t="str">
        <x:v>não</x:v>
      </x:c>
      <x:c r="F115" s="13" t="str">
        <x:v>Sala 2</x:v>
      </x:c>
      <x:c r="G115" s="12" t="n">
        <x:f>IF(A115="","",'Agenda'!$B$5)</x:f>
        <x:v>50</x:v>
      </x:c>
      <x:c r="H115" s="12" t="n">
        <x:f>IF(A115="","",'Agenda'!$B$6)</x:f>
        <x:v>10</x:v>
      </x:c>
      <x:c r="I115" s="24" t="n">
        <x:f>IF(A115="","",C115+G115/1440)</x:f>
        <x:v>0.4513888888888889</x:v>
      </x:c>
      <x:c r="J115" s="24" t="n">
        <x:f>IF(A115="","",C115+(G115+H115)/1440)</x:f>
        <x:v>0.45833333333333337</x:v>
      </x:c>
      <x:c r="K115" s="27" t="n">
        <x:f>IF(A115="","",IF(E115&lt;&gt;"sim",0,COUNTIFS($B$2:$B$501,B115,$F$2:$F$501,F115,$E$2:$E$501,"sim",$C$2:$C$501,"&lt;"&amp;J115,$J$2:$J$501,"&gt;"&amp;C115)-1))</x:f>
        <x:v>0</x:v>
      </x:c>
      <x:c r="L115" s="27" t="n">
        <x:f>IF(A115="","",IF(E115&lt;&gt;"sim",0,COUNTIFS($B$2:$B$501,B115,$A$2:$A$501,A115,$E$2:$E$501,"sim",$C$2:$C$501,"&lt;"&amp;J115,$J$2:$J$501,"&gt;"&amp;C115)-1))</x:f>
        <x:v>0</x:v>
      </x:c>
      <x:c r="M115" s="2" t="str">
        <x:f>IF(A115="","",IF(E115&lt;&gt;"sim","Revisar escala",IF(OR(K115&gt;0,L115&gt;0),"Conflito de escala",IF(COUNTIFS('Solicitacoes'!$F$2:$F$501,B115,'Solicitacoes'!$K$2:$K$501,F115,'Solicitacoes'!$I$2:$I$501,"pendente",'Solicitacoes'!$G$2:$G$501,"&lt;"&amp;J115,'Solicitacoes'!$N$2:$N$501,"&gt;"&amp;C115)+COUNTIFS('Solicitacoes'!$F$2:$F$501,B115,'Solicitacoes'!$E$2:$E$501,A115,'Solicitacoes'!$I$2:$I$501,"pendente",'Solicitacoes'!$G$2:$G$501,"&lt;"&amp;J115,'Solicitacoes'!$N$2:$N$501,"&gt;"&amp;C115)+COUNTIFS('Solicitacoes'!$F$2:$F$501,B115,'Solicitacoes'!$K$2:$K$501,F115,'Solicitacoes'!$I$2:$I$501,"confirmado",'Solicitacoes'!$G$2:$G$501,"&lt;"&amp;J115,'Solicitacoes'!$N$2:$N$501,"&gt;"&amp;C115)+COUNTIFS('Solicitacoes'!$F$2:$F$501,B115,'Solicitacoes'!$E$2:$E$501,A115,'Solicitacoes'!$I$2:$I$501,"confirmado",'Solicitacoes'!$G$2:$G$501,"&lt;"&amp;J115,'Solicitacoes'!$N$2:$N$501,"&gt;"&amp;C115)&gt;0,"Ocupado","Disponível"))))</x:f>
        <x:v>Revisar escala</x:v>
      </x:c>
      <x:c r="N115" s="2" t="n">
        <x:f>IF(A115="","",ROW()-1)</x:f>
        <x:v>114</x:v>
      </x:c>
    </x:row>
    <x:row r="116" ht="24" customHeight="1">
      <x:c r="A116" s="13" t="str">
        <x:v>Laura Casanova</x:v>
      </x:c>
      <x:c r="B116" s="14" t="d">
        <x:v>2026-10-12T00:00:00.000Z</x:v>
      </x:c>
      <x:c r="C116" s="26" t="n">
        <x:v>0.4583333333333333</x:v>
      </x:c>
      <x:c r="D116" s="13" t="str">
        <x:v>presencial</x:v>
      </x:c>
      <x:c r="E116" s="13" t="str">
        <x:v>não</x:v>
      </x:c>
      <x:c r="F116" s="13" t="str">
        <x:v>Sala 1</x:v>
      </x:c>
      <x:c r="G116" s="12" t="n">
        <x:f>IF(A116="","",'Agenda'!$B$5)</x:f>
        <x:v>50</x:v>
      </x:c>
      <x:c r="H116" s="12" t="n">
        <x:f>IF(A116="","",'Agenda'!$B$6)</x:f>
        <x:v>10</x:v>
      </x:c>
      <x:c r="I116" s="24" t="n">
        <x:f>IF(A116="","",C116+G116/1440)</x:f>
        <x:v>0.4930555555555555</x:v>
      </x:c>
      <x:c r="J116" s="24" t="n">
        <x:f>IF(A116="","",C116+(G116+H116)/1440)</x:f>
        <x:v>0.5</x:v>
      </x:c>
      <x:c r="K116" s="27" t="n">
        <x:f>IF(A116="","",IF(E116&lt;&gt;"sim",0,COUNTIFS($B$2:$B$501,B116,$F$2:$F$501,F116,$E$2:$E$501,"sim",$C$2:$C$501,"&lt;"&amp;J116,$J$2:$J$501,"&gt;"&amp;C116)-1))</x:f>
        <x:v>0</x:v>
      </x:c>
      <x:c r="L116" s="27" t="n">
        <x:f>IF(A116="","",IF(E116&lt;&gt;"sim",0,COUNTIFS($B$2:$B$501,B116,$A$2:$A$501,A116,$E$2:$E$501,"sim",$C$2:$C$501,"&lt;"&amp;J116,$J$2:$J$501,"&gt;"&amp;C116)-1))</x:f>
        <x:v>0</x:v>
      </x:c>
      <x:c r="M116" s="2" t="str">
        <x:f>IF(A116="","",IF(E116&lt;&gt;"sim","Revisar escala",IF(OR(K116&gt;0,L116&gt;0),"Conflito de escala",IF(COUNTIFS('Solicitacoes'!$F$2:$F$501,B116,'Solicitacoes'!$K$2:$K$501,F116,'Solicitacoes'!$I$2:$I$501,"pendente",'Solicitacoes'!$G$2:$G$501,"&lt;"&amp;J116,'Solicitacoes'!$N$2:$N$501,"&gt;"&amp;C116)+COUNTIFS('Solicitacoes'!$F$2:$F$501,B116,'Solicitacoes'!$E$2:$E$501,A116,'Solicitacoes'!$I$2:$I$501,"pendente",'Solicitacoes'!$G$2:$G$501,"&lt;"&amp;J116,'Solicitacoes'!$N$2:$N$501,"&gt;"&amp;C116)+COUNTIFS('Solicitacoes'!$F$2:$F$501,B116,'Solicitacoes'!$K$2:$K$501,F116,'Solicitacoes'!$I$2:$I$501,"confirmado",'Solicitacoes'!$G$2:$G$501,"&lt;"&amp;J116,'Solicitacoes'!$N$2:$N$501,"&gt;"&amp;C116)+COUNTIFS('Solicitacoes'!$F$2:$F$501,B116,'Solicitacoes'!$E$2:$E$501,A116,'Solicitacoes'!$I$2:$I$501,"confirmado",'Solicitacoes'!$G$2:$G$501,"&lt;"&amp;J116,'Solicitacoes'!$N$2:$N$501,"&gt;"&amp;C116)&gt;0,"Ocupado","Disponível"))))</x:f>
        <x:v>Revisar escala</x:v>
      </x:c>
      <x:c r="N116" s="2" t="n">
        <x:f>IF(A116="","",ROW()-1)</x:f>
        <x:v>115</x:v>
      </x:c>
    </x:row>
    <x:row r="117" ht="24" customHeight="1">
      <x:c r="A117" s="13" t="str">
        <x:v>Aline Reis</x:v>
      </x:c>
      <x:c r="B117" s="14" t="d">
        <x:v>2026-10-12T00:00:00.000Z</x:v>
      </x:c>
      <x:c r="C117" s="26" t="n">
        <x:v>0.4583333333333333</x:v>
      </x:c>
      <x:c r="D117" s="13" t="str">
        <x:v>presencial</x:v>
      </x:c>
      <x:c r="E117" s="13" t="str">
        <x:v>não</x:v>
      </x:c>
      <x:c r="F117" s="13" t="str">
        <x:v>Sala 2</x:v>
      </x:c>
      <x:c r="G117" s="12" t="n">
        <x:f>IF(A117="","",'Agenda'!$B$5)</x:f>
        <x:v>50</x:v>
      </x:c>
      <x:c r="H117" s="12" t="n">
        <x:f>IF(A117="","",'Agenda'!$B$6)</x:f>
        <x:v>10</x:v>
      </x:c>
      <x:c r="I117" s="24" t="n">
        <x:f>IF(A117="","",C117+G117/1440)</x:f>
        <x:v>0.4930555555555555</x:v>
      </x:c>
      <x:c r="J117" s="24" t="n">
        <x:f>IF(A117="","",C117+(G117+H117)/1440)</x:f>
        <x:v>0.5</x:v>
      </x:c>
      <x:c r="K117" s="27" t="n">
        <x:f>IF(A117="","",IF(E117&lt;&gt;"sim",0,COUNTIFS($B$2:$B$501,B117,$F$2:$F$501,F117,$E$2:$E$501,"sim",$C$2:$C$501,"&lt;"&amp;J117,$J$2:$J$501,"&gt;"&amp;C117)-1))</x:f>
        <x:v>0</x:v>
      </x:c>
      <x:c r="L117" s="27" t="n">
        <x:f>IF(A117="","",IF(E117&lt;&gt;"sim",0,COUNTIFS($B$2:$B$501,B117,$A$2:$A$501,A117,$E$2:$E$501,"sim",$C$2:$C$501,"&lt;"&amp;J117,$J$2:$J$501,"&gt;"&amp;C117)-1))</x:f>
        <x:v>0</x:v>
      </x:c>
      <x:c r="M117" s="2" t="str">
        <x:f>IF(A117="","",IF(E117&lt;&gt;"sim","Revisar escala",IF(OR(K117&gt;0,L117&gt;0),"Conflito de escala",IF(COUNTIFS('Solicitacoes'!$F$2:$F$501,B117,'Solicitacoes'!$K$2:$K$501,F117,'Solicitacoes'!$I$2:$I$501,"pendente",'Solicitacoes'!$G$2:$G$501,"&lt;"&amp;J117,'Solicitacoes'!$N$2:$N$501,"&gt;"&amp;C117)+COUNTIFS('Solicitacoes'!$F$2:$F$501,B117,'Solicitacoes'!$E$2:$E$501,A117,'Solicitacoes'!$I$2:$I$501,"pendente",'Solicitacoes'!$G$2:$G$501,"&lt;"&amp;J117,'Solicitacoes'!$N$2:$N$501,"&gt;"&amp;C117)+COUNTIFS('Solicitacoes'!$F$2:$F$501,B117,'Solicitacoes'!$K$2:$K$501,F117,'Solicitacoes'!$I$2:$I$501,"confirmado",'Solicitacoes'!$G$2:$G$501,"&lt;"&amp;J117,'Solicitacoes'!$N$2:$N$501,"&gt;"&amp;C117)+COUNTIFS('Solicitacoes'!$F$2:$F$501,B117,'Solicitacoes'!$E$2:$E$501,A117,'Solicitacoes'!$I$2:$I$501,"confirmado",'Solicitacoes'!$G$2:$G$501,"&lt;"&amp;J117,'Solicitacoes'!$N$2:$N$501,"&gt;"&amp;C117)&gt;0,"Ocupado","Disponível"))))</x:f>
        <x:v>Revisar escala</x:v>
      </x:c>
      <x:c r="N117" s="2" t="n">
        <x:f>IF(A117="","",ROW()-1)</x:f>
        <x:v>116</x:v>
      </x:c>
    </x:row>
    <x:row r="118" ht="24" customHeight="1">
      <x:c r="A118" s="13" t="str">
        <x:v>Laura Casanova</x:v>
      </x:c>
      <x:c r="B118" s="14" t="d">
        <x:v>2026-10-12T00:00:00.000Z</x:v>
      </x:c>
      <x:c r="C118" s="26" t="n">
        <x:v>0.5</x:v>
      </x:c>
      <x:c r="D118" s="13" t="str">
        <x:v>presencial</x:v>
      </x:c>
      <x:c r="E118" s="13" t="str">
        <x:v>não</x:v>
      </x:c>
      <x:c r="F118" s="13" t="str">
        <x:v>Sala 1</x:v>
      </x:c>
      <x:c r="G118" s="12" t="n">
        <x:f>IF(A118="","",'Agenda'!$B$5)</x:f>
        <x:v>50</x:v>
      </x:c>
      <x:c r="H118" s="12" t="n">
        <x:f>IF(A118="","",'Agenda'!$B$6)</x:f>
        <x:v>10</x:v>
      </x:c>
      <x:c r="I118" s="24" t="n">
        <x:f>IF(A118="","",C118+G118/1440)</x:f>
        <x:v>0.5347222222222222</x:v>
      </x:c>
      <x:c r="J118" s="24" t="n">
        <x:f>IF(A118="","",C118+(G118+H118)/1440)</x:f>
        <x:v>0.5416666666666666</x:v>
      </x:c>
      <x:c r="K118" s="27" t="n">
        <x:f>IF(A118="","",IF(E118&lt;&gt;"sim",0,COUNTIFS($B$2:$B$501,B118,$F$2:$F$501,F118,$E$2:$E$501,"sim",$C$2:$C$501,"&lt;"&amp;J118,$J$2:$J$501,"&gt;"&amp;C118)-1))</x:f>
        <x:v>0</x:v>
      </x:c>
      <x:c r="L118" s="27" t="n">
        <x:f>IF(A118="","",IF(E118&lt;&gt;"sim",0,COUNTIFS($B$2:$B$501,B118,$A$2:$A$501,A118,$E$2:$E$501,"sim",$C$2:$C$501,"&lt;"&amp;J118,$J$2:$J$501,"&gt;"&amp;C118)-1))</x:f>
        <x:v>0</x:v>
      </x:c>
      <x:c r="M118" s="2" t="str">
        <x:f>IF(A118="","",IF(E118&lt;&gt;"sim","Revisar escala",IF(OR(K118&gt;0,L118&gt;0),"Conflito de escala",IF(COUNTIFS('Solicitacoes'!$F$2:$F$501,B118,'Solicitacoes'!$K$2:$K$501,F118,'Solicitacoes'!$I$2:$I$501,"pendente",'Solicitacoes'!$G$2:$G$501,"&lt;"&amp;J118,'Solicitacoes'!$N$2:$N$501,"&gt;"&amp;C118)+COUNTIFS('Solicitacoes'!$F$2:$F$501,B118,'Solicitacoes'!$E$2:$E$501,A118,'Solicitacoes'!$I$2:$I$501,"pendente",'Solicitacoes'!$G$2:$G$501,"&lt;"&amp;J118,'Solicitacoes'!$N$2:$N$501,"&gt;"&amp;C118)+COUNTIFS('Solicitacoes'!$F$2:$F$501,B118,'Solicitacoes'!$K$2:$K$501,F118,'Solicitacoes'!$I$2:$I$501,"confirmado",'Solicitacoes'!$G$2:$G$501,"&lt;"&amp;J118,'Solicitacoes'!$N$2:$N$501,"&gt;"&amp;C118)+COUNTIFS('Solicitacoes'!$F$2:$F$501,B118,'Solicitacoes'!$E$2:$E$501,A118,'Solicitacoes'!$I$2:$I$501,"confirmado",'Solicitacoes'!$G$2:$G$501,"&lt;"&amp;J118,'Solicitacoes'!$N$2:$N$501,"&gt;"&amp;C118)&gt;0,"Ocupado","Disponível"))))</x:f>
        <x:v>Revisar escala</x:v>
      </x:c>
      <x:c r="N118" s="2" t="n">
        <x:f>IF(A118="","",ROW()-1)</x:f>
        <x:v>117</x:v>
      </x:c>
    </x:row>
    <x:row r="119" ht="24" customHeight="1">
      <x:c r="A119" s="13" t="str">
        <x:v>Aline Reis</x:v>
      </x:c>
      <x:c r="B119" s="14" t="d">
        <x:v>2026-10-12T00:00:00.000Z</x:v>
      </x:c>
      <x:c r="C119" s="26" t="n">
        <x:v>0.5</x:v>
      </x:c>
      <x:c r="D119" s="13" t="str">
        <x:v>presencial</x:v>
      </x:c>
      <x:c r="E119" s="13" t="str">
        <x:v>não</x:v>
      </x:c>
      <x:c r="F119" s="13" t="str">
        <x:v>Sala 2</x:v>
      </x:c>
      <x:c r="G119" s="12" t="n">
        <x:f>IF(A119="","",'Agenda'!$B$5)</x:f>
        <x:v>50</x:v>
      </x:c>
      <x:c r="H119" s="12" t="n">
        <x:f>IF(A119="","",'Agenda'!$B$6)</x:f>
        <x:v>10</x:v>
      </x:c>
      <x:c r="I119" s="24" t="n">
        <x:f>IF(A119="","",C119+G119/1440)</x:f>
        <x:v>0.5347222222222222</x:v>
      </x:c>
      <x:c r="J119" s="24" t="n">
        <x:f>IF(A119="","",C119+(G119+H119)/1440)</x:f>
        <x:v>0.5416666666666666</x:v>
      </x:c>
      <x:c r="K119" s="27" t="n">
        <x:f>IF(A119="","",IF(E119&lt;&gt;"sim",0,COUNTIFS($B$2:$B$501,B119,$F$2:$F$501,F119,$E$2:$E$501,"sim",$C$2:$C$501,"&lt;"&amp;J119,$J$2:$J$501,"&gt;"&amp;C119)-1))</x:f>
        <x:v>0</x:v>
      </x:c>
      <x:c r="L119" s="27" t="n">
        <x:f>IF(A119="","",IF(E119&lt;&gt;"sim",0,COUNTIFS($B$2:$B$501,B119,$A$2:$A$501,A119,$E$2:$E$501,"sim",$C$2:$C$501,"&lt;"&amp;J119,$J$2:$J$501,"&gt;"&amp;C119)-1))</x:f>
        <x:v>0</x:v>
      </x:c>
      <x:c r="M119" s="2" t="str">
        <x:f>IF(A119="","",IF(E119&lt;&gt;"sim","Revisar escala",IF(OR(K119&gt;0,L119&gt;0),"Conflito de escala",IF(COUNTIFS('Solicitacoes'!$F$2:$F$501,B119,'Solicitacoes'!$K$2:$K$501,F119,'Solicitacoes'!$I$2:$I$501,"pendente",'Solicitacoes'!$G$2:$G$501,"&lt;"&amp;J119,'Solicitacoes'!$N$2:$N$501,"&gt;"&amp;C119)+COUNTIFS('Solicitacoes'!$F$2:$F$501,B119,'Solicitacoes'!$E$2:$E$501,A119,'Solicitacoes'!$I$2:$I$501,"pendente",'Solicitacoes'!$G$2:$G$501,"&lt;"&amp;J119,'Solicitacoes'!$N$2:$N$501,"&gt;"&amp;C119)+COUNTIFS('Solicitacoes'!$F$2:$F$501,B119,'Solicitacoes'!$K$2:$K$501,F119,'Solicitacoes'!$I$2:$I$501,"confirmado",'Solicitacoes'!$G$2:$G$501,"&lt;"&amp;J119,'Solicitacoes'!$N$2:$N$501,"&gt;"&amp;C119)+COUNTIFS('Solicitacoes'!$F$2:$F$501,B119,'Solicitacoes'!$E$2:$E$501,A119,'Solicitacoes'!$I$2:$I$501,"confirmado",'Solicitacoes'!$G$2:$G$501,"&lt;"&amp;J119,'Solicitacoes'!$N$2:$N$501,"&gt;"&amp;C119)&gt;0,"Ocupado","Disponível"))))</x:f>
        <x:v>Revisar escala</x:v>
      </x:c>
      <x:c r="N119" s="2" t="n">
        <x:f>IF(A119="","",ROW()-1)</x:f>
        <x:v>118</x:v>
      </x:c>
    </x:row>
    <x:row r="120" ht="24" customHeight="1">
      <x:c r="A120" s="13" t="str">
        <x:v>Laura Casanova</x:v>
      </x:c>
      <x:c r="B120" s="14" t="d">
        <x:v>2026-10-12T00:00:00.000Z</x:v>
      </x:c>
      <x:c r="C120" s="26" t="n">
        <x:v>0.5416666666666666</x:v>
      </x:c>
      <x:c r="D120" s="13" t="str">
        <x:v>presencial</x:v>
      </x:c>
      <x:c r="E120" s="13" t="str">
        <x:v>não</x:v>
      </x:c>
      <x:c r="F120" s="13" t="str">
        <x:v>Sala 1</x:v>
      </x:c>
      <x:c r="G120" s="12" t="n">
        <x:f>IF(A120="","",'Agenda'!$B$5)</x:f>
        <x:v>50</x:v>
      </x:c>
      <x:c r="H120" s="12" t="n">
        <x:f>IF(A120="","",'Agenda'!$B$6)</x:f>
        <x:v>10</x:v>
      </x:c>
      <x:c r="I120" s="24" t="n">
        <x:f>IF(A120="","",C120+G120/1440)</x:f>
        <x:v>0.5763888888888888</x:v>
      </x:c>
      <x:c r="J120" s="24" t="n">
        <x:f>IF(A120="","",C120+(G120+H120)/1440)</x:f>
        <x:v>0.5833333333333333</x:v>
      </x:c>
      <x:c r="K120" s="27" t="n">
        <x:f>IF(A120="","",IF(E120&lt;&gt;"sim",0,COUNTIFS($B$2:$B$501,B120,$F$2:$F$501,F120,$E$2:$E$501,"sim",$C$2:$C$501,"&lt;"&amp;J120,$J$2:$J$501,"&gt;"&amp;C120)-1))</x:f>
        <x:v>0</x:v>
      </x:c>
      <x:c r="L120" s="27" t="n">
        <x:f>IF(A120="","",IF(E120&lt;&gt;"sim",0,COUNTIFS($B$2:$B$501,B120,$A$2:$A$501,A120,$E$2:$E$501,"sim",$C$2:$C$501,"&lt;"&amp;J120,$J$2:$J$501,"&gt;"&amp;C120)-1))</x:f>
        <x:v>0</x:v>
      </x:c>
      <x:c r="M120" s="2" t="str">
        <x:f>IF(A120="","",IF(E120&lt;&gt;"sim","Revisar escala",IF(OR(K120&gt;0,L120&gt;0),"Conflito de escala",IF(COUNTIFS('Solicitacoes'!$F$2:$F$501,B120,'Solicitacoes'!$K$2:$K$501,F120,'Solicitacoes'!$I$2:$I$501,"pendente",'Solicitacoes'!$G$2:$G$501,"&lt;"&amp;J120,'Solicitacoes'!$N$2:$N$501,"&gt;"&amp;C120)+COUNTIFS('Solicitacoes'!$F$2:$F$501,B120,'Solicitacoes'!$E$2:$E$501,A120,'Solicitacoes'!$I$2:$I$501,"pendente",'Solicitacoes'!$G$2:$G$501,"&lt;"&amp;J120,'Solicitacoes'!$N$2:$N$501,"&gt;"&amp;C120)+COUNTIFS('Solicitacoes'!$F$2:$F$501,B120,'Solicitacoes'!$K$2:$K$501,F120,'Solicitacoes'!$I$2:$I$501,"confirmado",'Solicitacoes'!$G$2:$G$501,"&lt;"&amp;J120,'Solicitacoes'!$N$2:$N$501,"&gt;"&amp;C120)+COUNTIFS('Solicitacoes'!$F$2:$F$501,B120,'Solicitacoes'!$E$2:$E$501,A120,'Solicitacoes'!$I$2:$I$501,"confirmado",'Solicitacoes'!$G$2:$G$501,"&lt;"&amp;J120,'Solicitacoes'!$N$2:$N$501,"&gt;"&amp;C120)&gt;0,"Ocupado","Disponível"))))</x:f>
        <x:v>Revisar escala</x:v>
      </x:c>
      <x:c r="N120" s="2" t="n">
        <x:f>IF(A120="","",ROW()-1)</x:f>
        <x:v>119</x:v>
      </x:c>
    </x:row>
    <x:row r="121" ht="24" customHeight="1">
      <x:c r="A121" s="13" t="str">
        <x:v>Aline Reis</x:v>
      </x:c>
      <x:c r="B121" s="14" t="d">
        <x:v>2026-10-12T00:00:00.000Z</x:v>
      </x:c>
      <x:c r="C121" s="26" t="n">
        <x:v>0.5416666666666666</x:v>
      </x:c>
      <x:c r="D121" s="13" t="str">
        <x:v>presencial</x:v>
      </x:c>
      <x:c r="E121" s="13" t="str">
        <x:v>não</x:v>
      </x:c>
      <x:c r="F121" s="13" t="str">
        <x:v>Sala 2</x:v>
      </x:c>
      <x:c r="G121" s="12" t="n">
        <x:f>IF(A121="","",'Agenda'!$B$5)</x:f>
        <x:v>50</x:v>
      </x:c>
      <x:c r="H121" s="12" t="n">
        <x:f>IF(A121="","",'Agenda'!$B$6)</x:f>
        <x:v>10</x:v>
      </x:c>
      <x:c r="I121" s="24" t="n">
        <x:f>IF(A121="","",C121+G121/1440)</x:f>
        <x:v>0.5763888888888888</x:v>
      </x:c>
      <x:c r="J121" s="24" t="n">
        <x:f>IF(A121="","",C121+(G121+H121)/1440)</x:f>
        <x:v>0.5833333333333333</x:v>
      </x:c>
      <x:c r="K121" s="27" t="n">
        <x:f>IF(A121="","",IF(E121&lt;&gt;"sim",0,COUNTIFS($B$2:$B$501,B121,$F$2:$F$501,F121,$E$2:$E$501,"sim",$C$2:$C$501,"&lt;"&amp;J121,$J$2:$J$501,"&gt;"&amp;C121)-1))</x:f>
        <x:v>0</x:v>
      </x:c>
      <x:c r="L121" s="27" t="n">
        <x:f>IF(A121="","",IF(E121&lt;&gt;"sim",0,COUNTIFS($B$2:$B$501,B121,$A$2:$A$501,A121,$E$2:$E$501,"sim",$C$2:$C$501,"&lt;"&amp;J121,$J$2:$J$501,"&gt;"&amp;C121)-1))</x:f>
        <x:v>0</x:v>
      </x:c>
      <x:c r="M121" s="2" t="str">
        <x:f>IF(A121="","",IF(E121&lt;&gt;"sim","Revisar escala",IF(OR(K121&gt;0,L121&gt;0),"Conflito de escala",IF(COUNTIFS('Solicitacoes'!$F$2:$F$501,B121,'Solicitacoes'!$K$2:$K$501,F121,'Solicitacoes'!$I$2:$I$501,"pendente",'Solicitacoes'!$G$2:$G$501,"&lt;"&amp;J121,'Solicitacoes'!$N$2:$N$501,"&gt;"&amp;C121)+COUNTIFS('Solicitacoes'!$F$2:$F$501,B121,'Solicitacoes'!$E$2:$E$501,A121,'Solicitacoes'!$I$2:$I$501,"pendente",'Solicitacoes'!$G$2:$G$501,"&lt;"&amp;J121,'Solicitacoes'!$N$2:$N$501,"&gt;"&amp;C121)+COUNTIFS('Solicitacoes'!$F$2:$F$501,B121,'Solicitacoes'!$K$2:$K$501,F121,'Solicitacoes'!$I$2:$I$501,"confirmado",'Solicitacoes'!$G$2:$G$501,"&lt;"&amp;J121,'Solicitacoes'!$N$2:$N$501,"&gt;"&amp;C121)+COUNTIFS('Solicitacoes'!$F$2:$F$501,B121,'Solicitacoes'!$E$2:$E$501,A121,'Solicitacoes'!$I$2:$I$501,"confirmado",'Solicitacoes'!$G$2:$G$501,"&lt;"&amp;J121,'Solicitacoes'!$N$2:$N$501,"&gt;"&amp;C121)&gt;0,"Ocupado","Disponível"))))</x:f>
        <x:v>Revisar escala</x:v>
      </x:c>
      <x:c r="N121" s="2" t="n">
        <x:f>IF(A121="","",ROW()-1)</x:f>
        <x:v>120</x:v>
      </x:c>
    </x:row>
    <x:row r="122" ht="24" customHeight="1">
      <x:c r="A122" s="13" t="str">
        <x:v>Géssyca Martins</x:v>
      </x:c>
      <x:c r="B122" s="14" t="d">
        <x:v>2026-10-12T00:00:00.000Z</x:v>
      </x:c>
      <x:c r="C122" s="26" t="n">
        <x:v>0.5833333333333334</x:v>
      </x:c>
      <x:c r="D122" s="13" t="str">
        <x:v>presencial</x:v>
      </x:c>
      <x:c r="E122" s="13" t="str">
        <x:v>não</x:v>
      </x:c>
      <x:c r="F122" s="13" t="str">
        <x:v>Sala 1</x:v>
      </x:c>
      <x:c r="G122" s="12" t="n">
        <x:f>IF(A122="","",'Agenda'!$B$5)</x:f>
        <x:v>50</x:v>
      </x:c>
      <x:c r="H122" s="12" t="n">
        <x:f>IF(A122="","",'Agenda'!$B$6)</x:f>
        <x:v>10</x:v>
      </x:c>
      <x:c r="I122" s="24" t="n">
        <x:f>IF(A122="","",C122+G122/1440)</x:f>
        <x:v>0.6180555555555556</x:v>
      </x:c>
      <x:c r="J122" s="24" t="n">
        <x:f>IF(A122="","",C122+(G122+H122)/1440)</x:f>
        <x:v>0.625</x:v>
      </x:c>
      <x:c r="K122" s="27" t="n">
        <x:f>IF(A122="","",IF(E122&lt;&gt;"sim",0,COUNTIFS($B$2:$B$501,B122,$F$2:$F$501,F122,$E$2:$E$501,"sim",$C$2:$C$501,"&lt;"&amp;J122,$J$2:$J$501,"&gt;"&amp;C122)-1))</x:f>
        <x:v>0</x:v>
      </x:c>
      <x:c r="L122" s="27" t="n">
        <x:f>IF(A122="","",IF(E122&lt;&gt;"sim",0,COUNTIFS($B$2:$B$501,B122,$A$2:$A$501,A122,$E$2:$E$501,"sim",$C$2:$C$501,"&lt;"&amp;J122,$J$2:$J$501,"&gt;"&amp;C122)-1))</x:f>
        <x:v>0</x:v>
      </x:c>
      <x:c r="M122" s="2" t="str">
        <x:f>IF(A122="","",IF(E122&lt;&gt;"sim","Revisar escala",IF(OR(K122&gt;0,L122&gt;0),"Conflito de escala",IF(COUNTIFS('Solicitacoes'!$F$2:$F$501,B122,'Solicitacoes'!$K$2:$K$501,F122,'Solicitacoes'!$I$2:$I$501,"pendente",'Solicitacoes'!$G$2:$G$501,"&lt;"&amp;J122,'Solicitacoes'!$N$2:$N$501,"&gt;"&amp;C122)+COUNTIFS('Solicitacoes'!$F$2:$F$501,B122,'Solicitacoes'!$E$2:$E$501,A122,'Solicitacoes'!$I$2:$I$501,"pendente",'Solicitacoes'!$G$2:$G$501,"&lt;"&amp;J122,'Solicitacoes'!$N$2:$N$501,"&gt;"&amp;C122)+COUNTIFS('Solicitacoes'!$F$2:$F$501,B122,'Solicitacoes'!$K$2:$K$501,F122,'Solicitacoes'!$I$2:$I$501,"confirmado",'Solicitacoes'!$G$2:$G$501,"&lt;"&amp;J122,'Solicitacoes'!$N$2:$N$501,"&gt;"&amp;C122)+COUNTIFS('Solicitacoes'!$F$2:$F$501,B122,'Solicitacoes'!$E$2:$E$501,A122,'Solicitacoes'!$I$2:$I$501,"confirmado",'Solicitacoes'!$G$2:$G$501,"&lt;"&amp;J122,'Solicitacoes'!$N$2:$N$501,"&gt;"&amp;C122)&gt;0,"Ocupado","Disponível"))))</x:f>
        <x:v>Revisar escala</x:v>
      </x:c>
      <x:c r="N122" s="2" t="n">
        <x:f>IF(A122="","",ROW()-1)</x:f>
        <x:v>121</x:v>
      </x:c>
    </x:row>
    <x:row r="123" ht="24" customHeight="1">
      <x:c r="A123" s="13" t="str">
        <x:v>Laura Casanova</x:v>
      </x:c>
      <x:c r="B123" s="14" t="d">
        <x:v>2026-10-12T00:00:00.000Z</x:v>
      </x:c>
      <x:c r="C123" s="26" t="n">
        <x:v>0.5833333333333334</x:v>
      </x:c>
      <x:c r="D123" s="13" t="str">
        <x:v>presencial</x:v>
      </x:c>
      <x:c r="E123" s="13" t="str">
        <x:v>não</x:v>
      </x:c>
      <x:c r="F123" s="13" t="str">
        <x:v>Sala 2</x:v>
      </x:c>
      <x:c r="G123" s="12" t="n">
        <x:f>IF(A123="","",'Agenda'!$B$5)</x:f>
        <x:v>50</x:v>
      </x:c>
      <x:c r="H123" s="12" t="n">
        <x:f>IF(A123="","",'Agenda'!$B$6)</x:f>
        <x:v>10</x:v>
      </x:c>
      <x:c r="I123" s="24" t="n">
        <x:f>IF(A123="","",C123+G123/1440)</x:f>
        <x:v>0.6180555555555556</x:v>
      </x:c>
      <x:c r="J123" s="24" t="n">
        <x:f>IF(A123="","",C123+(G123+H123)/1440)</x:f>
        <x:v>0.625</x:v>
      </x:c>
      <x:c r="K123" s="27" t="n">
        <x:f>IF(A123="","",IF(E123&lt;&gt;"sim",0,COUNTIFS($B$2:$B$501,B123,$F$2:$F$501,F123,$E$2:$E$501,"sim",$C$2:$C$501,"&lt;"&amp;J123,$J$2:$J$501,"&gt;"&amp;C123)-1))</x:f>
        <x:v>0</x:v>
      </x:c>
      <x:c r="L123" s="27" t="n">
        <x:f>IF(A123="","",IF(E123&lt;&gt;"sim",0,COUNTIFS($B$2:$B$501,B123,$A$2:$A$501,A123,$E$2:$E$501,"sim",$C$2:$C$501,"&lt;"&amp;J123,$J$2:$J$501,"&gt;"&amp;C123)-1))</x:f>
        <x:v>0</x:v>
      </x:c>
      <x:c r="M123" s="2" t="str">
        <x:f>IF(A123="","",IF(E123&lt;&gt;"sim","Revisar escala",IF(OR(K123&gt;0,L123&gt;0),"Conflito de escala",IF(COUNTIFS('Solicitacoes'!$F$2:$F$501,B123,'Solicitacoes'!$K$2:$K$501,F123,'Solicitacoes'!$I$2:$I$501,"pendente",'Solicitacoes'!$G$2:$G$501,"&lt;"&amp;J123,'Solicitacoes'!$N$2:$N$501,"&gt;"&amp;C123)+COUNTIFS('Solicitacoes'!$F$2:$F$501,B123,'Solicitacoes'!$E$2:$E$501,A123,'Solicitacoes'!$I$2:$I$501,"pendente",'Solicitacoes'!$G$2:$G$501,"&lt;"&amp;J123,'Solicitacoes'!$N$2:$N$501,"&gt;"&amp;C123)+COUNTIFS('Solicitacoes'!$F$2:$F$501,B123,'Solicitacoes'!$K$2:$K$501,F123,'Solicitacoes'!$I$2:$I$501,"confirmado",'Solicitacoes'!$G$2:$G$501,"&lt;"&amp;J123,'Solicitacoes'!$N$2:$N$501,"&gt;"&amp;C123)+COUNTIFS('Solicitacoes'!$F$2:$F$501,B123,'Solicitacoes'!$E$2:$E$501,A123,'Solicitacoes'!$I$2:$I$501,"confirmado",'Solicitacoes'!$G$2:$G$501,"&lt;"&amp;J123,'Solicitacoes'!$N$2:$N$501,"&gt;"&amp;C123)&gt;0,"Ocupado","Disponível"))))</x:f>
        <x:v>Revisar escala</x:v>
      </x:c>
      <x:c r="N123" s="2" t="n">
        <x:f>IF(A123="","",ROW()-1)</x:f>
        <x:v>122</x:v>
      </x:c>
    </x:row>
    <x:row r="124" ht="24" customHeight="1">
      <x:c r="A124" s="13" t="str">
        <x:v>Géssyca Martins</x:v>
      </x:c>
      <x:c r="B124" s="14" t="d">
        <x:v>2026-10-12T00:00:00.000Z</x:v>
      </x:c>
      <x:c r="C124" s="26" t="n">
        <x:v>0.625</x:v>
      </x:c>
      <x:c r="D124" s="13" t="str">
        <x:v>presencial</x:v>
      </x:c>
      <x:c r="E124" s="13" t="str">
        <x:v>não</x:v>
      </x:c>
      <x:c r="F124" s="13" t="str">
        <x:v>Sala 1</x:v>
      </x:c>
      <x:c r="G124" s="12" t="n">
        <x:f>IF(A124="","",'Agenda'!$B$5)</x:f>
        <x:v>50</x:v>
      </x:c>
      <x:c r="H124" s="12" t="n">
        <x:f>IF(A124="","",'Agenda'!$B$6)</x:f>
        <x:v>10</x:v>
      </x:c>
      <x:c r="I124" s="24" t="n">
        <x:f>IF(A124="","",C124+G124/1440)</x:f>
        <x:v>0.6597222222222222</x:v>
      </x:c>
      <x:c r="J124" s="24" t="n">
        <x:f>IF(A124="","",C124+(G124+H124)/1440)</x:f>
        <x:v>0.6666666666666666</x:v>
      </x:c>
      <x:c r="K124" s="27" t="n">
        <x:f>IF(A124="","",IF(E124&lt;&gt;"sim",0,COUNTIFS($B$2:$B$501,B124,$F$2:$F$501,F124,$E$2:$E$501,"sim",$C$2:$C$501,"&lt;"&amp;J124,$J$2:$J$501,"&gt;"&amp;C124)-1))</x:f>
        <x:v>0</x:v>
      </x:c>
      <x:c r="L124" s="27" t="n">
        <x:f>IF(A124="","",IF(E124&lt;&gt;"sim",0,COUNTIFS($B$2:$B$501,B124,$A$2:$A$501,A124,$E$2:$E$501,"sim",$C$2:$C$501,"&lt;"&amp;J124,$J$2:$J$501,"&gt;"&amp;C124)-1))</x:f>
        <x:v>0</x:v>
      </x:c>
      <x:c r="M124" s="2" t="str">
        <x:f>IF(A124="","",IF(E124&lt;&gt;"sim","Revisar escala",IF(OR(K124&gt;0,L124&gt;0),"Conflito de escala",IF(COUNTIFS('Solicitacoes'!$F$2:$F$501,B124,'Solicitacoes'!$K$2:$K$501,F124,'Solicitacoes'!$I$2:$I$501,"pendente",'Solicitacoes'!$G$2:$G$501,"&lt;"&amp;J124,'Solicitacoes'!$N$2:$N$501,"&gt;"&amp;C124)+COUNTIFS('Solicitacoes'!$F$2:$F$501,B124,'Solicitacoes'!$E$2:$E$501,A124,'Solicitacoes'!$I$2:$I$501,"pendente",'Solicitacoes'!$G$2:$G$501,"&lt;"&amp;J124,'Solicitacoes'!$N$2:$N$501,"&gt;"&amp;C124)+COUNTIFS('Solicitacoes'!$F$2:$F$501,B124,'Solicitacoes'!$K$2:$K$501,F124,'Solicitacoes'!$I$2:$I$501,"confirmado",'Solicitacoes'!$G$2:$G$501,"&lt;"&amp;J124,'Solicitacoes'!$N$2:$N$501,"&gt;"&amp;C124)+COUNTIFS('Solicitacoes'!$F$2:$F$501,B124,'Solicitacoes'!$E$2:$E$501,A124,'Solicitacoes'!$I$2:$I$501,"confirmado",'Solicitacoes'!$G$2:$G$501,"&lt;"&amp;J124,'Solicitacoes'!$N$2:$N$501,"&gt;"&amp;C124)&gt;0,"Ocupado","Disponível"))))</x:f>
        <x:v>Revisar escala</x:v>
      </x:c>
      <x:c r="N124" s="2" t="n">
        <x:f>IF(A124="","",ROW()-1)</x:f>
        <x:v>123</x:v>
      </x:c>
    </x:row>
    <x:row r="125" ht="24" customHeight="1">
      <x:c r="A125" s="13" t="str">
        <x:v>Laura Casanova</x:v>
      </x:c>
      <x:c r="B125" s="14" t="d">
        <x:v>2026-10-12T00:00:00.000Z</x:v>
      </x:c>
      <x:c r="C125" s="26" t="n">
        <x:v>0.625</x:v>
      </x:c>
      <x:c r="D125" s="13" t="str">
        <x:v>presencial</x:v>
      </x:c>
      <x:c r="E125" s="13" t="str">
        <x:v>não</x:v>
      </x:c>
      <x:c r="F125" s="13" t="str">
        <x:v>Sala 2</x:v>
      </x:c>
      <x:c r="G125" s="12" t="n">
        <x:f>IF(A125="","",'Agenda'!$B$5)</x:f>
        <x:v>50</x:v>
      </x:c>
      <x:c r="H125" s="12" t="n">
        <x:f>IF(A125="","",'Agenda'!$B$6)</x:f>
        <x:v>10</x:v>
      </x:c>
      <x:c r="I125" s="24" t="n">
        <x:f>IF(A125="","",C125+G125/1440)</x:f>
        <x:v>0.6597222222222222</x:v>
      </x:c>
      <x:c r="J125" s="24" t="n">
        <x:f>IF(A125="","",C125+(G125+H125)/1440)</x:f>
        <x:v>0.6666666666666666</x:v>
      </x:c>
      <x:c r="K125" s="27" t="n">
        <x:f>IF(A125="","",IF(E125&lt;&gt;"sim",0,COUNTIFS($B$2:$B$501,B125,$F$2:$F$501,F125,$E$2:$E$501,"sim",$C$2:$C$501,"&lt;"&amp;J125,$J$2:$J$501,"&gt;"&amp;C125)-1))</x:f>
        <x:v>0</x:v>
      </x:c>
      <x:c r="L125" s="27" t="n">
        <x:f>IF(A125="","",IF(E125&lt;&gt;"sim",0,COUNTIFS($B$2:$B$501,B125,$A$2:$A$501,A125,$E$2:$E$501,"sim",$C$2:$C$501,"&lt;"&amp;J125,$J$2:$J$501,"&gt;"&amp;C125)-1))</x:f>
        <x:v>0</x:v>
      </x:c>
      <x:c r="M125" s="2" t="str">
        <x:f>IF(A125="","",IF(E125&lt;&gt;"sim","Revisar escala",IF(OR(K125&gt;0,L125&gt;0),"Conflito de escala",IF(COUNTIFS('Solicitacoes'!$F$2:$F$501,B125,'Solicitacoes'!$K$2:$K$501,F125,'Solicitacoes'!$I$2:$I$501,"pendente",'Solicitacoes'!$G$2:$G$501,"&lt;"&amp;J125,'Solicitacoes'!$N$2:$N$501,"&gt;"&amp;C125)+COUNTIFS('Solicitacoes'!$F$2:$F$501,B125,'Solicitacoes'!$E$2:$E$501,A125,'Solicitacoes'!$I$2:$I$501,"pendente",'Solicitacoes'!$G$2:$G$501,"&lt;"&amp;J125,'Solicitacoes'!$N$2:$N$501,"&gt;"&amp;C125)+COUNTIFS('Solicitacoes'!$F$2:$F$501,B125,'Solicitacoes'!$K$2:$K$501,F125,'Solicitacoes'!$I$2:$I$501,"confirmado",'Solicitacoes'!$G$2:$G$501,"&lt;"&amp;J125,'Solicitacoes'!$N$2:$N$501,"&gt;"&amp;C125)+COUNTIFS('Solicitacoes'!$F$2:$F$501,B125,'Solicitacoes'!$E$2:$E$501,A125,'Solicitacoes'!$I$2:$I$501,"confirmado",'Solicitacoes'!$G$2:$G$501,"&lt;"&amp;J125,'Solicitacoes'!$N$2:$N$501,"&gt;"&amp;C125)&gt;0,"Ocupado","Disponível"))))</x:f>
        <x:v>Revisar escala</x:v>
      </x:c>
      <x:c r="N125" s="2" t="n">
        <x:f>IF(A125="","",ROW()-1)</x:f>
        <x:v>124</x:v>
      </x:c>
    </x:row>
    <x:row r="126" ht="24" customHeight="1">
      <x:c r="A126" s="13" t="str">
        <x:v>Géssyca Martins</x:v>
      </x:c>
      <x:c r="B126" s="14" t="d">
        <x:v>2026-10-12T00:00:00.000Z</x:v>
      </x:c>
      <x:c r="C126" s="26" t="n">
        <x:v>0.6666666666666666</x:v>
      </x:c>
      <x:c r="D126" s="13" t="str">
        <x:v>presencial</x:v>
      </x:c>
      <x:c r="E126" s="13" t="str">
        <x:v>não</x:v>
      </x:c>
      <x:c r="F126" s="13" t="str">
        <x:v>Sala 1</x:v>
      </x:c>
      <x:c r="G126" s="12" t="n">
        <x:f>IF(A126="","",'Agenda'!$B$5)</x:f>
        <x:v>50</x:v>
      </x:c>
      <x:c r="H126" s="12" t="n">
        <x:f>IF(A126="","",'Agenda'!$B$6)</x:f>
        <x:v>10</x:v>
      </x:c>
      <x:c r="I126" s="24" t="n">
        <x:f>IF(A126="","",C126+G126/1440)</x:f>
        <x:v>0.7013888888888888</x:v>
      </x:c>
      <x:c r="J126" s="24" t="n">
        <x:f>IF(A126="","",C126+(G126+H126)/1440)</x:f>
        <x:v>0.7083333333333333</x:v>
      </x:c>
      <x:c r="K126" s="27" t="n">
        <x:f>IF(A126="","",IF(E126&lt;&gt;"sim",0,COUNTIFS($B$2:$B$501,B126,$F$2:$F$501,F126,$E$2:$E$501,"sim",$C$2:$C$501,"&lt;"&amp;J126,$J$2:$J$501,"&gt;"&amp;C126)-1))</x:f>
        <x:v>0</x:v>
      </x:c>
      <x:c r="L126" s="27" t="n">
        <x:f>IF(A126="","",IF(E126&lt;&gt;"sim",0,COUNTIFS($B$2:$B$501,B126,$A$2:$A$501,A126,$E$2:$E$501,"sim",$C$2:$C$501,"&lt;"&amp;J126,$J$2:$J$501,"&gt;"&amp;C126)-1))</x:f>
        <x:v>0</x:v>
      </x:c>
      <x:c r="M126" s="2" t="str">
        <x:f>IF(A126="","",IF(E126&lt;&gt;"sim","Revisar escala",IF(OR(K126&gt;0,L126&gt;0),"Conflito de escala",IF(COUNTIFS('Solicitacoes'!$F$2:$F$501,B126,'Solicitacoes'!$K$2:$K$501,F126,'Solicitacoes'!$I$2:$I$501,"pendente",'Solicitacoes'!$G$2:$G$501,"&lt;"&amp;J126,'Solicitacoes'!$N$2:$N$501,"&gt;"&amp;C126)+COUNTIFS('Solicitacoes'!$F$2:$F$501,B126,'Solicitacoes'!$E$2:$E$501,A126,'Solicitacoes'!$I$2:$I$501,"pendente",'Solicitacoes'!$G$2:$G$501,"&lt;"&amp;J126,'Solicitacoes'!$N$2:$N$501,"&gt;"&amp;C126)+COUNTIFS('Solicitacoes'!$F$2:$F$501,B126,'Solicitacoes'!$K$2:$K$501,F126,'Solicitacoes'!$I$2:$I$501,"confirmado",'Solicitacoes'!$G$2:$G$501,"&lt;"&amp;J126,'Solicitacoes'!$N$2:$N$501,"&gt;"&amp;C126)+COUNTIFS('Solicitacoes'!$F$2:$F$501,B126,'Solicitacoes'!$E$2:$E$501,A126,'Solicitacoes'!$I$2:$I$501,"confirmado",'Solicitacoes'!$G$2:$G$501,"&lt;"&amp;J126,'Solicitacoes'!$N$2:$N$501,"&gt;"&amp;C126)&gt;0,"Ocupado","Disponível"))))</x:f>
        <x:v>Revisar escala</x:v>
      </x:c>
      <x:c r="N126" s="2" t="n">
        <x:f>IF(A126="","",ROW()-1)</x:f>
        <x:v>125</x:v>
      </x:c>
    </x:row>
    <x:row r="127" ht="24" customHeight="1">
      <x:c r="A127" s="13" t="str">
        <x:v>Laura Casanova</x:v>
      </x:c>
      <x:c r="B127" s="14" t="d">
        <x:v>2026-10-12T00:00:00.000Z</x:v>
      </x:c>
      <x:c r="C127" s="26" t="n">
        <x:v>0.6666666666666666</x:v>
      </x:c>
      <x:c r="D127" s="13" t="str">
        <x:v>presencial</x:v>
      </x:c>
      <x:c r="E127" s="13" t="str">
        <x:v>não</x:v>
      </x:c>
      <x:c r="F127" s="13" t="str">
        <x:v>Sala 2</x:v>
      </x:c>
      <x:c r="G127" s="12" t="n">
        <x:f>IF(A127="","",'Agenda'!$B$5)</x:f>
        <x:v>50</x:v>
      </x:c>
      <x:c r="H127" s="12" t="n">
        <x:f>IF(A127="","",'Agenda'!$B$6)</x:f>
        <x:v>10</x:v>
      </x:c>
      <x:c r="I127" s="24" t="n">
        <x:f>IF(A127="","",C127+G127/1440)</x:f>
        <x:v>0.7013888888888888</x:v>
      </x:c>
      <x:c r="J127" s="24" t="n">
        <x:f>IF(A127="","",C127+(G127+H127)/1440)</x:f>
        <x:v>0.7083333333333333</x:v>
      </x:c>
      <x:c r="K127" s="27" t="n">
        <x:f>IF(A127="","",IF(E127&lt;&gt;"sim",0,COUNTIFS($B$2:$B$501,B127,$F$2:$F$501,F127,$E$2:$E$501,"sim",$C$2:$C$501,"&lt;"&amp;J127,$J$2:$J$501,"&gt;"&amp;C127)-1))</x:f>
        <x:v>0</x:v>
      </x:c>
      <x:c r="L127" s="27" t="n">
        <x:f>IF(A127="","",IF(E127&lt;&gt;"sim",0,COUNTIFS($B$2:$B$501,B127,$A$2:$A$501,A127,$E$2:$E$501,"sim",$C$2:$C$501,"&lt;"&amp;J127,$J$2:$J$501,"&gt;"&amp;C127)-1))</x:f>
        <x:v>0</x:v>
      </x:c>
      <x:c r="M127" s="2" t="str">
        <x:f>IF(A127="","",IF(E127&lt;&gt;"sim","Revisar escala",IF(OR(K127&gt;0,L127&gt;0),"Conflito de escala",IF(COUNTIFS('Solicitacoes'!$F$2:$F$501,B127,'Solicitacoes'!$K$2:$K$501,F127,'Solicitacoes'!$I$2:$I$501,"pendente",'Solicitacoes'!$G$2:$G$501,"&lt;"&amp;J127,'Solicitacoes'!$N$2:$N$501,"&gt;"&amp;C127)+COUNTIFS('Solicitacoes'!$F$2:$F$501,B127,'Solicitacoes'!$E$2:$E$501,A127,'Solicitacoes'!$I$2:$I$501,"pendente",'Solicitacoes'!$G$2:$G$501,"&lt;"&amp;J127,'Solicitacoes'!$N$2:$N$501,"&gt;"&amp;C127)+COUNTIFS('Solicitacoes'!$F$2:$F$501,B127,'Solicitacoes'!$K$2:$K$501,F127,'Solicitacoes'!$I$2:$I$501,"confirmado",'Solicitacoes'!$G$2:$G$501,"&lt;"&amp;J127,'Solicitacoes'!$N$2:$N$501,"&gt;"&amp;C127)+COUNTIFS('Solicitacoes'!$F$2:$F$501,B127,'Solicitacoes'!$E$2:$E$501,A127,'Solicitacoes'!$I$2:$I$501,"confirmado",'Solicitacoes'!$G$2:$G$501,"&lt;"&amp;J127,'Solicitacoes'!$N$2:$N$501,"&gt;"&amp;C127)&gt;0,"Ocupado","Disponível"))))</x:f>
        <x:v>Revisar escala</x:v>
      </x:c>
      <x:c r="N127" s="2" t="n">
        <x:f>IF(A127="","",ROW()-1)</x:f>
        <x:v>126</x:v>
      </x:c>
    </x:row>
    <x:row r="128" ht="24" customHeight="1">
      <x:c r="A128" s="13" t="str">
        <x:v>Géssyca Martins</x:v>
      </x:c>
      <x:c r="B128" s="14" t="d">
        <x:v>2026-10-12T00:00:00.000Z</x:v>
      </x:c>
      <x:c r="C128" s="26" t="n">
        <x:v>0.7083333333333334</x:v>
      </x:c>
      <x:c r="D128" s="13" t="str">
        <x:v>presencial</x:v>
      </x:c>
      <x:c r="E128" s="13" t="str">
        <x:v>não</x:v>
      </x:c>
      <x:c r="F128" s="13" t="str">
        <x:v>Sala 1</x:v>
      </x:c>
      <x:c r="G128" s="12" t="n">
        <x:f>IF(A128="","",'Agenda'!$B$5)</x:f>
        <x:v>50</x:v>
      </x:c>
      <x:c r="H128" s="12" t="n">
        <x:f>IF(A128="","",'Agenda'!$B$6)</x:f>
        <x:v>10</x:v>
      </x:c>
      <x:c r="I128" s="24" t="n">
        <x:f>IF(A128="","",C128+G128/1440)</x:f>
        <x:v>0.7430555555555556</x:v>
      </x:c>
      <x:c r="J128" s="24" t="n">
        <x:f>IF(A128="","",C128+(G128+H128)/1440)</x:f>
        <x:v>0.75</x:v>
      </x:c>
      <x:c r="K128" s="27" t="n">
        <x:f>IF(A128="","",IF(E128&lt;&gt;"sim",0,COUNTIFS($B$2:$B$501,B128,$F$2:$F$501,F128,$E$2:$E$501,"sim",$C$2:$C$501,"&lt;"&amp;J128,$J$2:$J$501,"&gt;"&amp;C128)-1))</x:f>
        <x:v>0</x:v>
      </x:c>
      <x:c r="L128" s="27" t="n">
        <x:f>IF(A128="","",IF(E128&lt;&gt;"sim",0,COUNTIFS($B$2:$B$501,B128,$A$2:$A$501,A128,$E$2:$E$501,"sim",$C$2:$C$501,"&lt;"&amp;J128,$J$2:$J$501,"&gt;"&amp;C128)-1))</x:f>
        <x:v>0</x:v>
      </x:c>
      <x:c r="M128" s="2" t="str">
        <x:f>IF(A128="","",IF(E128&lt;&gt;"sim","Revisar escala",IF(OR(K128&gt;0,L128&gt;0),"Conflito de escala",IF(COUNTIFS('Solicitacoes'!$F$2:$F$501,B128,'Solicitacoes'!$K$2:$K$501,F128,'Solicitacoes'!$I$2:$I$501,"pendente",'Solicitacoes'!$G$2:$G$501,"&lt;"&amp;J128,'Solicitacoes'!$N$2:$N$501,"&gt;"&amp;C128)+COUNTIFS('Solicitacoes'!$F$2:$F$501,B128,'Solicitacoes'!$E$2:$E$501,A128,'Solicitacoes'!$I$2:$I$501,"pendente",'Solicitacoes'!$G$2:$G$501,"&lt;"&amp;J128,'Solicitacoes'!$N$2:$N$501,"&gt;"&amp;C128)+COUNTIFS('Solicitacoes'!$F$2:$F$501,B128,'Solicitacoes'!$K$2:$K$501,F128,'Solicitacoes'!$I$2:$I$501,"confirmado",'Solicitacoes'!$G$2:$G$501,"&lt;"&amp;J128,'Solicitacoes'!$N$2:$N$501,"&gt;"&amp;C128)+COUNTIFS('Solicitacoes'!$F$2:$F$501,B128,'Solicitacoes'!$E$2:$E$501,A128,'Solicitacoes'!$I$2:$I$501,"confirmado",'Solicitacoes'!$G$2:$G$501,"&lt;"&amp;J128,'Solicitacoes'!$N$2:$N$501,"&gt;"&amp;C128)&gt;0,"Ocupado","Disponível"))))</x:f>
        <x:v>Revisar escala</x:v>
      </x:c>
      <x:c r="N128" s="2" t="n">
        <x:f>IF(A128="","",ROW()-1)</x:f>
        <x:v>127</x:v>
      </x:c>
    </x:row>
    <x:row r="129" ht="24" customHeight="1">
      <x:c r="A129" s="13" t="str">
        <x:v>Laura Casanova</x:v>
      </x:c>
      <x:c r="B129" s="14" t="d">
        <x:v>2026-10-12T00:00:00.000Z</x:v>
      </x:c>
      <x:c r="C129" s="26" t="n">
        <x:v>0.7083333333333334</x:v>
      </x:c>
      <x:c r="D129" s="13" t="str">
        <x:v>presencial</x:v>
      </x:c>
      <x:c r="E129" s="13" t="str">
        <x:v>não</x:v>
      </x:c>
      <x:c r="F129" s="13" t="str">
        <x:v>Sala 2</x:v>
      </x:c>
      <x:c r="G129" s="12" t="n">
        <x:f>IF(A129="","",'Agenda'!$B$5)</x:f>
        <x:v>50</x:v>
      </x:c>
      <x:c r="H129" s="12" t="n">
        <x:f>IF(A129="","",'Agenda'!$B$6)</x:f>
        <x:v>10</x:v>
      </x:c>
      <x:c r="I129" s="24" t="n">
        <x:f>IF(A129="","",C129+G129/1440)</x:f>
        <x:v>0.7430555555555556</x:v>
      </x:c>
      <x:c r="J129" s="24" t="n">
        <x:f>IF(A129="","",C129+(G129+H129)/1440)</x:f>
        <x:v>0.75</x:v>
      </x:c>
      <x:c r="K129" s="27" t="n">
        <x:f>IF(A129="","",IF(E129&lt;&gt;"sim",0,COUNTIFS($B$2:$B$501,B129,$F$2:$F$501,F129,$E$2:$E$501,"sim",$C$2:$C$501,"&lt;"&amp;J129,$J$2:$J$501,"&gt;"&amp;C129)-1))</x:f>
        <x:v>0</x:v>
      </x:c>
      <x:c r="L129" s="27" t="n">
        <x:f>IF(A129="","",IF(E129&lt;&gt;"sim",0,COUNTIFS($B$2:$B$501,B129,$A$2:$A$501,A129,$E$2:$E$501,"sim",$C$2:$C$501,"&lt;"&amp;J129,$J$2:$J$501,"&gt;"&amp;C129)-1))</x:f>
        <x:v>0</x:v>
      </x:c>
      <x:c r="M129" s="2" t="str">
        <x:f>IF(A129="","",IF(E129&lt;&gt;"sim","Revisar escala",IF(OR(K129&gt;0,L129&gt;0),"Conflito de escala",IF(COUNTIFS('Solicitacoes'!$F$2:$F$501,B129,'Solicitacoes'!$K$2:$K$501,F129,'Solicitacoes'!$I$2:$I$501,"pendente",'Solicitacoes'!$G$2:$G$501,"&lt;"&amp;J129,'Solicitacoes'!$N$2:$N$501,"&gt;"&amp;C129)+COUNTIFS('Solicitacoes'!$F$2:$F$501,B129,'Solicitacoes'!$E$2:$E$501,A129,'Solicitacoes'!$I$2:$I$501,"pendente",'Solicitacoes'!$G$2:$G$501,"&lt;"&amp;J129,'Solicitacoes'!$N$2:$N$501,"&gt;"&amp;C129)+COUNTIFS('Solicitacoes'!$F$2:$F$501,B129,'Solicitacoes'!$K$2:$K$501,F129,'Solicitacoes'!$I$2:$I$501,"confirmado",'Solicitacoes'!$G$2:$G$501,"&lt;"&amp;J129,'Solicitacoes'!$N$2:$N$501,"&gt;"&amp;C129)+COUNTIFS('Solicitacoes'!$F$2:$F$501,B129,'Solicitacoes'!$E$2:$E$501,A129,'Solicitacoes'!$I$2:$I$501,"confirmado",'Solicitacoes'!$G$2:$G$501,"&lt;"&amp;J129,'Solicitacoes'!$N$2:$N$501,"&gt;"&amp;C129)&gt;0,"Ocupado","Disponível"))))</x:f>
        <x:v>Revisar escala</x:v>
      </x:c>
      <x:c r="N129" s="2" t="n">
        <x:f>IF(A129="","",ROW()-1)</x:f>
        <x:v>128</x:v>
      </x:c>
    </x:row>
    <x:row r="130" ht="24" customHeight="1">
      <x:c r="A130" s="13" t="str">
        <x:v>Géssyca Martins</x:v>
      </x:c>
      <x:c r="B130" s="14" t="d">
        <x:v>2026-10-12T00:00:00.000Z</x:v>
      </x:c>
      <x:c r="C130" s="26" t="n">
        <x:v>0.75</x:v>
      </x:c>
      <x:c r="D130" s="13" t="str">
        <x:v>presencial</x:v>
      </x:c>
      <x:c r="E130" s="13" t="str">
        <x:v>não</x:v>
      </x:c>
      <x:c r="F130" s="13" t="str">
        <x:v>Sala 1</x:v>
      </x:c>
      <x:c r="G130" s="12" t="n">
        <x:f>IF(A130="","",'Agenda'!$B$5)</x:f>
        <x:v>50</x:v>
      </x:c>
      <x:c r="H130" s="12" t="n">
        <x:f>IF(A130="","",'Agenda'!$B$6)</x:f>
        <x:v>10</x:v>
      </x:c>
      <x:c r="I130" s="24" t="n">
        <x:f>IF(A130="","",C130+G130/1440)</x:f>
        <x:v>0.7847222222222222</x:v>
      </x:c>
      <x:c r="J130" s="24" t="n">
        <x:f>IF(A130="","",C130+(G130+H130)/1440)</x:f>
        <x:v>0.7916666666666666</x:v>
      </x:c>
      <x:c r="K130" s="27" t="n">
        <x:f>IF(A130="","",IF(E130&lt;&gt;"sim",0,COUNTIFS($B$2:$B$501,B130,$F$2:$F$501,F130,$E$2:$E$501,"sim",$C$2:$C$501,"&lt;"&amp;J130,$J$2:$J$501,"&gt;"&amp;C130)-1))</x:f>
        <x:v>0</x:v>
      </x:c>
      <x:c r="L130" s="27" t="n">
        <x:f>IF(A130="","",IF(E130&lt;&gt;"sim",0,COUNTIFS($B$2:$B$501,B130,$A$2:$A$501,A130,$E$2:$E$501,"sim",$C$2:$C$501,"&lt;"&amp;J130,$J$2:$J$501,"&gt;"&amp;C130)-1))</x:f>
        <x:v>0</x:v>
      </x:c>
      <x:c r="M130" s="2" t="str">
        <x:f>IF(A130="","",IF(E130&lt;&gt;"sim","Revisar escala",IF(OR(K130&gt;0,L130&gt;0),"Conflito de escala",IF(COUNTIFS('Solicitacoes'!$F$2:$F$501,B130,'Solicitacoes'!$K$2:$K$501,F130,'Solicitacoes'!$I$2:$I$501,"pendente",'Solicitacoes'!$G$2:$G$501,"&lt;"&amp;J130,'Solicitacoes'!$N$2:$N$501,"&gt;"&amp;C130)+COUNTIFS('Solicitacoes'!$F$2:$F$501,B130,'Solicitacoes'!$E$2:$E$501,A130,'Solicitacoes'!$I$2:$I$501,"pendente",'Solicitacoes'!$G$2:$G$501,"&lt;"&amp;J130,'Solicitacoes'!$N$2:$N$501,"&gt;"&amp;C130)+COUNTIFS('Solicitacoes'!$F$2:$F$501,B130,'Solicitacoes'!$K$2:$K$501,F130,'Solicitacoes'!$I$2:$I$501,"confirmado",'Solicitacoes'!$G$2:$G$501,"&lt;"&amp;J130,'Solicitacoes'!$N$2:$N$501,"&gt;"&amp;C130)+COUNTIFS('Solicitacoes'!$F$2:$F$501,B130,'Solicitacoes'!$E$2:$E$501,A130,'Solicitacoes'!$I$2:$I$501,"confirmado",'Solicitacoes'!$G$2:$G$501,"&lt;"&amp;J130,'Solicitacoes'!$N$2:$N$501,"&gt;"&amp;C130)&gt;0,"Ocupado","Disponível"))))</x:f>
        <x:v>Revisar escala</x:v>
      </x:c>
      <x:c r="N130" s="2" t="n">
        <x:f>IF(A130="","",ROW()-1)</x:f>
        <x:v>129</x:v>
      </x:c>
    </x:row>
    <x:row r="131" ht="24" customHeight="1">
      <x:c r="A131" s="13" t="str">
        <x:v>Laura Casanova</x:v>
      </x:c>
      <x:c r="B131" s="14" t="d">
        <x:v>2026-10-12T00:00:00.000Z</x:v>
      </x:c>
      <x:c r="C131" s="26" t="n">
        <x:v>0.75</x:v>
      </x:c>
      <x:c r="D131" s="13" t="str">
        <x:v>presencial</x:v>
      </x:c>
      <x:c r="E131" s="13" t="str">
        <x:v>não</x:v>
      </x:c>
      <x:c r="F131" s="13" t="str">
        <x:v>Sala 2</x:v>
      </x:c>
      <x:c r="G131" s="12" t="n">
        <x:f>IF(A131="","",'Agenda'!$B$5)</x:f>
        <x:v>50</x:v>
      </x:c>
      <x:c r="H131" s="12" t="n">
        <x:f>IF(A131="","",'Agenda'!$B$6)</x:f>
        <x:v>10</x:v>
      </x:c>
      <x:c r="I131" s="24" t="n">
        <x:f>IF(A131="","",C131+G131/1440)</x:f>
        <x:v>0.7847222222222222</x:v>
      </x:c>
      <x:c r="J131" s="24" t="n">
        <x:f>IF(A131="","",C131+(G131+H131)/1440)</x:f>
        <x:v>0.7916666666666666</x:v>
      </x:c>
      <x:c r="K131" s="27" t="n">
        <x:f>IF(A131="","",IF(E131&lt;&gt;"sim",0,COUNTIFS($B$2:$B$501,B131,$F$2:$F$501,F131,$E$2:$E$501,"sim",$C$2:$C$501,"&lt;"&amp;J131,$J$2:$J$501,"&gt;"&amp;C131)-1))</x:f>
        <x:v>0</x:v>
      </x:c>
      <x:c r="L131" s="27" t="n">
        <x:f>IF(A131="","",IF(E131&lt;&gt;"sim",0,COUNTIFS($B$2:$B$501,B131,$A$2:$A$501,A131,$E$2:$E$501,"sim",$C$2:$C$501,"&lt;"&amp;J131,$J$2:$J$501,"&gt;"&amp;C131)-1))</x:f>
        <x:v>0</x:v>
      </x:c>
      <x:c r="M131" s="2" t="str">
        <x:f>IF(A131="","",IF(E131&lt;&gt;"sim","Revisar escala",IF(OR(K131&gt;0,L131&gt;0),"Conflito de escala",IF(COUNTIFS('Solicitacoes'!$F$2:$F$501,B131,'Solicitacoes'!$K$2:$K$501,F131,'Solicitacoes'!$I$2:$I$501,"pendente",'Solicitacoes'!$G$2:$G$501,"&lt;"&amp;J131,'Solicitacoes'!$N$2:$N$501,"&gt;"&amp;C131)+COUNTIFS('Solicitacoes'!$F$2:$F$501,B131,'Solicitacoes'!$E$2:$E$501,A131,'Solicitacoes'!$I$2:$I$501,"pendente",'Solicitacoes'!$G$2:$G$501,"&lt;"&amp;J131,'Solicitacoes'!$N$2:$N$501,"&gt;"&amp;C131)+COUNTIFS('Solicitacoes'!$F$2:$F$501,B131,'Solicitacoes'!$K$2:$K$501,F131,'Solicitacoes'!$I$2:$I$501,"confirmado",'Solicitacoes'!$G$2:$G$501,"&lt;"&amp;J131,'Solicitacoes'!$N$2:$N$501,"&gt;"&amp;C131)+COUNTIFS('Solicitacoes'!$F$2:$F$501,B131,'Solicitacoes'!$E$2:$E$501,A131,'Solicitacoes'!$I$2:$I$501,"confirmado",'Solicitacoes'!$G$2:$G$501,"&lt;"&amp;J131,'Solicitacoes'!$N$2:$N$501,"&gt;"&amp;C131)&gt;0,"Ocupado","Disponível"))))</x:f>
        <x:v>Revisar escala</x:v>
      </x:c>
      <x:c r="N131" s="2" t="n">
        <x:f>IF(A131="","",ROW()-1)</x:f>
        <x:v>130</x:v>
      </x:c>
    </x:row>
    <x:row r="132" ht="24" customHeight="1">
      <x:c r="A132" s="13" t="str">
        <x:v>Géssyca Martins</x:v>
      </x:c>
      <x:c r="B132" s="14" t="d">
        <x:v>2026-10-12T00:00:00.000Z</x:v>
      </x:c>
      <x:c r="C132" s="26" t="n">
        <x:v>0.7916666666666666</x:v>
      </x:c>
      <x:c r="D132" s="13" t="str">
        <x:v>presencial</x:v>
      </x:c>
      <x:c r="E132" s="13" t="str">
        <x:v>não</x:v>
      </x:c>
      <x:c r="F132" s="13" t="str">
        <x:v>Sala 1</x:v>
      </x:c>
      <x:c r="G132" s="12" t="n">
        <x:f>IF(A132="","",'Agenda'!$B$5)</x:f>
        <x:v>50</x:v>
      </x:c>
      <x:c r="H132" s="12" t="n">
        <x:f>IF(A132="","",'Agenda'!$B$6)</x:f>
        <x:v>10</x:v>
      </x:c>
      <x:c r="I132" s="24" t="n">
        <x:f>IF(A132="","",C132+G132/1440)</x:f>
        <x:v>0.8263888888888888</x:v>
      </x:c>
      <x:c r="J132" s="24" t="n">
        <x:f>IF(A132="","",C132+(G132+H132)/1440)</x:f>
        <x:v>0.8333333333333333</x:v>
      </x:c>
      <x:c r="K132" s="27" t="n">
        <x:f>IF(A132="","",IF(E132&lt;&gt;"sim",0,COUNTIFS($B$2:$B$501,B132,$F$2:$F$501,F132,$E$2:$E$501,"sim",$C$2:$C$501,"&lt;"&amp;J132,$J$2:$J$501,"&gt;"&amp;C132)-1))</x:f>
        <x:v>0</x:v>
      </x:c>
      <x:c r="L132" s="27" t="n">
        <x:f>IF(A132="","",IF(E132&lt;&gt;"sim",0,COUNTIFS($B$2:$B$501,B132,$A$2:$A$501,A132,$E$2:$E$501,"sim",$C$2:$C$501,"&lt;"&amp;J132,$J$2:$J$501,"&gt;"&amp;C132)-1))</x:f>
        <x:v>0</x:v>
      </x:c>
      <x:c r="M132" s="2" t="str">
        <x:f>IF(A132="","",IF(E132&lt;&gt;"sim","Revisar escala",IF(OR(K132&gt;0,L132&gt;0),"Conflito de escala",IF(COUNTIFS('Solicitacoes'!$F$2:$F$501,B132,'Solicitacoes'!$K$2:$K$501,F132,'Solicitacoes'!$I$2:$I$501,"pendente",'Solicitacoes'!$G$2:$G$501,"&lt;"&amp;J132,'Solicitacoes'!$N$2:$N$501,"&gt;"&amp;C132)+COUNTIFS('Solicitacoes'!$F$2:$F$501,B132,'Solicitacoes'!$E$2:$E$501,A132,'Solicitacoes'!$I$2:$I$501,"pendente",'Solicitacoes'!$G$2:$G$501,"&lt;"&amp;J132,'Solicitacoes'!$N$2:$N$501,"&gt;"&amp;C132)+COUNTIFS('Solicitacoes'!$F$2:$F$501,B132,'Solicitacoes'!$K$2:$K$501,F132,'Solicitacoes'!$I$2:$I$501,"confirmado",'Solicitacoes'!$G$2:$G$501,"&lt;"&amp;J132,'Solicitacoes'!$N$2:$N$501,"&gt;"&amp;C132)+COUNTIFS('Solicitacoes'!$F$2:$F$501,B132,'Solicitacoes'!$E$2:$E$501,A132,'Solicitacoes'!$I$2:$I$501,"confirmado",'Solicitacoes'!$G$2:$G$501,"&lt;"&amp;J132,'Solicitacoes'!$N$2:$N$501,"&gt;"&amp;C132)&gt;0,"Ocupado","Disponível"))))</x:f>
        <x:v>Revisar escala</x:v>
      </x:c>
      <x:c r="N132" s="2" t="n">
        <x:f>IF(A132="","",ROW()-1)</x:f>
        <x:v>131</x:v>
      </x:c>
    </x:row>
    <x:row r="133" ht="24" customHeight="1">
      <x:c r="A133" s="13" t="str">
        <x:v>Laura Casanova</x:v>
      </x:c>
      <x:c r="B133" s="14" t="d">
        <x:v>2026-10-12T00:00:00.000Z</x:v>
      </x:c>
      <x:c r="C133" s="26" t="n">
        <x:v>0.7916666666666666</x:v>
      </x:c>
      <x:c r="D133" s="13" t="str">
        <x:v>presencial</x:v>
      </x:c>
      <x:c r="E133" s="13" t="str">
        <x:v>não</x:v>
      </x:c>
      <x:c r="F133" s="13" t="str">
        <x:v>Sala 2</x:v>
      </x:c>
      <x:c r="G133" s="12" t="n">
        <x:f>IF(A133="","",'Agenda'!$B$5)</x:f>
        <x:v>50</x:v>
      </x:c>
      <x:c r="H133" s="12" t="n">
        <x:f>IF(A133="","",'Agenda'!$B$6)</x:f>
        <x:v>10</x:v>
      </x:c>
      <x:c r="I133" s="24" t="n">
        <x:f>IF(A133="","",C133+G133/1440)</x:f>
        <x:v>0.8263888888888888</x:v>
      </x:c>
      <x:c r="J133" s="24" t="n">
        <x:f>IF(A133="","",C133+(G133+H133)/1440)</x:f>
        <x:v>0.8333333333333333</x:v>
      </x:c>
      <x:c r="K133" s="27" t="n">
        <x:f>IF(A133="","",IF(E133&lt;&gt;"sim",0,COUNTIFS($B$2:$B$501,B133,$F$2:$F$501,F133,$E$2:$E$501,"sim",$C$2:$C$501,"&lt;"&amp;J133,$J$2:$J$501,"&gt;"&amp;C133)-1))</x:f>
        <x:v>0</x:v>
      </x:c>
      <x:c r="L133" s="27" t="n">
        <x:f>IF(A133="","",IF(E133&lt;&gt;"sim",0,COUNTIFS($B$2:$B$501,B133,$A$2:$A$501,A133,$E$2:$E$501,"sim",$C$2:$C$501,"&lt;"&amp;J133,$J$2:$J$501,"&gt;"&amp;C133)-1))</x:f>
        <x:v>0</x:v>
      </x:c>
      <x:c r="M133" s="2" t="str">
        <x:f>IF(A133="","",IF(E133&lt;&gt;"sim","Revisar escala",IF(OR(K133&gt;0,L133&gt;0),"Conflito de escala",IF(COUNTIFS('Solicitacoes'!$F$2:$F$501,B133,'Solicitacoes'!$K$2:$K$501,F133,'Solicitacoes'!$I$2:$I$501,"pendente",'Solicitacoes'!$G$2:$G$501,"&lt;"&amp;J133,'Solicitacoes'!$N$2:$N$501,"&gt;"&amp;C133)+COUNTIFS('Solicitacoes'!$F$2:$F$501,B133,'Solicitacoes'!$E$2:$E$501,A133,'Solicitacoes'!$I$2:$I$501,"pendente",'Solicitacoes'!$G$2:$G$501,"&lt;"&amp;J133,'Solicitacoes'!$N$2:$N$501,"&gt;"&amp;C133)+COUNTIFS('Solicitacoes'!$F$2:$F$501,B133,'Solicitacoes'!$K$2:$K$501,F133,'Solicitacoes'!$I$2:$I$501,"confirmado",'Solicitacoes'!$G$2:$G$501,"&lt;"&amp;J133,'Solicitacoes'!$N$2:$N$501,"&gt;"&amp;C133)+COUNTIFS('Solicitacoes'!$F$2:$F$501,B133,'Solicitacoes'!$E$2:$E$501,A133,'Solicitacoes'!$I$2:$I$501,"confirmado",'Solicitacoes'!$G$2:$G$501,"&lt;"&amp;J133,'Solicitacoes'!$N$2:$N$501,"&gt;"&amp;C133)&gt;0,"Ocupado","Disponível"))))</x:f>
        <x:v>Revisar escala</x:v>
      </x:c>
      <x:c r="N133" s="2" t="n">
        <x:f>IF(A133="","",ROW()-1)</x:f>
        <x:v>132</x:v>
      </x:c>
    </x:row>
    <x:row r="134" ht="24" customHeight="1">
      <x:c r="A134" s="13" t="str">
        <x:v>Aline Reis</x:v>
      </x:c>
      <x:c r="B134" s="14" t="d">
        <x:v>2026-10-13T00:00:00.000Z</x:v>
      </x:c>
      <x:c r="C134" s="26" t="n">
        <x:v>0.375</x:v>
      </x:c>
      <x:c r="D134" s="13" t="str">
        <x:v>presencial</x:v>
      </x:c>
      <x:c r="E134" s="13" t="str">
        <x:v>não</x:v>
      </x:c>
      <x:c r="F134" s="13" t="str">
        <x:v>Sala 1</x:v>
      </x:c>
      <x:c r="G134" s="12" t="n">
        <x:f>IF(A134="","",'Agenda'!$B$5)</x:f>
        <x:v>50</x:v>
      </x:c>
      <x:c r="H134" s="12" t="n">
        <x:f>IF(A134="","",'Agenda'!$B$6)</x:f>
        <x:v>10</x:v>
      </x:c>
      <x:c r="I134" s="24" t="n">
        <x:f>IF(A134="","",C134+G134/1440)</x:f>
        <x:v>0.4097222222222222</x:v>
      </x:c>
      <x:c r="J134" s="24" t="n">
        <x:f>IF(A134="","",C134+(G134+H134)/1440)</x:f>
        <x:v>0.4166666666666667</x:v>
      </x:c>
      <x:c r="K134" s="27" t="n">
        <x:f>IF(A134="","",IF(E134&lt;&gt;"sim",0,COUNTIFS($B$2:$B$501,B134,$F$2:$F$501,F134,$E$2:$E$501,"sim",$C$2:$C$501,"&lt;"&amp;J134,$J$2:$J$501,"&gt;"&amp;C134)-1))</x:f>
        <x:v>0</x:v>
      </x:c>
      <x:c r="L134" s="27" t="n">
        <x:f>IF(A134="","",IF(E134&lt;&gt;"sim",0,COUNTIFS($B$2:$B$501,B134,$A$2:$A$501,A134,$E$2:$E$501,"sim",$C$2:$C$501,"&lt;"&amp;J134,$J$2:$J$501,"&gt;"&amp;C134)-1))</x:f>
        <x:v>0</x:v>
      </x:c>
      <x:c r="M134" s="2" t="str">
        <x:f>IF(A134="","",IF(E134&lt;&gt;"sim","Revisar escala",IF(OR(K134&gt;0,L134&gt;0),"Conflito de escala",IF(COUNTIFS('Solicitacoes'!$F$2:$F$501,B134,'Solicitacoes'!$K$2:$K$501,F134,'Solicitacoes'!$I$2:$I$501,"pendente",'Solicitacoes'!$G$2:$G$501,"&lt;"&amp;J134,'Solicitacoes'!$N$2:$N$501,"&gt;"&amp;C134)+COUNTIFS('Solicitacoes'!$F$2:$F$501,B134,'Solicitacoes'!$E$2:$E$501,A134,'Solicitacoes'!$I$2:$I$501,"pendente",'Solicitacoes'!$G$2:$G$501,"&lt;"&amp;J134,'Solicitacoes'!$N$2:$N$501,"&gt;"&amp;C134)+COUNTIFS('Solicitacoes'!$F$2:$F$501,B134,'Solicitacoes'!$K$2:$K$501,F134,'Solicitacoes'!$I$2:$I$501,"confirmado",'Solicitacoes'!$G$2:$G$501,"&lt;"&amp;J134,'Solicitacoes'!$N$2:$N$501,"&gt;"&amp;C134)+COUNTIFS('Solicitacoes'!$F$2:$F$501,B134,'Solicitacoes'!$E$2:$E$501,A134,'Solicitacoes'!$I$2:$I$501,"confirmado",'Solicitacoes'!$G$2:$G$501,"&lt;"&amp;J134,'Solicitacoes'!$N$2:$N$501,"&gt;"&amp;C134)&gt;0,"Ocupado","Disponível"))))</x:f>
        <x:v>Revisar escala</x:v>
      </x:c>
      <x:c r="N134" s="2" t="n">
        <x:f>IF(A134="","",ROW()-1)</x:f>
        <x:v>133</x:v>
      </x:c>
    </x:row>
    <x:row r="135" ht="24" customHeight="1">
      <x:c r="A135" s="13" t="str">
        <x:v>Géssyca Martins</x:v>
      </x:c>
      <x:c r="B135" s="14" t="d">
        <x:v>2026-10-13T00:00:00.000Z</x:v>
      </x:c>
      <x:c r="C135" s="26" t="n">
        <x:v>0.375</x:v>
      </x:c>
      <x:c r="D135" s="13" t="str">
        <x:v>presencial</x:v>
      </x:c>
      <x:c r="E135" s="13" t="str">
        <x:v>não</x:v>
      </x:c>
      <x:c r="F135" s="13" t="str">
        <x:v>Sala 2</x:v>
      </x:c>
      <x:c r="G135" s="12" t="n">
        <x:f>IF(A135="","",'Agenda'!$B$5)</x:f>
        <x:v>50</x:v>
      </x:c>
      <x:c r="H135" s="12" t="n">
        <x:f>IF(A135="","",'Agenda'!$B$6)</x:f>
        <x:v>10</x:v>
      </x:c>
      <x:c r="I135" s="24" t="n">
        <x:f>IF(A135="","",C135+G135/1440)</x:f>
        <x:v>0.4097222222222222</x:v>
      </x:c>
      <x:c r="J135" s="24" t="n">
        <x:f>IF(A135="","",C135+(G135+H135)/1440)</x:f>
        <x:v>0.4166666666666667</x:v>
      </x:c>
      <x:c r="K135" s="27" t="n">
        <x:f>IF(A135="","",IF(E135&lt;&gt;"sim",0,COUNTIFS($B$2:$B$501,B135,$F$2:$F$501,F135,$E$2:$E$501,"sim",$C$2:$C$501,"&lt;"&amp;J135,$J$2:$J$501,"&gt;"&amp;C135)-1))</x:f>
        <x:v>0</x:v>
      </x:c>
      <x:c r="L135" s="27" t="n">
        <x:f>IF(A135="","",IF(E135&lt;&gt;"sim",0,COUNTIFS($B$2:$B$501,B135,$A$2:$A$501,A135,$E$2:$E$501,"sim",$C$2:$C$501,"&lt;"&amp;J135,$J$2:$J$501,"&gt;"&amp;C135)-1))</x:f>
        <x:v>0</x:v>
      </x:c>
      <x:c r="M135" s="2" t="str">
        <x:f>IF(A135="","",IF(E135&lt;&gt;"sim","Revisar escala",IF(OR(K135&gt;0,L135&gt;0),"Conflito de escala",IF(COUNTIFS('Solicitacoes'!$F$2:$F$501,B135,'Solicitacoes'!$K$2:$K$501,F135,'Solicitacoes'!$I$2:$I$501,"pendente",'Solicitacoes'!$G$2:$G$501,"&lt;"&amp;J135,'Solicitacoes'!$N$2:$N$501,"&gt;"&amp;C135)+COUNTIFS('Solicitacoes'!$F$2:$F$501,B135,'Solicitacoes'!$E$2:$E$501,A135,'Solicitacoes'!$I$2:$I$501,"pendente",'Solicitacoes'!$G$2:$G$501,"&lt;"&amp;J135,'Solicitacoes'!$N$2:$N$501,"&gt;"&amp;C135)+COUNTIFS('Solicitacoes'!$F$2:$F$501,B135,'Solicitacoes'!$K$2:$K$501,F135,'Solicitacoes'!$I$2:$I$501,"confirmado",'Solicitacoes'!$G$2:$G$501,"&lt;"&amp;J135,'Solicitacoes'!$N$2:$N$501,"&gt;"&amp;C135)+COUNTIFS('Solicitacoes'!$F$2:$F$501,B135,'Solicitacoes'!$E$2:$E$501,A135,'Solicitacoes'!$I$2:$I$501,"confirmado",'Solicitacoes'!$G$2:$G$501,"&lt;"&amp;J135,'Solicitacoes'!$N$2:$N$501,"&gt;"&amp;C135)&gt;0,"Ocupado","Disponível"))))</x:f>
        <x:v>Revisar escala</x:v>
      </x:c>
      <x:c r="N135" s="2" t="n">
        <x:f>IF(A135="","",ROW()-1)</x:f>
        <x:v>134</x:v>
      </x:c>
    </x:row>
    <x:row r="136" ht="24" customHeight="1">
      <x:c r="A136" s="13" t="str">
        <x:v>Aline Reis</x:v>
      </x:c>
      <x:c r="B136" s="14" t="d">
        <x:v>2026-10-13T00:00:00.000Z</x:v>
      </x:c>
      <x:c r="C136" s="26" t="n">
        <x:v>0.4166666666666667</x:v>
      </x:c>
      <x:c r="D136" s="13" t="str">
        <x:v>presencial</x:v>
      </x:c>
      <x:c r="E136" s="13" t="str">
        <x:v>não</x:v>
      </x:c>
      <x:c r="F136" s="13" t="str">
        <x:v>Sala 1</x:v>
      </x:c>
      <x:c r="G136" s="12" t="n">
        <x:f>IF(A136="","",'Agenda'!$B$5)</x:f>
        <x:v>50</x:v>
      </x:c>
      <x:c r="H136" s="12" t="n">
        <x:f>IF(A136="","",'Agenda'!$B$6)</x:f>
        <x:v>10</x:v>
      </x:c>
      <x:c r="I136" s="24" t="n">
        <x:f>IF(A136="","",C136+G136/1440)</x:f>
        <x:v>0.4513888888888889</x:v>
      </x:c>
      <x:c r="J136" s="24" t="n">
        <x:f>IF(A136="","",C136+(G136+H136)/1440)</x:f>
        <x:v>0.45833333333333337</x:v>
      </x:c>
      <x:c r="K136" s="27" t="n">
        <x:f>IF(A136="","",IF(E136&lt;&gt;"sim",0,COUNTIFS($B$2:$B$501,B136,$F$2:$F$501,F136,$E$2:$E$501,"sim",$C$2:$C$501,"&lt;"&amp;J136,$J$2:$J$501,"&gt;"&amp;C136)-1))</x:f>
        <x:v>0</x:v>
      </x:c>
      <x:c r="L136" s="27" t="n">
        <x:f>IF(A136="","",IF(E136&lt;&gt;"sim",0,COUNTIFS($B$2:$B$501,B136,$A$2:$A$501,A136,$E$2:$E$501,"sim",$C$2:$C$501,"&lt;"&amp;J136,$J$2:$J$501,"&gt;"&amp;C136)-1))</x:f>
        <x:v>0</x:v>
      </x:c>
      <x:c r="M136" s="2" t="str">
        <x:f>IF(A136="","",IF(E136&lt;&gt;"sim","Revisar escala",IF(OR(K136&gt;0,L136&gt;0),"Conflito de escala",IF(COUNTIFS('Solicitacoes'!$F$2:$F$501,B136,'Solicitacoes'!$K$2:$K$501,F136,'Solicitacoes'!$I$2:$I$501,"pendente",'Solicitacoes'!$G$2:$G$501,"&lt;"&amp;J136,'Solicitacoes'!$N$2:$N$501,"&gt;"&amp;C136)+COUNTIFS('Solicitacoes'!$F$2:$F$501,B136,'Solicitacoes'!$E$2:$E$501,A136,'Solicitacoes'!$I$2:$I$501,"pendente",'Solicitacoes'!$G$2:$G$501,"&lt;"&amp;J136,'Solicitacoes'!$N$2:$N$501,"&gt;"&amp;C136)+COUNTIFS('Solicitacoes'!$F$2:$F$501,B136,'Solicitacoes'!$K$2:$K$501,F136,'Solicitacoes'!$I$2:$I$501,"confirmado",'Solicitacoes'!$G$2:$G$501,"&lt;"&amp;J136,'Solicitacoes'!$N$2:$N$501,"&gt;"&amp;C136)+COUNTIFS('Solicitacoes'!$F$2:$F$501,B136,'Solicitacoes'!$E$2:$E$501,A136,'Solicitacoes'!$I$2:$I$501,"confirmado",'Solicitacoes'!$G$2:$G$501,"&lt;"&amp;J136,'Solicitacoes'!$N$2:$N$501,"&gt;"&amp;C136)&gt;0,"Ocupado","Disponível"))))</x:f>
        <x:v>Revisar escala</x:v>
      </x:c>
      <x:c r="N136" s="2" t="n">
        <x:f>IF(A136="","",ROW()-1)</x:f>
        <x:v>135</x:v>
      </x:c>
    </x:row>
    <x:row r="137" ht="24" customHeight="1">
      <x:c r="A137" s="13" t="str">
        <x:v>Géssyca Martins</x:v>
      </x:c>
      <x:c r="B137" s="14" t="d">
        <x:v>2026-10-13T00:00:00.000Z</x:v>
      </x:c>
      <x:c r="C137" s="26" t="n">
        <x:v>0.4166666666666667</x:v>
      </x:c>
      <x:c r="D137" s="13" t="str">
        <x:v>presencial</x:v>
      </x:c>
      <x:c r="E137" s="13" t="str">
        <x:v>não</x:v>
      </x:c>
      <x:c r="F137" s="13" t="str">
        <x:v>Sala 2</x:v>
      </x:c>
      <x:c r="G137" s="12" t="n">
        <x:f>IF(A137="","",'Agenda'!$B$5)</x:f>
        <x:v>50</x:v>
      </x:c>
      <x:c r="H137" s="12" t="n">
        <x:f>IF(A137="","",'Agenda'!$B$6)</x:f>
        <x:v>10</x:v>
      </x:c>
      <x:c r="I137" s="24" t="n">
        <x:f>IF(A137="","",C137+G137/1440)</x:f>
        <x:v>0.4513888888888889</x:v>
      </x:c>
      <x:c r="J137" s="24" t="n">
        <x:f>IF(A137="","",C137+(G137+H137)/1440)</x:f>
        <x:v>0.45833333333333337</x:v>
      </x:c>
      <x:c r="K137" s="27" t="n">
        <x:f>IF(A137="","",IF(E137&lt;&gt;"sim",0,COUNTIFS($B$2:$B$501,B137,$F$2:$F$501,F137,$E$2:$E$501,"sim",$C$2:$C$501,"&lt;"&amp;J137,$J$2:$J$501,"&gt;"&amp;C137)-1))</x:f>
        <x:v>0</x:v>
      </x:c>
      <x:c r="L137" s="27" t="n">
        <x:f>IF(A137="","",IF(E137&lt;&gt;"sim",0,COUNTIFS($B$2:$B$501,B137,$A$2:$A$501,A137,$E$2:$E$501,"sim",$C$2:$C$501,"&lt;"&amp;J137,$J$2:$J$501,"&gt;"&amp;C137)-1))</x:f>
        <x:v>0</x:v>
      </x:c>
      <x:c r="M137" s="2" t="str">
        <x:f>IF(A137="","",IF(E137&lt;&gt;"sim","Revisar escala",IF(OR(K137&gt;0,L137&gt;0),"Conflito de escala",IF(COUNTIFS('Solicitacoes'!$F$2:$F$501,B137,'Solicitacoes'!$K$2:$K$501,F137,'Solicitacoes'!$I$2:$I$501,"pendente",'Solicitacoes'!$G$2:$G$501,"&lt;"&amp;J137,'Solicitacoes'!$N$2:$N$501,"&gt;"&amp;C137)+COUNTIFS('Solicitacoes'!$F$2:$F$501,B137,'Solicitacoes'!$E$2:$E$501,A137,'Solicitacoes'!$I$2:$I$501,"pendente",'Solicitacoes'!$G$2:$G$501,"&lt;"&amp;J137,'Solicitacoes'!$N$2:$N$501,"&gt;"&amp;C137)+COUNTIFS('Solicitacoes'!$F$2:$F$501,B137,'Solicitacoes'!$K$2:$K$501,F137,'Solicitacoes'!$I$2:$I$501,"confirmado",'Solicitacoes'!$G$2:$G$501,"&lt;"&amp;J137,'Solicitacoes'!$N$2:$N$501,"&gt;"&amp;C137)+COUNTIFS('Solicitacoes'!$F$2:$F$501,B137,'Solicitacoes'!$E$2:$E$501,A137,'Solicitacoes'!$I$2:$I$501,"confirmado",'Solicitacoes'!$G$2:$G$501,"&lt;"&amp;J137,'Solicitacoes'!$N$2:$N$501,"&gt;"&amp;C137)&gt;0,"Ocupado","Disponível"))))</x:f>
        <x:v>Revisar escala</x:v>
      </x:c>
      <x:c r="N137" s="2" t="n">
        <x:f>IF(A137="","",ROW()-1)</x:f>
        <x:v>136</x:v>
      </x:c>
    </x:row>
    <x:row r="138" ht="24" customHeight="1">
      <x:c r="A138" s="13" t="str">
        <x:v>Aline Reis</x:v>
      </x:c>
      <x:c r="B138" s="14" t="d">
        <x:v>2026-10-13T00:00:00.000Z</x:v>
      </x:c>
      <x:c r="C138" s="26" t="n">
        <x:v>0.4583333333333333</x:v>
      </x:c>
      <x:c r="D138" s="13" t="str">
        <x:v>presencial</x:v>
      </x:c>
      <x:c r="E138" s="13" t="str">
        <x:v>não</x:v>
      </x:c>
      <x:c r="F138" s="13" t="str">
        <x:v>Sala 1</x:v>
      </x:c>
      <x:c r="G138" s="12" t="n">
        <x:f>IF(A138="","",'Agenda'!$B$5)</x:f>
        <x:v>50</x:v>
      </x:c>
      <x:c r="H138" s="12" t="n">
        <x:f>IF(A138="","",'Agenda'!$B$6)</x:f>
        <x:v>10</x:v>
      </x:c>
      <x:c r="I138" s="24" t="n">
        <x:f>IF(A138="","",C138+G138/1440)</x:f>
        <x:v>0.4930555555555555</x:v>
      </x:c>
      <x:c r="J138" s="24" t="n">
        <x:f>IF(A138="","",C138+(G138+H138)/1440)</x:f>
        <x:v>0.5</x:v>
      </x:c>
      <x:c r="K138" s="27" t="n">
        <x:f>IF(A138="","",IF(E138&lt;&gt;"sim",0,COUNTIFS($B$2:$B$501,B138,$F$2:$F$501,F138,$E$2:$E$501,"sim",$C$2:$C$501,"&lt;"&amp;J138,$J$2:$J$501,"&gt;"&amp;C138)-1))</x:f>
        <x:v>0</x:v>
      </x:c>
      <x:c r="L138" s="27" t="n">
        <x:f>IF(A138="","",IF(E138&lt;&gt;"sim",0,COUNTIFS($B$2:$B$501,B138,$A$2:$A$501,A138,$E$2:$E$501,"sim",$C$2:$C$501,"&lt;"&amp;J138,$J$2:$J$501,"&gt;"&amp;C138)-1))</x:f>
        <x:v>0</x:v>
      </x:c>
      <x:c r="M138" s="2" t="str">
        <x:f>IF(A138="","",IF(E138&lt;&gt;"sim","Revisar escala",IF(OR(K138&gt;0,L138&gt;0),"Conflito de escala",IF(COUNTIFS('Solicitacoes'!$F$2:$F$501,B138,'Solicitacoes'!$K$2:$K$501,F138,'Solicitacoes'!$I$2:$I$501,"pendente",'Solicitacoes'!$G$2:$G$501,"&lt;"&amp;J138,'Solicitacoes'!$N$2:$N$501,"&gt;"&amp;C138)+COUNTIFS('Solicitacoes'!$F$2:$F$501,B138,'Solicitacoes'!$E$2:$E$501,A138,'Solicitacoes'!$I$2:$I$501,"pendente",'Solicitacoes'!$G$2:$G$501,"&lt;"&amp;J138,'Solicitacoes'!$N$2:$N$501,"&gt;"&amp;C138)+COUNTIFS('Solicitacoes'!$F$2:$F$501,B138,'Solicitacoes'!$K$2:$K$501,F138,'Solicitacoes'!$I$2:$I$501,"confirmado",'Solicitacoes'!$G$2:$G$501,"&lt;"&amp;J138,'Solicitacoes'!$N$2:$N$501,"&gt;"&amp;C138)+COUNTIFS('Solicitacoes'!$F$2:$F$501,B138,'Solicitacoes'!$E$2:$E$501,A138,'Solicitacoes'!$I$2:$I$501,"confirmado",'Solicitacoes'!$G$2:$G$501,"&lt;"&amp;J138,'Solicitacoes'!$N$2:$N$501,"&gt;"&amp;C138)&gt;0,"Ocupado","Disponível"))))</x:f>
        <x:v>Revisar escala</x:v>
      </x:c>
      <x:c r="N138" s="2" t="n">
        <x:f>IF(A138="","",ROW()-1)</x:f>
        <x:v>137</x:v>
      </x:c>
    </x:row>
    <x:row r="139" ht="24" customHeight="1">
      <x:c r="A139" s="13" t="str">
        <x:v>Géssyca Martins</x:v>
      </x:c>
      <x:c r="B139" s="14" t="d">
        <x:v>2026-10-13T00:00:00.000Z</x:v>
      </x:c>
      <x:c r="C139" s="26" t="n">
        <x:v>0.4583333333333333</x:v>
      </x:c>
      <x:c r="D139" s="13" t="str">
        <x:v>presencial</x:v>
      </x:c>
      <x:c r="E139" s="13" t="str">
        <x:v>não</x:v>
      </x:c>
      <x:c r="F139" s="13" t="str">
        <x:v>Sala 2</x:v>
      </x:c>
      <x:c r="G139" s="12" t="n">
        <x:f>IF(A139="","",'Agenda'!$B$5)</x:f>
        <x:v>50</x:v>
      </x:c>
      <x:c r="H139" s="12" t="n">
        <x:f>IF(A139="","",'Agenda'!$B$6)</x:f>
        <x:v>10</x:v>
      </x:c>
      <x:c r="I139" s="24" t="n">
        <x:f>IF(A139="","",C139+G139/1440)</x:f>
        <x:v>0.4930555555555555</x:v>
      </x:c>
      <x:c r="J139" s="24" t="n">
        <x:f>IF(A139="","",C139+(G139+H139)/1440)</x:f>
        <x:v>0.5</x:v>
      </x:c>
      <x:c r="K139" s="27" t="n">
        <x:f>IF(A139="","",IF(E139&lt;&gt;"sim",0,COUNTIFS($B$2:$B$501,B139,$F$2:$F$501,F139,$E$2:$E$501,"sim",$C$2:$C$501,"&lt;"&amp;J139,$J$2:$J$501,"&gt;"&amp;C139)-1))</x:f>
        <x:v>0</x:v>
      </x:c>
      <x:c r="L139" s="27" t="n">
        <x:f>IF(A139="","",IF(E139&lt;&gt;"sim",0,COUNTIFS($B$2:$B$501,B139,$A$2:$A$501,A139,$E$2:$E$501,"sim",$C$2:$C$501,"&lt;"&amp;J139,$J$2:$J$501,"&gt;"&amp;C139)-1))</x:f>
        <x:v>0</x:v>
      </x:c>
      <x:c r="M139" s="2" t="str">
        <x:f>IF(A139="","",IF(E139&lt;&gt;"sim","Revisar escala",IF(OR(K139&gt;0,L139&gt;0),"Conflito de escala",IF(COUNTIFS('Solicitacoes'!$F$2:$F$501,B139,'Solicitacoes'!$K$2:$K$501,F139,'Solicitacoes'!$I$2:$I$501,"pendente",'Solicitacoes'!$G$2:$G$501,"&lt;"&amp;J139,'Solicitacoes'!$N$2:$N$501,"&gt;"&amp;C139)+COUNTIFS('Solicitacoes'!$F$2:$F$501,B139,'Solicitacoes'!$E$2:$E$501,A139,'Solicitacoes'!$I$2:$I$501,"pendente",'Solicitacoes'!$G$2:$G$501,"&lt;"&amp;J139,'Solicitacoes'!$N$2:$N$501,"&gt;"&amp;C139)+COUNTIFS('Solicitacoes'!$F$2:$F$501,B139,'Solicitacoes'!$K$2:$K$501,F139,'Solicitacoes'!$I$2:$I$501,"confirmado",'Solicitacoes'!$G$2:$G$501,"&lt;"&amp;J139,'Solicitacoes'!$N$2:$N$501,"&gt;"&amp;C139)+COUNTIFS('Solicitacoes'!$F$2:$F$501,B139,'Solicitacoes'!$E$2:$E$501,A139,'Solicitacoes'!$I$2:$I$501,"confirmado",'Solicitacoes'!$G$2:$G$501,"&lt;"&amp;J139,'Solicitacoes'!$N$2:$N$501,"&gt;"&amp;C139)&gt;0,"Ocupado","Disponível"))))</x:f>
        <x:v>Revisar escala</x:v>
      </x:c>
      <x:c r="N139" s="2" t="n">
        <x:f>IF(A139="","",ROW()-1)</x:f>
        <x:v>138</x:v>
      </x:c>
    </x:row>
    <x:row r="140" ht="24" customHeight="1">
      <x:c r="A140" s="13" t="str">
        <x:v>Aline Reis</x:v>
      </x:c>
      <x:c r="B140" s="14" t="d">
        <x:v>2026-10-13T00:00:00.000Z</x:v>
      </x:c>
      <x:c r="C140" s="26" t="n">
        <x:v>0.5</x:v>
      </x:c>
      <x:c r="D140" s="13" t="str">
        <x:v>presencial</x:v>
      </x:c>
      <x:c r="E140" s="13" t="str">
        <x:v>não</x:v>
      </x:c>
      <x:c r="F140" s="13" t="str">
        <x:v>Sala 1</x:v>
      </x:c>
      <x:c r="G140" s="12" t="n">
        <x:f>IF(A140="","",'Agenda'!$B$5)</x:f>
        <x:v>50</x:v>
      </x:c>
      <x:c r="H140" s="12" t="n">
        <x:f>IF(A140="","",'Agenda'!$B$6)</x:f>
        <x:v>10</x:v>
      </x:c>
      <x:c r="I140" s="24" t="n">
        <x:f>IF(A140="","",C140+G140/1440)</x:f>
        <x:v>0.5347222222222222</x:v>
      </x:c>
      <x:c r="J140" s="24" t="n">
        <x:f>IF(A140="","",C140+(G140+H140)/1440)</x:f>
        <x:v>0.5416666666666666</x:v>
      </x:c>
      <x:c r="K140" s="27" t="n">
        <x:f>IF(A140="","",IF(E140&lt;&gt;"sim",0,COUNTIFS($B$2:$B$501,B140,$F$2:$F$501,F140,$E$2:$E$501,"sim",$C$2:$C$501,"&lt;"&amp;J140,$J$2:$J$501,"&gt;"&amp;C140)-1))</x:f>
        <x:v>0</x:v>
      </x:c>
      <x:c r="L140" s="27" t="n">
        <x:f>IF(A140="","",IF(E140&lt;&gt;"sim",0,COUNTIFS($B$2:$B$501,B140,$A$2:$A$501,A140,$E$2:$E$501,"sim",$C$2:$C$501,"&lt;"&amp;J140,$J$2:$J$501,"&gt;"&amp;C140)-1))</x:f>
        <x:v>0</x:v>
      </x:c>
      <x:c r="M140" s="2" t="str">
        <x:f>IF(A140="","",IF(E140&lt;&gt;"sim","Revisar escala",IF(OR(K140&gt;0,L140&gt;0),"Conflito de escala",IF(COUNTIFS('Solicitacoes'!$F$2:$F$501,B140,'Solicitacoes'!$K$2:$K$501,F140,'Solicitacoes'!$I$2:$I$501,"pendente",'Solicitacoes'!$G$2:$G$501,"&lt;"&amp;J140,'Solicitacoes'!$N$2:$N$501,"&gt;"&amp;C140)+COUNTIFS('Solicitacoes'!$F$2:$F$501,B140,'Solicitacoes'!$E$2:$E$501,A140,'Solicitacoes'!$I$2:$I$501,"pendente",'Solicitacoes'!$G$2:$G$501,"&lt;"&amp;J140,'Solicitacoes'!$N$2:$N$501,"&gt;"&amp;C140)+COUNTIFS('Solicitacoes'!$F$2:$F$501,B140,'Solicitacoes'!$K$2:$K$501,F140,'Solicitacoes'!$I$2:$I$501,"confirmado",'Solicitacoes'!$G$2:$G$501,"&lt;"&amp;J140,'Solicitacoes'!$N$2:$N$501,"&gt;"&amp;C140)+COUNTIFS('Solicitacoes'!$F$2:$F$501,B140,'Solicitacoes'!$E$2:$E$501,A140,'Solicitacoes'!$I$2:$I$501,"confirmado",'Solicitacoes'!$G$2:$G$501,"&lt;"&amp;J140,'Solicitacoes'!$N$2:$N$501,"&gt;"&amp;C140)&gt;0,"Ocupado","Disponível"))))</x:f>
        <x:v>Revisar escala</x:v>
      </x:c>
      <x:c r="N140" s="2" t="n">
        <x:f>IF(A140="","",ROW()-1)</x:f>
        <x:v>139</x:v>
      </x:c>
    </x:row>
    <x:row r="141" ht="24" customHeight="1">
      <x:c r="A141" s="13" t="str">
        <x:v>Géssyca Martins</x:v>
      </x:c>
      <x:c r="B141" s="14" t="d">
        <x:v>2026-10-13T00:00:00.000Z</x:v>
      </x:c>
      <x:c r="C141" s="26" t="n">
        <x:v>0.5</x:v>
      </x:c>
      <x:c r="D141" s="13" t="str">
        <x:v>presencial</x:v>
      </x:c>
      <x:c r="E141" s="13" t="str">
        <x:v>não</x:v>
      </x:c>
      <x:c r="F141" s="13" t="str">
        <x:v>Sala 2</x:v>
      </x:c>
      <x:c r="G141" s="12" t="n">
        <x:f>IF(A141="","",'Agenda'!$B$5)</x:f>
        <x:v>50</x:v>
      </x:c>
      <x:c r="H141" s="12" t="n">
        <x:f>IF(A141="","",'Agenda'!$B$6)</x:f>
        <x:v>10</x:v>
      </x:c>
      <x:c r="I141" s="24" t="n">
        <x:f>IF(A141="","",C141+G141/1440)</x:f>
        <x:v>0.5347222222222222</x:v>
      </x:c>
      <x:c r="J141" s="24" t="n">
        <x:f>IF(A141="","",C141+(G141+H141)/1440)</x:f>
        <x:v>0.5416666666666666</x:v>
      </x:c>
      <x:c r="K141" s="27" t="n">
        <x:f>IF(A141="","",IF(E141&lt;&gt;"sim",0,COUNTIFS($B$2:$B$501,B141,$F$2:$F$501,F141,$E$2:$E$501,"sim",$C$2:$C$501,"&lt;"&amp;J141,$J$2:$J$501,"&gt;"&amp;C141)-1))</x:f>
        <x:v>0</x:v>
      </x:c>
      <x:c r="L141" s="27" t="n">
        <x:f>IF(A141="","",IF(E141&lt;&gt;"sim",0,COUNTIFS($B$2:$B$501,B141,$A$2:$A$501,A141,$E$2:$E$501,"sim",$C$2:$C$501,"&lt;"&amp;J141,$J$2:$J$501,"&gt;"&amp;C141)-1))</x:f>
        <x:v>0</x:v>
      </x:c>
      <x:c r="M141" s="2" t="str">
        <x:f>IF(A141="","",IF(E141&lt;&gt;"sim","Revisar escala",IF(OR(K141&gt;0,L141&gt;0),"Conflito de escala",IF(COUNTIFS('Solicitacoes'!$F$2:$F$501,B141,'Solicitacoes'!$K$2:$K$501,F141,'Solicitacoes'!$I$2:$I$501,"pendente",'Solicitacoes'!$G$2:$G$501,"&lt;"&amp;J141,'Solicitacoes'!$N$2:$N$501,"&gt;"&amp;C141)+COUNTIFS('Solicitacoes'!$F$2:$F$501,B141,'Solicitacoes'!$E$2:$E$501,A141,'Solicitacoes'!$I$2:$I$501,"pendente",'Solicitacoes'!$G$2:$G$501,"&lt;"&amp;J141,'Solicitacoes'!$N$2:$N$501,"&gt;"&amp;C141)+COUNTIFS('Solicitacoes'!$F$2:$F$501,B141,'Solicitacoes'!$K$2:$K$501,F141,'Solicitacoes'!$I$2:$I$501,"confirmado",'Solicitacoes'!$G$2:$G$501,"&lt;"&amp;J141,'Solicitacoes'!$N$2:$N$501,"&gt;"&amp;C141)+COUNTIFS('Solicitacoes'!$F$2:$F$501,B141,'Solicitacoes'!$E$2:$E$501,A141,'Solicitacoes'!$I$2:$I$501,"confirmado",'Solicitacoes'!$G$2:$G$501,"&lt;"&amp;J141,'Solicitacoes'!$N$2:$N$501,"&gt;"&amp;C141)&gt;0,"Ocupado","Disponível"))))</x:f>
        <x:v>Revisar escala</x:v>
      </x:c>
      <x:c r="N141" s="2" t="n">
        <x:f>IF(A141="","",ROW()-1)</x:f>
        <x:v>140</x:v>
      </x:c>
    </x:row>
    <x:row r="142" ht="24" customHeight="1">
      <x:c r="A142" s="13" t="str">
        <x:v>Aline Reis</x:v>
      </x:c>
      <x:c r="B142" s="14" t="d">
        <x:v>2026-10-13T00:00:00.000Z</x:v>
      </x:c>
      <x:c r="C142" s="26" t="n">
        <x:v>0.5416666666666666</x:v>
      </x:c>
      <x:c r="D142" s="13" t="str">
        <x:v>presencial</x:v>
      </x:c>
      <x:c r="E142" s="13" t="str">
        <x:v>não</x:v>
      </x:c>
      <x:c r="F142" s="13" t="str">
        <x:v>Sala 1</x:v>
      </x:c>
      <x:c r="G142" s="12" t="n">
        <x:f>IF(A142="","",'Agenda'!$B$5)</x:f>
        <x:v>50</x:v>
      </x:c>
      <x:c r="H142" s="12" t="n">
        <x:f>IF(A142="","",'Agenda'!$B$6)</x:f>
        <x:v>10</x:v>
      </x:c>
      <x:c r="I142" s="24" t="n">
        <x:f>IF(A142="","",C142+G142/1440)</x:f>
        <x:v>0.5763888888888888</x:v>
      </x:c>
      <x:c r="J142" s="24" t="n">
        <x:f>IF(A142="","",C142+(G142+H142)/1440)</x:f>
        <x:v>0.5833333333333333</x:v>
      </x:c>
      <x:c r="K142" s="27" t="n">
        <x:f>IF(A142="","",IF(E142&lt;&gt;"sim",0,COUNTIFS($B$2:$B$501,B142,$F$2:$F$501,F142,$E$2:$E$501,"sim",$C$2:$C$501,"&lt;"&amp;J142,$J$2:$J$501,"&gt;"&amp;C142)-1))</x:f>
        <x:v>0</x:v>
      </x:c>
      <x:c r="L142" s="27" t="n">
        <x:f>IF(A142="","",IF(E142&lt;&gt;"sim",0,COUNTIFS($B$2:$B$501,B142,$A$2:$A$501,A142,$E$2:$E$501,"sim",$C$2:$C$501,"&lt;"&amp;J142,$J$2:$J$501,"&gt;"&amp;C142)-1))</x:f>
        <x:v>0</x:v>
      </x:c>
      <x:c r="M142" s="2" t="str">
        <x:f>IF(A142="","",IF(E142&lt;&gt;"sim","Revisar escala",IF(OR(K142&gt;0,L142&gt;0),"Conflito de escala",IF(COUNTIFS('Solicitacoes'!$F$2:$F$501,B142,'Solicitacoes'!$K$2:$K$501,F142,'Solicitacoes'!$I$2:$I$501,"pendente",'Solicitacoes'!$G$2:$G$501,"&lt;"&amp;J142,'Solicitacoes'!$N$2:$N$501,"&gt;"&amp;C142)+COUNTIFS('Solicitacoes'!$F$2:$F$501,B142,'Solicitacoes'!$E$2:$E$501,A142,'Solicitacoes'!$I$2:$I$501,"pendente",'Solicitacoes'!$G$2:$G$501,"&lt;"&amp;J142,'Solicitacoes'!$N$2:$N$501,"&gt;"&amp;C142)+COUNTIFS('Solicitacoes'!$F$2:$F$501,B142,'Solicitacoes'!$K$2:$K$501,F142,'Solicitacoes'!$I$2:$I$501,"confirmado",'Solicitacoes'!$G$2:$G$501,"&lt;"&amp;J142,'Solicitacoes'!$N$2:$N$501,"&gt;"&amp;C142)+COUNTIFS('Solicitacoes'!$F$2:$F$501,B142,'Solicitacoes'!$E$2:$E$501,A142,'Solicitacoes'!$I$2:$I$501,"confirmado",'Solicitacoes'!$G$2:$G$501,"&lt;"&amp;J142,'Solicitacoes'!$N$2:$N$501,"&gt;"&amp;C142)&gt;0,"Ocupado","Disponível"))))</x:f>
        <x:v>Revisar escala</x:v>
      </x:c>
      <x:c r="N142" s="2" t="n">
        <x:f>IF(A142="","",ROW()-1)</x:f>
        <x:v>141</x:v>
      </x:c>
    </x:row>
    <x:row r="143" ht="24" customHeight="1">
      <x:c r="A143" s="13" t="str">
        <x:v>Géssyca Martins</x:v>
      </x:c>
      <x:c r="B143" s="14" t="d">
        <x:v>2026-10-13T00:00:00.000Z</x:v>
      </x:c>
      <x:c r="C143" s="26" t="n">
        <x:v>0.5416666666666666</x:v>
      </x:c>
      <x:c r="D143" s="13" t="str">
        <x:v>presencial</x:v>
      </x:c>
      <x:c r="E143" s="13" t="str">
        <x:v>não</x:v>
      </x:c>
      <x:c r="F143" s="13" t="str">
        <x:v>Sala 2</x:v>
      </x:c>
      <x:c r="G143" s="12" t="n">
        <x:f>IF(A143="","",'Agenda'!$B$5)</x:f>
        <x:v>50</x:v>
      </x:c>
      <x:c r="H143" s="12" t="n">
        <x:f>IF(A143="","",'Agenda'!$B$6)</x:f>
        <x:v>10</x:v>
      </x:c>
      <x:c r="I143" s="24" t="n">
        <x:f>IF(A143="","",C143+G143/1440)</x:f>
        <x:v>0.5763888888888888</x:v>
      </x:c>
      <x:c r="J143" s="24" t="n">
        <x:f>IF(A143="","",C143+(G143+H143)/1440)</x:f>
        <x:v>0.5833333333333333</x:v>
      </x:c>
      <x:c r="K143" s="27" t="n">
        <x:f>IF(A143="","",IF(E143&lt;&gt;"sim",0,COUNTIFS($B$2:$B$501,B143,$F$2:$F$501,F143,$E$2:$E$501,"sim",$C$2:$C$501,"&lt;"&amp;J143,$J$2:$J$501,"&gt;"&amp;C143)-1))</x:f>
        <x:v>0</x:v>
      </x:c>
      <x:c r="L143" s="27" t="n">
        <x:f>IF(A143="","",IF(E143&lt;&gt;"sim",0,COUNTIFS($B$2:$B$501,B143,$A$2:$A$501,A143,$E$2:$E$501,"sim",$C$2:$C$501,"&lt;"&amp;J143,$J$2:$J$501,"&gt;"&amp;C143)-1))</x:f>
        <x:v>0</x:v>
      </x:c>
      <x:c r="M143" s="2" t="str">
        <x:f>IF(A143="","",IF(E143&lt;&gt;"sim","Revisar escala",IF(OR(K143&gt;0,L143&gt;0),"Conflito de escala",IF(COUNTIFS('Solicitacoes'!$F$2:$F$501,B143,'Solicitacoes'!$K$2:$K$501,F143,'Solicitacoes'!$I$2:$I$501,"pendente",'Solicitacoes'!$G$2:$G$501,"&lt;"&amp;J143,'Solicitacoes'!$N$2:$N$501,"&gt;"&amp;C143)+COUNTIFS('Solicitacoes'!$F$2:$F$501,B143,'Solicitacoes'!$E$2:$E$501,A143,'Solicitacoes'!$I$2:$I$501,"pendente",'Solicitacoes'!$G$2:$G$501,"&lt;"&amp;J143,'Solicitacoes'!$N$2:$N$501,"&gt;"&amp;C143)+COUNTIFS('Solicitacoes'!$F$2:$F$501,B143,'Solicitacoes'!$K$2:$K$501,F143,'Solicitacoes'!$I$2:$I$501,"confirmado",'Solicitacoes'!$G$2:$G$501,"&lt;"&amp;J143,'Solicitacoes'!$N$2:$N$501,"&gt;"&amp;C143)+COUNTIFS('Solicitacoes'!$F$2:$F$501,B143,'Solicitacoes'!$E$2:$E$501,A143,'Solicitacoes'!$I$2:$I$501,"confirmado",'Solicitacoes'!$G$2:$G$501,"&lt;"&amp;J143,'Solicitacoes'!$N$2:$N$501,"&gt;"&amp;C143)&gt;0,"Ocupado","Disponível"))))</x:f>
        <x:v>Revisar escala</x:v>
      </x:c>
      <x:c r="N143" s="2" t="n">
        <x:f>IF(A143="","",ROW()-1)</x:f>
        <x:v>142</x:v>
      </x:c>
    </x:row>
    <x:row r="144" ht="24" customHeight="1">
      <x:c r="A144" s="13" t="str">
        <x:v>Laura Casanova</x:v>
      </x:c>
      <x:c r="B144" s="14" t="d">
        <x:v>2026-10-13T00:00:00.000Z</x:v>
      </x:c>
      <x:c r="C144" s="26" t="n">
        <x:v>0.5833333333333334</x:v>
      </x:c>
      <x:c r="D144" s="13" t="str">
        <x:v>presencial</x:v>
      </x:c>
      <x:c r="E144" s="13" t="str">
        <x:v>não</x:v>
      </x:c>
      <x:c r="F144" s="13" t="str">
        <x:v>Sala 1</x:v>
      </x:c>
      <x:c r="G144" s="12" t="n">
        <x:f>IF(A144="","",'Agenda'!$B$5)</x:f>
        <x:v>50</x:v>
      </x:c>
      <x:c r="H144" s="12" t="n">
        <x:f>IF(A144="","",'Agenda'!$B$6)</x:f>
        <x:v>10</x:v>
      </x:c>
      <x:c r="I144" s="24" t="n">
        <x:f>IF(A144="","",C144+G144/1440)</x:f>
        <x:v>0.6180555555555556</x:v>
      </x:c>
      <x:c r="J144" s="24" t="n">
        <x:f>IF(A144="","",C144+(G144+H144)/1440)</x:f>
        <x:v>0.625</x:v>
      </x:c>
      <x:c r="K144" s="27" t="n">
        <x:f>IF(A144="","",IF(E144&lt;&gt;"sim",0,COUNTIFS($B$2:$B$501,B144,$F$2:$F$501,F144,$E$2:$E$501,"sim",$C$2:$C$501,"&lt;"&amp;J144,$J$2:$J$501,"&gt;"&amp;C144)-1))</x:f>
        <x:v>0</x:v>
      </x:c>
      <x:c r="L144" s="27" t="n">
        <x:f>IF(A144="","",IF(E144&lt;&gt;"sim",0,COUNTIFS($B$2:$B$501,B144,$A$2:$A$501,A144,$E$2:$E$501,"sim",$C$2:$C$501,"&lt;"&amp;J144,$J$2:$J$501,"&gt;"&amp;C144)-1))</x:f>
        <x:v>0</x:v>
      </x:c>
      <x:c r="M144" s="2" t="str">
        <x:f>IF(A144="","",IF(E144&lt;&gt;"sim","Revisar escala",IF(OR(K144&gt;0,L144&gt;0),"Conflito de escala",IF(COUNTIFS('Solicitacoes'!$F$2:$F$501,B144,'Solicitacoes'!$K$2:$K$501,F144,'Solicitacoes'!$I$2:$I$501,"pendente",'Solicitacoes'!$G$2:$G$501,"&lt;"&amp;J144,'Solicitacoes'!$N$2:$N$501,"&gt;"&amp;C144)+COUNTIFS('Solicitacoes'!$F$2:$F$501,B144,'Solicitacoes'!$E$2:$E$501,A144,'Solicitacoes'!$I$2:$I$501,"pendente",'Solicitacoes'!$G$2:$G$501,"&lt;"&amp;J144,'Solicitacoes'!$N$2:$N$501,"&gt;"&amp;C144)+COUNTIFS('Solicitacoes'!$F$2:$F$501,B144,'Solicitacoes'!$K$2:$K$501,F144,'Solicitacoes'!$I$2:$I$501,"confirmado",'Solicitacoes'!$G$2:$G$501,"&lt;"&amp;J144,'Solicitacoes'!$N$2:$N$501,"&gt;"&amp;C144)+COUNTIFS('Solicitacoes'!$F$2:$F$501,B144,'Solicitacoes'!$E$2:$E$501,A144,'Solicitacoes'!$I$2:$I$501,"confirmado",'Solicitacoes'!$G$2:$G$501,"&lt;"&amp;J144,'Solicitacoes'!$N$2:$N$501,"&gt;"&amp;C144)&gt;0,"Ocupado","Disponível"))))</x:f>
        <x:v>Revisar escala</x:v>
      </x:c>
      <x:c r="N144" s="2" t="n">
        <x:f>IF(A144="","",ROW()-1)</x:f>
        <x:v>143</x:v>
      </x:c>
    </x:row>
    <x:row r="145" ht="24" customHeight="1">
      <x:c r="A145" s="13" t="str">
        <x:v>Aline Reis</x:v>
      </x:c>
      <x:c r="B145" s="14" t="d">
        <x:v>2026-10-13T00:00:00.000Z</x:v>
      </x:c>
      <x:c r="C145" s="26" t="n">
        <x:v>0.5833333333333334</x:v>
      </x:c>
      <x:c r="D145" s="13" t="str">
        <x:v>presencial</x:v>
      </x:c>
      <x:c r="E145" s="13" t="str">
        <x:v>não</x:v>
      </x:c>
      <x:c r="F145" s="13" t="str">
        <x:v>Sala 2</x:v>
      </x:c>
      <x:c r="G145" s="12" t="n">
        <x:f>IF(A145="","",'Agenda'!$B$5)</x:f>
        <x:v>50</x:v>
      </x:c>
      <x:c r="H145" s="12" t="n">
        <x:f>IF(A145="","",'Agenda'!$B$6)</x:f>
        <x:v>10</x:v>
      </x:c>
      <x:c r="I145" s="24" t="n">
        <x:f>IF(A145="","",C145+G145/1440)</x:f>
        <x:v>0.6180555555555556</x:v>
      </x:c>
      <x:c r="J145" s="24" t="n">
        <x:f>IF(A145="","",C145+(G145+H145)/1440)</x:f>
        <x:v>0.625</x:v>
      </x:c>
      <x:c r="K145" s="27" t="n">
        <x:f>IF(A145="","",IF(E145&lt;&gt;"sim",0,COUNTIFS($B$2:$B$501,B145,$F$2:$F$501,F145,$E$2:$E$501,"sim",$C$2:$C$501,"&lt;"&amp;J145,$J$2:$J$501,"&gt;"&amp;C145)-1))</x:f>
        <x:v>0</x:v>
      </x:c>
      <x:c r="L145" s="27" t="n">
        <x:f>IF(A145="","",IF(E145&lt;&gt;"sim",0,COUNTIFS($B$2:$B$501,B145,$A$2:$A$501,A145,$E$2:$E$501,"sim",$C$2:$C$501,"&lt;"&amp;J145,$J$2:$J$501,"&gt;"&amp;C145)-1))</x:f>
        <x:v>0</x:v>
      </x:c>
      <x:c r="M145" s="2" t="str">
        <x:f>IF(A145="","",IF(E145&lt;&gt;"sim","Revisar escala",IF(OR(K145&gt;0,L145&gt;0),"Conflito de escala",IF(COUNTIFS('Solicitacoes'!$F$2:$F$501,B145,'Solicitacoes'!$K$2:$K$501,F145,'Solicitacoes'!$I$2:$I$501,"pendente",'Solicitacoes'!$G$2:$G$501,"&lt;"&amp;J145,'Solicitacoes'!$N$2:$N$501,"&gt;"&amp;C145)+COUNTIFS('Solicitacoes'!$F$2:$F$501,B145,'Solicitacoes'!$E$2:$E$501,A145,'Solicitacoes'!$I$2:$I$501,"pendente",'Solicitacoes'!$G$2:$G$501,"&lt;"&amp;J145,'Solicitacoes'!$N$2:$N$501,"&gt;"&amp;C145)+COUNTIFS('Solicitacoes'!$F$2:$F$501,B145,'Solicitacoes'!$K$2:$K$501,F145,'Solicitacoes'!$I$2:$I$501,"confirmado",'Solicitacoes'!$G$2:$G$501,"&lt;"&amp;J145,'Solicitacoes'!$N$2:$N$501,"&gt;"&amp;C145)+COUNTIFS('Solicitacoes'!$F$2:$F$501,B145,'Solicitacoes'!$E$2:$E$501,A145,'Solicitacoes'!$I$2:$I$501,"confirmado",'Solicitacoes'!$G$2:$G$501,"&lt;"&amp;J145,'Solicitacoes'!$N$2:$N$501,"&gt;"&amp;C145)&gt;0,"Ocupado","Disponível"))))</x:f>
        <x:v>Revisar escala</x:v>
      </x:c>
      <x:c r="N145" s="2" t="n">
        <x:f>IF(A145="","",ROW()-1)</x:f>
        <x:v>144</x:v>
      </x:c>
    </x:row>
    <x:row r="146" ht="24" customHeight="1">
      <x:c r="A146" s="13" t="str">
        <x:v>Laura Casanova</x:v>
      </x:c>
      <x:c r="B146" s="14" t="d">
        <x:v>2026-10-13T00:00:00.000Z</x:v>
      </x:c>
      <x:c r="C146" s="26" t="n">
        <x:v>0.625</x:v>
      </x:c>
      <x:c r="D146" s="13" t="str">
        <x:v>presencial</x:v>
      </x:c>
      <x:c r="E146" s="13" t="str">
        <x:v>não</x:v>
      </x:c>
      <x:c r="F146" s="13" t="str">
        <x:v>Sala 1</x:v>
      </x:c>
      <x:c r="G146" s="12" t="n">
        <x:f>IF(A146="","",'Agenda'!$B$5)</x:f>
        <x:v>50</x:v>
      </x:c>
      <x:c r="H146" s="12" t="n">
        <x:f>IF(A146="","",'Agenda'!$B$6)</x:f>
        <x:v>10</x:v>
      </x:c>
      <x:c r="I146" s="24" t="n">
        <x:f>IF(A146="","",C146+G146/1440)</x:f>
        <x:v>0.6597222222222222</x:v>
      </x:c>
      <x:c r="J146" s="24" t="n">
        <x:f>IF(A146="","",C146+(G146+H146)/1440)</x:f>
        <x:v>0.6666666666666666</x:v>
      </x:c>
      <x:c r="K146" s="27" t="n">
        <x:f>IF(A146="","",IF(E146&lt;&gt;"sim",0,COUNTIFS($B$2:$B$501,B146,$F$2:$F$501,F146,$E$2:$E$501,"sim",$C$2:$C$501,"&lt;"&amp;J146,$J$2:$J$501,"&gt;"&amp;C146)-1))</x:f>
        <x:v>0</x:v>
      </x:c>
      <x:c r="L146" s="27" t="n">
        <x:f>IF(A146="","",IF(E146&lt;&gt;"sim",0,COUNTIFS($B$2:$B$501,B146,$A$2:$A$501,A146,$E$2:$E$501,"sim",$C$2:$C$501,"&lt;"&amp;J146,$J$2:$J$501,"&gt;"&amp;C146)-1))</x:f>
        <x:v>0</x:v>
      </x:c>
      <x:c r="M146" s="2" t="str">
        <x:f>IF(A146="","",IF(E146&lt;&gt;"sim","Revisar escala",IF(OR(K146&gt;0,L146&gt;0),"Conflito de escala",IF(COUNTIFS('Solicitacoes'!$F$2:$F$501,B146,'Solicitacoes'!$K$2:$K$501,F146,'Solicitacoes'!$I$2:$I$501,"pendente",'Solicitacoes'!$G$2:$G$501,"&lt;"&amp;J146,'Solicitacoes'!$N$2:$N$501,"&gt;"&amp;C146)+COUNTIFS('Solicitacoes'!$F$2:$F$501,B146,'Solicitacoes'!$E$2:$E$501,A146,'Solicitacoes'!$I$2:$I$501,"pendente",'Solicitacoes'!$G$2:$G$501,"&lt;"&amp;J146,'Solicitacoes'!$N$2:$N$501,"&gt;"&amp;C146)+COUNTIFS('Solicitacoes'!$F$2:$F$501,B146,'Solicitacoes'!$K$2:$K$501,F146,'Solicitacoes'!$I$2:$I$501,"confirmado",'Solicitacoes'!$G$2:$G$501,"&lt;"&amp;J146,'Solicitacoes'!$N$2:$N$501,"&gt;"&amp;C146)+COUNTIFS('Solicitacoes'!$F$2:$F$501,B146,'Solicitacoes'!$E$2:$E$501,A146,'Solicitacoes'!$I$2:$I$501,"confirmado",'Solicitacoes'!$G$2:$G$501,"&lt;"&amp;J146,'Solicitacoes'!$N$2:$N$501,"&gt;"&amp;C146)&gt;0,"Ocupado","Disponível"))))</x:f>
        <x:v>Revisar escala</x:v>
      </x:c>
      <x:c r="N146" s="2" t="n">
        <x:f>IF(A146="","",ROW()-1)</x:f>
        <x:v>145</x:v>
      </x:c>
    </x:row>
    <x:row r="147" ht="24" customHeight="1">
      <x:c r="A147" s="13" t="str">
        <x:v>Aline Reis</x:v>
      </x:c>
      <x:c r="B147" s="14" t="d">
        <x:v>2026-10-13T00:00:00.000Z</x:v>
      </x:c>
      <x:c r="C147" s="26" t="n">
        <x:v>0.625</x:v>
      </x:c>
      <x:c r="D147" s="13" t="str">
        <x:v>presencial</x:v>
      </x:c>
      <x:c r="E147" s="13" t="str">
        <x:v>não</x:v>
      </x:c>
      <x:c r="F147" s="13" t="str">
        <x:v>Sala 2</x:v>
      </x:c>
      <x:c r="G147" s="12" t="n">
        <x:f>IF(A147="","",'Agenda'!$B$5)</x:f>
        <x:v>50</x:v>
      </x:c>
      <x:c r="H147" s="12" t="n">
        <x:f>IF(A147="","",'Agenda'!$B$6)</x:f>
        <x:v>10</x:v>
      </x:c>
      <x:c r="I147" s="24" t="n">
        <x:f>IF(A147="","",C147+G147/1440)</x:f>
        <x:v>0.6597222222222222</x:v>
      </x:c>
      <x:c r="J147" s="24" t="n">
        <x:f>IF(A147="","",C147+(G147+H147)/1440)</x:f>
        <x:v>0.6666666666666666</x:v>
      </x:c>
      <x:c r="K147" s="27" t="n">
        <x:f>IF(A147="","",IF(E147&lt;&gt;"sim",0,COUNTIFS($B$2:$B$501,B147,$F$2:$F$501,F147,$E$2:$E$501,"sim",$C$2:$C$501,"&lt;"&amp;J147,$J$2:$J$501,"&gt;"&amp;C147)-1))</x:f>
        <x:v>0</x:v>
      </x:c>
      <x:c r="L147" s="27" t="n">
        <x:f>IF(A147="","",IF(E147&lt;&gt;"sim",0,COUNTIFS($B$2:$B$501,B147,$A$2:$A$501,A147,$E$2:$E$501,"sim",$C$2:$C$501,"&lt;"&amp;J147,$J$2:$J$501,"&gt;"&amp;C147)-1))</x:f>
        <x:v>0</x:v>
      </x:c>
      <x:c r="M147" s="2" t="str">
        <x:f>IF(A147="","",IF(E147&lt;&gt;"sim","Revisar escala",IF(OR(K147&gt;0,L147&gt;0),"Conflito de escala",IF(COUNTIFS('Solicitacoes'!$F$2:$F$501,B147,'Solicitacoes'!$K$2:$K$501,F147,'Solicitacoes'!$I$2:$I$501,"pendente",'Solicitacoes'!$G$2:$G$501,"&lt;"&amp;J147,'Solicitacoes'!$N$2:$N$501,"&gt;"&amp;C147)+COUNTIFS('Solicitacoes'!$F$2:$F$501,B147,'Solicitacoes'!$E$2:$E$501,A147,'Solicitacoes'!$I$2:$I$501,"pendente",'Solicitacoes'!$G$2:$G$501,"&lt;"&amp;J147,'Solicitacoes'!$N$2:$N$501,"&gt;"&amp;C147)+COUNTIFS('Solicitacoes'!$F$2:$F$501,B147,'Solicitacoes'!$K$2:$K$501,F147,'Solicitacoes'!$I$2:$I$501,"confirmado",'Solicitacoes'!$G$2:$G$501,"&lt;"&amp;J147,'Solicitacoes'!$N$2:$N$501,"&gt;"&amp;C147)+COUNTIFS('Solicitacoes'!$F$2:$F$501,B147,'Solicitacoes'!$E$2:$E$501,A147,'Solicitacoes'!$I$2:$I$501,"confirmado",'Solicitacoes'!$G$2:$G$501,"&lt;"&amp;J147,'Solicitacoes'!$N$2:$N$501,"&gt;"&amp;C147)&gt;0,"Ocupado","Disponível"))))</x:f>
        <x:v>Revisar escala</x:v>
      </x:c>
      <x:c r="N147" s="2" t="n">
        <x:f>IF(A147="","",ROW()-1)</x:f>
        <x:v>146</x:v>
      </x:c>
    </x:row>
    <x:row r="148" ht="24" customHeight="1">
      <x:c r="A148" s="13" t="str">
        <x:v>Laura Casanova</x:v>
      </x:c>
      <x:c r="B148" s="14" t="d">
        <x:v>2026-10-13T00:00:00.000Z</x:v>
      </x:c>
      <x:c r="C148" s="26" t="n">
        <x:v>0.6666666666666666</x:v>
      </x:c>
      <x:c r="D148" s="13" t="str">
        <x:v>presencial</x:v>
      </x:c>
      <x:c r="E148" s="13" t="str">
        <x:v>não</x:v>
      </x:c>
      <x:c r="F148" s="13" t="str">
        <x:v>Sala 1</x:v>
      </x:c>
      <x:c r="G148" s="12" t="n">
        <x:f>IF(A148="","",'Agenda'!$B$5)</x:f>
        <x:v>50</x:v>
      </x:c>
      <x:c r="H148" s="12" t="n">
        <x:f>IF(A148="","",'Agenda'!$B$6)</x:f>
        <x:v>10</x:v>
      </x:c>
      <x:c r="I148" s="24" t="n">
        <x:f>IF(A148="","",C148+G148/1440)</x:f>
        <x:v>0.7013888888888888</x:v>
      </x:c>
      <x:c r="J148" s="24" t="n">
        <x:f>IF(A148="","",C148+(G148+H148)/1440)</x:f>
        <x:v>0.7083333333333333</x:v>
      </x:c>
      <x:c r="K148" s="27" t="n">
        <x:f>IF(A148="","",IF(E148&lt;&gt;"sim",0,COUNTIFS($B$2:$B$501,B148,$F$2:$F$501,F148,$E$2:$E$501,"sim",$C$2:$C$501,"&lt;"&amp;J148,$J$2:$J$501,"&gt;"&amp;C148)-1))</x:f>
        <x:v>0</x:v>
      </x:c>
      <x:c r="L148" s="27" t="n">
        <x:f>IF(A148="","",IF(E148&lt;&gt;"sim",0,COUNTIFS($B$2:$B$501,B148,$A$2:$A$501,A148,$E$2:$E$501,"sim",$C$2:$C$501,"&lt;"&amp;J148,$J$2:$J$501,"&gt;"&amp;C148)-1))</x:f>
        <x:v>0</x:v>
      </x:c>
      <x:c r="M148" s="2" t="str">
        <x:f>IF(A148="","",IF(E148&lt;&gt;"sim","Revisar escala",IF(OR(K148&gt;0,L148&gt;0),"Conflito de escala",IF(COUNTIFS('Solicitacoes'!$F$2:$F$501,B148,'Solicitacoes'!$K$2:$K$501,F148,'Solicitacoes'!$I$2:$I$501,"pendente",'Solicitacoes'!$G$2:$G$501,"&lt;"&amp;J148,'Solicitacoes'!$N$2:$N$501,"&gt;"&amp;C148)+COUNTIFS('Solicitacoes'!$F$2:$F$501,B148,'Solicitacoes'!$E$2:$E$501,A148,'Solicitacoes'!$I$2:$I$501,"pendente",'Solicitacoes'!$G$2:$G$501,"&lt;"&amp;J148,'Solicitacoes'!$N$2:$N$501,"&gt;"&amp;C148)+COUNTIFS('Solicitacoes'!$F$2:$F$501,B148,'Solicitacoes'!$K$2:$K$501,F148,'Solicitacoes'!$I$2:$I$501,"confirmado",'Solicitacoes'!$G$2:$G$501,"&lt;"&amp;J148,'Solicitacoes'!$N$2:$N$501,"&gt;"&amp;C148)+COUNTIFS('Solicitacoes'!$F$2:$F$501,B148,'Solicitacoes'!$E$2:$E$501,A148,'Solicitacoes'!$I$2:$I$501,"confirmado",'Solicitacoes'!$G$2:$G$501,"&lt;"&amp;J148,'Solicitacoes'!$N$2:$N$501,"&gt;"&amp;C148)&gt;0,"Ocupado","Disponível"))))</x:f>
        <x:v>Revisar escala</x:v>
      </x:c>
      <x:c r="N148" s="2" t="n">
        <x:f>IF(A148="","",ROW()-1)</x:f>
        <x:v>147</x:v>
      </x:c>
    </x:row>
    <x:row r="149" ht="24" customHeight="1">
      <x:c r="A149" s="13" t="str">
        <x:v>Aline Reis</x:v>
      </x:c>
      <x:c r="B149" s="14" t="d">
        <x:v>2026-10-13T00:00:00.000Z</x:v>
      </x:c>
      <x:c r="C149" s="26" t="n">
        <x:v>0.6666666666666666</x:v>
      </x:c>
      <x:c r="D149" s="13" t="str">
        <x:v>presencial</x:v>
      </x:c>
      <x:c r="E149" s="13" t="str">
        <x:v>não</x:v>
      </x:c>
      <x:c r="F149" s="13" t="str">
        <x:v>Sala 2</x:v>
      </x:c>
      <x:c r="G149" s="12" t="n">
        <x:f>IF(A149="","",'Agenda'!$B$5)</x:f>
        <x:v>50</x:v>
      </x:c>
      <x:c r="H149" s="12" t="n">
        <x:f>IF(A149="","",'Agenda'!$B$6)</x:f>
        <x:v>10</x:v>
      </x:c>
      <x:c r="I149" s="24" t="n">
        <x:f>IF(A149="","",C149+G149/1440)</x:f>
        <x:v>0.7013888888888888</x:v>
      </x:c>
      <x:c r="J149" s="24" t="n">
        <x:f>IF(A149="","",C149+(G149+H149)/1440)</x:f>
        <x:v>0.7083333333333333</x:v>
      </x:c>
      <x:c r="K149" s="27" t="n">
        <x:f>IF(A149="","",IF(E149&lt;&gt;"sim",0,COUNTIFS($B$2:$B$501,B149,$F$2:$F$501,F149,$E$2:$E$501,"sim",$C$2:$C$501,"&lt;"&amp;J149,$J$2:$J$501,"&gt;"&amp;C149)-1))</x:f>
        <x:v>0</x:v>
      </x:c>
      <x:c r="L149" s="27" t="n">
        <x:f>IF(A149="","",IF(E149&lt;&gt;"sim",0,COUNTIFS($B$2:$B$501,B149,$A$2:$A$501,A149,$E$2:$E$501,"sim",$C$2:$C$501,"&lt;"&amp;J149,$J$2:$J$501,"&gt;"&amp;C149)-1))</x:f>
        <x:v>0</x:v>
      </x:c>
      <x:c r="M149" s="2" t="str">
        <x:f>IF(A149="","",IF(E149&lt;&gt;"sim","Revisar escala",IF(OR(K149&gt;0,L149&gt;0),"Conflito de escala",IF(COUNTIFS('Solicitacoes'!$F$2:$F$501,B149,'Solicitacoes'!$K$2:$K$501,F149,'Solicitacoes'!$I$2:$I$501,"pendente",'Solicitacoes'!$G$2:$G$501,"&lt;"&amp;J149,'Solicitacoes'!$N$2:$N$501,"&gt;"&amp;C149)+COUNTIFS('Solicitacoes'!$F$2:$F$501,B149,'Solicitacoes'!$E$2:$E$501,A149,'Solicitacoes'!$I$2:$I$501,"pendente",'Solicitacoes'!$G$2:$G$501,"&lt;"&amp;J149,'Solicitacoes'!$N$2:$N$501,"&gt;"&amp;C149)+COUNTIFS('Solicitacoes'!$F$2:$F$501,B149,'Solicitacoes'!$K$2:$K$501,F149,'Solicitacoes'!$I$2:$I$501,"confirmado",'Solicitacoes'!$G$2:$G$501,"&lt;"&amp;J149,'Solicitacoes'!$N$2:$N$501,"&gt;"&amp;C149)+COUNTIFS('Solicitacoes'!$F$2:$F$501,B149,'Solicitacoes'!$E$2:$E$501,A149,'Solicitacoes'!$I$2:$I$501,"confirmado",'Solicitacoes'!$G$2:$G$501,"&lt;"&amp;J149,'Solicitacoes'!$N$2:$N$501,"&gt;"&amp;C149)&gt;0,"Ocupado","Disponível"))))</x:f>
        <x:v>Revisar escala</x:v>
      </x:c>
      <x:c r="N149" s="2" t="n">
        <x:f>IF(A149="","",ROW()-1)</x:f>
        <x:v>148</x:v>
      </x:c>
    </x:row>
    <x:row r="150" ht="24" customHeight="1">
      <x:c r="A150" s="13" t="str">
        <x:v>Laura Casanova</x:v>
      </x:c>
      <x:c r="B150" s="14" t="d">
        <x:v>2026-10-13T00:00:00.000Z</x:v>
      </x:c>
      <x:c r="C150" s="26" t="n">
        <x:v>0.7083333333333334</x:v>
      </x:c>
      <x:c r="D150" s="13" t="str">
        <x:v>presencial</x:v>
      </x:c>
      <x:c r="E150" s="13" t="str">
        <x:v>não</x:v>
      </x:c>
      <x:c r="F150" s="13" t="str">
        <x:v>Sala 1</x:v>
      </x:c>
      <x:c r="G150" s="12" t="n">
        <x:f>IF(A150="","",'Agenda'!$B$5)</x:f>
        <x:v>50</x:v>
      </x:c>
      <x:c r="H150" s="12" t="n">
        <x:f>IF(A150="","",'Agenda'!$B$6)</x:f>
        <x:v>10</x:v>
      </x:c>
      <x:c r="I150" s="24" t="n">
        <x:f>IF(A150="","",C150+G150/1440)</x:f>
        <x:v>0.7430555555555556</x:v>
      </x:c>
      <x:c r="J150" s="24" t="n">
        <x:f>IF(A150="","",C150+(G150+H150)/1440)</x:f>
        <x:v>0.75</x:v>
      </x:c>
      <x:c r="K150" s="27" t="n">
        <x:f>IF(A150="","",IF(E150&lt;&gt;"sim",0,COUNTIFS($B$2:$B$501,B150,$F$2:$F$501,F150,$E$2:$E$501,"sim",$C$2:$C$501,"&lt;"&amp;J150,$J$2:$J$501,"&gt;"&amp;C150)-1))</x:f>
        <x:v>0</x:v>
      </x:c>
      <x:c r="L150" s="27" t="n">
        <x:f>IF(A150="","",IF(E150&lt;&gt;"sim",0,COUNTIFS($B$2:$B$501,B150,$A$2:$A$501,A150,$E$2:$E$501,"sim",$C$2:$C$501,"&lt;"&amp;J150,$J$2:$J$501,"&gt;"&amp;C150)-1))</x:f>
        <x:v>0</x:v>
      </x:c>
      <x:c r="M150" s="2" t="str">
        <x:f>IF(A150="","",IF(E150&lt;&gt;"sim","Revisar escala",IF(OR(K150&gt;0,L150&gt;0),"Conflito de escala",IF(COUNTIFS('Solicitacoes'!$F$2:$F$501,B150,'Solicitacoes'!$K$2:$K$501,F150,'Solicitacoes'!$I$2:$I$501,"pendente",'Solicitacoes'!$G$2:$G$501,"&lt;"&amp;J150,'Solicitacoes'!$N$2:$N$501,"&gt;"&amp;C150)+COUNTIFS('Solicitacoes'!$F$2:$F$501,B150,'Solicitacoes'!$E$2:$E$501,A150,'Solicitacoes'!$I$2:$I$501,"pendente",'Solicitacoes'!$G$2:$G$501,"&lt;"&amp;J150,'Solicitacoes'!$N$2:$N$501,"&gt;"&amp;C150)+COUNTIFS('Solicitacoes'!$F$2:$F$501,B150,'Solicitacoes'!$K$2:$K$501,F150,'Solicitacoes'!$I$2:$I$501,"confirmado",'Solicitacoes'!$G$2:$G$501,"&lt;"&amp;J150,'Solicitacoes'!$N$2:$N$501,"&gt;"&amp;C150)+COUNTIFS('Solicitacoes'!$F$2:$F$501,B150,'Solicitacoes'!$E$2:$E$501,A150,'Solicitacoes'!$I$2:$I$501,"confirmado",'Solicitacoes'!$G$2:$G$501,"&lt;"&amp;J150,'Solicitacoes'!$N$2:$N$501,"&gt;"&amp;C150)&gt;0,"Ocupado","Disponível"))))</x:f>
        <x:v>Revisar escala</x:v>
      </x:c>
      <x:c r="N150" s="2" t="n">
        <x:f>IF(A150="","",ROW()-1)</x:f>
        <x:v>149</x:v>
      </x:c>
    </x:row>
    <x:row r="151" ht="24" customHeight="1">
      <x:c r="A151" s="13" t="str">
        <x:v>Aline Reis</x:v>
      </x:c>
      <x:c r="B151" s="14" t="d">
        <x:v>2026-10-13T00:00:00.000Z</x:v>
      </x:c>
      <x:c r="C151" s="26" t="n">
        <x:v>0.7083333333333334</x:v>
      </x:c>
      <x:c r="D151" s="13" t="str">
        <x:v>presencial</x:v>
      </x:c>
      <x:c r="E151" s="13" t="str">
        <x:v>não</x:v>
      </x:c>
      <x:c r="F151" s="13" t="str">
        <x:v>Sala 2</x:v>
      </x:c>
      <x:c r="G151" s="12" t="n">
        <x:f>IF(A151="","",'Agenda'!$B$5)</x:f>
        <x:v>50</x:v>
      </x:c>
      <x:c r="H151" s="12" t="n">
        <x:f>IF(A151="","",'Agenda'!$B$6)</x:f>
        <x:v>10</x:v>
      </x:c>
      <x:c r="I151" s="24" t="n">
        <x:f>IF(A151="","",C151+G151/1440)</x:f>
        <x:v>0.7430555555555556</x:v>
      </x:c>
      <x:c r="J151" s="24" t="n">
        <x:f>IF(A151="","",C151+(G151+H151)/1440)</x:f>
        <x:v>0.75</x:v>
      </x:c>
      <x:c r="K151" s="27" t="n">
        <x:f>IF(A151="","",IF(E151&lt;&gt;"sim",0,COUNTIFS($B$2:$B$501,B151,$F$2:$F$501,F151,$E$2:$E$501,"sim",$C$2:$C$501,"&lt;"&amp;J151,$J$2:$J$501,"&gt;"&amp;C151)-1))</x:f>
        <x:v>0</x:v>
      </x:c>
      <x:c r="L151" s="27" t="n">
        <x:f>IF(A151="","",IF(E151&lt;&gt;"sim",0,COUNTIFS($B$2:$B$501,B151,$A$2:$A$501,A151,$E$2:$E$501,"sim",$C$2:$C$501,"&lt;"&amp;J151,$J$2:$J$501,"&gt;"&amp;C151)-1))</x:f>
        <x:v>0</x:v>
      </x:c>
      <x:c r="M151" s="2" t="str">
        <x:f>IF(A151="","",IF(E151&lt;&gt;"sim","Revisar escala",IF(OR(K151&gt;0,L151&gt;0),"Conflito de escala",IF(COUNTIFS('Solicitacoes'!$F$2:$F$501,B151,'Solicitacoes'!$K$2:$K$501,F151,'Solicitacoes'!$I$2:$I$501,"pendente",'Solicitacoes'!$G$2:$G$501,"&lt;"&amp;J151,'Solicitacoes'!$N$2:$N$501,"&gt;"&amp;C151)+COUNTIFS('Solicitacoes'!$F$2:$F$501,B151,'Solicitacoes'!$E$2:$E$501,A151,'Solicitacoes'!$I$2:$I$501,"pendente",'Solicitacoes'!$G$2:$G$501,"&lt;"&amp;J151,'Solicitacoes'!$N$2:$N$501,"&gt;"&amp;C151)+COUNTIFS('Solicitacoes'!$F$2:$F$501,B151,'Solicitacoes'!$K$2:$K$501,F151,'Solicitacoes'!$I$2:$I$501,"confirmado",'Solicitacoes'!$G$2:$G$501,"&lt;"&amp;J151,'Solicitacoes'!$N$2:$N$501,"&gt;"&amp;C151)+COUNTIFS('Solicitacoes'!$F$2:$F$501,B151,'Solicitacoes'!$E$2:$E$501,A151,'Solicitacoes'!$I$2:$I$501,"confirmado",'Solicitacoes'!$G$2:$G$501,"&lt;"&amp;J151,'Solicitacoes'!$N$2:$N$501,"&gt;"&amp;C151)&gt;0,"Ocupado","Disponível"))))</x:f>
        <x:v>Revisar escala</x:v>
      </x:c>
      <x:c r="N151" s="2" t="n">
        <x:f>IF(A151="","",ROW()-1)</x:f>
        <x:v>150</x:v>
      </x:c>
    </x:row>
    <x:row r="152" ht="24" customHeight="1">
      <x:c r="A152" s="13" t="str">
        <x:v>Laura Casanova</x:v>
      </x:c>
      <x:c r="B152" s="14" t="d">
        <x:v>2026-10-13T00:00:00.000Z</x:v>
      </x:c>
      <x:c r="C152" s="26" t="n">
        <x:v>0.75</x:v>
      </x:c>
      <x:c r="D152" s="13" t="str">
        <x:v>presencial</x:v>
      </x:c>
      <x:c r="E152" s="13" t="str">
        <x:v>não</x:v>
      </x:c>
      <x:c r="F152" s="13" t="str">
        <x:v>Sala 1</x:v>
      </x:c>
      <x:c r="G152" s="12" t="n">
        <x:f>IF(A152="","",'Agenda'!$B$5)</x:f>
        <x:v>50</x:v>
      </x:c>
      <x:c r="H152" s="12" t="n">
        <x:f>IF(A152="","",'Agenda'!$B$6)</x:f>
        <x:v>10</x:v>
      </x:c>
      <x:c r="I152" s="24" t="n">
        <x:f>IF(A152="","",C152+G152/1440)</x:f>
        <x:v>0.7847222222222222</x:v>
      </x:c>
      <x:c r="J152" s="24" t="n">
        <x:f>IF(A152="","",C152+(G152+H152)/1440)</x:f>
        <x:v>0.7916666666666666</x:v>
      </x:c>
      <x:c r="K152" s="27" t="n">
        <x:f>IF(A152="","",IF(E152&lt;&gt;"sim",0,COUNTIFS($B$2:$B$501,B152,$F$2:$F$501,F152,$E$2:$E$501,"sim",$C$2:$C$501,"&lt;"&amp;J152,$J$2:$J$501,"&gt;"&amp;C152)-1))</x:f>
        <x:v>0</x:v>
      </x:c>
      <x:c r="L152" s="27" t="n">
        <x:f>IF(A152="","",IF(E152&lt;&gt;"sim",0,COUNTIFS($B$2:$B$501,B152,$A$2:$A$501,A152,$E$2:$E$501,"sim",$C$2:$C$501,"&lt;"&amp;J152,$J$2:$J$501,"&gt;"&amp;C152)-1))</x:f>
        <x:v>0</x:v>
      </x:c>
      <x:c r="M152" s="2" t="str">
        <x:f>IF(A152="","",IF(E152&lt;&gt;"sim","Revisar escala",IF(OR(K152&gt;0,L152&gt;0),"Conflito de escala",IF(COUNTIFS('Solicitacoes'!$F$2:$F$501,B152,'Solicitacoes'!$K$2:$K$501,F152,'Solicitacoes'!$I$2:$I$501,"pendente",'Solicitacoes'!$G$2:$G$501,"&lt;"&amp;J152,'Solicitacoes'!$N$2:$N$501,"&gt;"&amp;C152)+COUNTIFS('Solicitacoes'!$F$2:$F$501,B152,'Solicitacoes'!$E$2:$E$501,A152,'Solicitacoes'!$I$2:$I$501,"pendente",'Solicitacoes'!$G$2:$G$501,"&lt;"&amp;J152,'Solicitacoes'!$N$2:$N$501,"&gt;"&amp;C152)+COUNTIFS('Solicitacoes'!$F$2:$F$501,B152,'Solicitacoes'!$K$2:$K$501,F152,'Solicitacoes'!$I$2:$I$501,"confirmado",'Solicitacoes'!$G$2:$G$501,"&lt;"&amp;J152,'Solicitacoes'!$N$2:$N$501,"&gt;"&amp;C152)+COUNTIFS('Solicitacoes'!$F$2:$F$501,B152,'Solicitacoes'!$E$2:$E$501,A152,'Solicitacoes'!$I$2:$I$501,"confirmado",'Solicitacoes'!$G$2:$G$501,"&lt;"&amp;J152,'Solicitacoes'!$N$2:$N$501,"&gt;"&amp;C152)&gt;0,"Ocupado","Disponível"))))</x:f>
        <x:v>Revisar escala</x:v>
      </x:c>
      <x:c r="N152" s="2" t="n">
        <x:f>IF(A152="","",ROW()-1)</x:f>
        <x:v>151</x:v>
      </x:c>
    </x:row>
    <x:row r="153" ht="24" customHeight="1">
      <x:c r="A153" s="13" t="str">
        <x:v>Aline Reis</x:v>
      </x:c>
      <x:c r="B153" s="14" t="d">
        <x:v>2026-10-13T00:00:00.000Z</x:v>
      </x:c>
      <x:c r="C153" s="26" t="n">
        <x:v>0.75</x:v>
      </x:c>
      <x:c r="D153" s="13" t="str">
        <x:v>presencial</x:v>
      </x:c>
      <x:c r="E153" s="13" t="str">
        <x:v>não</x:v>
      </x:c>
      <x:c r="F153" s="13" t="str">
        <x:v>Sala 2</x:v>
      </x:c>
      <x:c r="G153" s="12" t="n">
        <x:f>IF(A153="","",'Agenda'!$B$5)</x:f>
        <x:v>50</x:v>
      </x:c>
      <x:c r="H153" s="12" t="n">
        <x:f>IF(A153="","",'Agenda'!$B$6)</x:f>
        <x:v>10</x:v>
      </x:c>
      <x:c r="I153" s="24" t="n">
        <x:f>IF(A153="","",C153+G153/1440)</x:f>
        <x:v>0.7847222222222222</x:v>
      </x:c>
      <x:c r="J153" s="24" t="n">
        <x:f>IF(A153="","",C153+(G153+H153)/1440)</x:f>
        <x:v>0.7916666666666666</x:v>
      </x:c>
      <x:c r="K153" s="27" t="n">
        <x:f>IF(A153="","",IF(E153&lt;&gt;"sim",0,COUNTIFS($B$2:$B$501,B153,$F$2:$F$501,F153,$E$2:$E$501,"sim",$C$2:$C$501,"&lt;"&amp;J153,$J$2:$J$501,"&gt;"&amp;C153)-1))</x:f>
        <x:v>0</x:v>
      </x:c>
      <x:c r="L153" s="27" t="n">
        <x:f>IF(A153="","",IF(E153&lt;&gt;"sim",0,COUNTIFS($B$2:$B$501,B153,$A$2:$A$501,A153,$E$2:$E$501,"sim",$C$2:$C$501,"&lt;"&amp;J153,$J$2:$J$501,"&gt;"&amp;C153)-1))</x:f>
        <x:v>0</x:v>
      </x:c>
      <x:c r="M153" s="2" t="str">
        <x:f>IF(A153="","",IF(E153&lt;&gt;"sim","Revisar escala",IF(OR(K153&gt;0,L153&gt;0),"Conflito de escala",IF(COUNTIFS('Solicitacoes'!$F$2:$F$501,B153,'Solicitacoes'!$K$2:$K$501,F153,'Solicitacoes'!$I$2:$I$501,"pendente",'Solicitacoes'!$G$2:$G$501,"&lt;"&amp;J153,'Solicitacoes'!$N$2:$N$501,"&gt;"&amp;C153)+COUNTIFS('Solicitacoes'!$F$2:$F$501,B153,'Solicitacoes'!$E$2:$E$501,A153,'Solicitacoes'!$I$2:$I$501,"pendente",'Solicitacoes'!$G$2:$G$501,"&lt;"&amp;J153,'Solicitacoes'!$N$2:$N$501,"&gt;"&amp;C153)+COUNTIFS('Solicitacoes'!$F$2:$F$501,B153,'Solicitacoes'!$K$2:$K$501,F153,'Solicitacoes'!$I$2:$I$501,"confirmado",'Solicitacoes'!$G$2:$G$501,"&lt;"&amp;J153,'Solicitacoes'!$N$2:$N$501,"&gt;"&amp;C153)+COUNTIFS('Solicitacoes'!$F$2:$F$501,B153,'Solicitacoes'!$E$2:$E$501,A153,'Solicitacoes'!$I$2:$I$501,"confirmado",'Solicitacoes'!$G$2:$G$501,"&lt;"&amp;J153,'Solicitacoes'!$N$2:$N$501,"&gt;"&amp;C153)&gt;0,"Ocupado","Disponível"))))</x:f>
        <x:v>Revisar escala</x:v>
      </x:c>
      <x:c r="N153" s="2" t="n">
        <x:f>IF(A153="","",ROW()-1)</x:f>
        <x:v>152</x:v>
      </x:c>
    </x:row>
    <x:row r="154" ht="24" customHeight="1">
      <x:c r="A154" s="13" t="str">
        <x:v>Laura Casanova</x:v>
      </x:c>
      <x:c r="B154" s="14" t="d">
        <x:v>2026-10-13T00:00:00.000Z</x:v>
      </x:c>
      <x:c r="C154" s="26" t="n">
        <x:v>0.7916666666666666</x:v>
      </x:c>
      <x:c r="D154" s="13" t="str">
        <x:v>presencial</x:v>
      </x:c>
      <x:c r="E154" s="13" t="str">
        <x:v>não</x:v>
      </x:c>
      <x:c r="F154" s="13" t="str">
        <x:v>Sala 1</x:v>
      </x:c>
      <x:c r="G154" s="12" t="n">
        <x:f>IF(A154="","",'Agenda'!$B$5)</x:f>
        <x:v>50</x:v>
      </x:c>
      <x:c r="H154" s="12" t="n">
        <x:f>IF(A154="","",'Agenda'!$B$6)</x:f>
        <x:v>10</x:v>
      </x:c>
      <x:c r="I154" s="24" t="n">
        <x:f>IF(A154="","",C154+G154/1440)</x:f>
        <x:v>0.8263888888888888</x:v>
      </x:c>
      <x:c r="J154" s="24" t="n">
        <x:f>IF(A154="","",C154+(G154+H154)/1440)</x:f>
        <x:v>0.8333333333333333</x:v>
      </x:c>
      <x:c r="K154" s="27" t="n">
        <x:f>IF(A154="","",IF(E154&lt;&gt;"sim",0,COUNTIFS($B$2:$B$501,B154,$F$2:$F$501,F154,$E$2:$E$501,"sim",$C$2:$C$501,"&lt;"&amp;J154,$J$2:$J$501,"&gt;"&amp;C154)-1))</x:f>
        <x:v>0</x:v>
      </x:c>
      <x:c r="L154" s="27" t="n">
        <x:f>IF(A154="","",IF(E154&lt;&gt;"sim",0,COUNTIFS($B$2:$B$501,B154,$A$2:$A$501,A154,$E$2:$E$501,"sim",$C$2:$C$501,"&lt;"&amp;J154,$J$2:$J$501,"&gt;"&amp;C154)-1))</x:f>
        <x:v>0</x:v>
      </x:c>
      <x:c r="M154" s="2" t="str">
        <x:f>IF(A154="","",IF(E154&lt;&gt;"sim","Revisar escala",IF(OR(K154&gt;0,L154&gt;0),"Conflito de escala",IF(COUNTIFS('Solicitacoes'!$F$2:$F$501,B154,'Solicitacoes'!$K$2:$K$501,F154,'Solicitacoes'!$I$2:$I$501,"pendente",'Solicitacoes'!$G$2:$G$501,"&lt;"&amp;J154,'Solicitacoes'!$N$2:$N$501,"&gt;"&amp;C154)+COUNTIFS('Solicitacoes'!$F$2:$F$501,B154,'Solicitacoes'!$E$2:$E$501,A154,'Solicitacoes'!$I$2:$I$501,"pendente",'Solicitacoes'!$G$2:$G$501,"&lt;"&amp;J154,'Solicitacoes'!$N$2:$N$501,"&gt;"&amp;C154)+COUNTIFS('Solicitacoes'!$F$2:$F$501,B154,'Solicitacoes'!$K$2:$K$501,F154,'Solicitacoes'!$I$2:$I$501,"confirmado",'Solicitacoes'!$G$2:$G$501,"&lt;"&amp;J154,'Solicitacoes'!$N$2:$N$501,"&gt;"&amp;C154)+COUNTIFS('Solicitacoes'!$F$2:$F$501,B154,'Solicitacoes'!$E$2:$E$501,A154,'Solicitacoes'!$I$2:$I$501,"confirmado",'Solicitacoes'!$G$2:$G$501,"&lt;"&amp;J154,'Solicitacoes'!$N$2:$N$501,"&gt;"&amp;C154)&gt;0,"Ocupado","Disponível"))))</x:f>
        <x:v>Revisar escala</x:v>
      </x:c>
      <x:c r="N154" s="2" t="n">
        <x:f>IF(A154="","",ROW()-1)</x:f>
        <x:v>153</x:v>
      </x:c>
    </x:row>
    <x:row r="155" ht="24" customHeight="1">
      <x:c r="A155" s="13" t="str">
        <x:v>Aline Reis</x:v>
      </x:c>
      <x:c r="B155" s="14" t="d">
        <x:v>2026-10-13T00:00:00.000Z</x:v>
      </x:c>
      <x:c r="C155" s="26" t="n">
        <x:v>0.7916666666666666</x:v>
      </x:c>
      <x:c r="D155" s="13" t="str">
        <x:v>presencial</x:v>
      </x:c>
      <x:c r="E155" s="13" t="str">
        <x:v>não</x:v>
      </x:c>
      <x:c r="F155" s="13" t="str">
        <x:v>Sala 2</x:v>
      </x:c>
      <x:c r="G155" s="12" t="n">
        <x:f>IF(A155="","",'Agenda'!$B$5)</x:f>
        <x:v>50</x:v>
      </x:c>
      <x:c r="H155" s="12" t="n">
        <x:f>IF(A155="","",'Agenda'!$B$6)</x:f>
        <x:v>10</x:v>
      </x:c>
      <x:c r="I155" s="24" t="n">
        <x:f>IF(A155="","",C155+G155/1440)</x:f>
        <x:v>0.8263888888888888</x:v>
      </x:c>
      <x:c r="J155" s="24" t="n">
        <x:f>IF(A155="","",C155+(G155+H155)/1440)</x:f>
        <x:v>0.8333333333333333</x:v>
      </x:c>
      <x:c r="K155" s="27" t="n">
        <x:f>IF(A155="","",IF(E155&lt;&gt;"sim",0,COUNTIFS($B$2:$B$501,B155,$F$2:$F$501,F155,$E$2:$E$501,"sim",$C$2:$C$501,"&lt;"&amp;J155,$J$2:$J$501,"&gt;"&amp;C155)-1))</x:f>
        <x:v>0</x:v>
      </x:c>
      <x:c r="L155" s="27" t="n">
        <x:f>IF(A155="","",IF(E155&lt;&gt;"sim",0,COUNTIFS($B$2:$B$501,B155,$A$2:$A$501,A155,$E$2:$E$501,"sim",$C$2:$C$501,"&lt;"&amp;J155,$J$2:$J$501,"&gt;"&amp;C155)-1))</x:f>
        <x:v>0</x:v>
      </x:c>
      <x:c r="M155" s="2" t="str">
        <x:f>IF(A155="","",IF(E155&lt;&gt;"sim","Revisar escala",IF(OR(K155&gt;0,L155&gt;0),"Conflito de escala",IF(COUNTIFS('Solicitacoes'!$F$2:$F$501,B155,'Solicitacoes'!$K$2:$K$501,F155,'Solicitacoes'!$I$2:$I$501,"pendente",'Solicitacoes'!$G$2:$G$501,"&lt;"&amp;J155,'Solicitacoes'!$N$2:$N$501,"&gt;"&amp;C155)+COUNTIFS('Solicitacoes'!$F$2:$F$501,B155,'Solicitacoes'!$E$2:$E$501,A155,'Solicitacoes'!$I$2:$I$501,"pendente",'Solicitacoes'!$G$2:$G$501,"&lt;"&amp;J155,'Solicitacoes'!$N$2:$N$501,"&gt;"&amp;C155)+COUNTIFS('Solicitacoes'!$F$2:$F$501,B155,'Solicitacoes'!$K$2:$K$501,F155,'Solicitacoes'!$I$2:$I$501,"confirmado",'Solicitacoes'!$G$2:$G$501,"&lt;"&amp;J155,'Solicitacoes'!$N$2:$N$501,"&gt;"&amp;C155)+COUNTIFS('Solicitacoes'!$F$2:$F$501,B155,'Solicitacoes'!$E$2:$E$501,A155,'Solicitacoes'!$I$2:$I$501,"confirmado",'Solicitacoes'!$G$2:$G$501,"&lt;"&amp;J155,'Solicitacoes'!$N$2:$N$501,"&gt;"&amp;C155)&gt;0,"Ocupado","Disponível"))))</x:f>
        <x:v>Revisar escala</x:v>
      </x:c>
      <x:c r="N155" s="2" t="n">
        <x:f>IF(A155="","",ROW()-1)</x:f>
        <x:v>154</x:v>
      </x:c>
    </x:row>
    <x:row r="156" ht="24" customHeight="1">
      <x:c r="A156" s="13" t="str">
        <x:v>Géssyca Martins</x:v>
      </x:c>
      <x:c r="B156" s="14" t="d">
        <x:v>2026-10-14T00:00:00.000Z</x:v>
      </x:c>
      <x:c r="C156" s="26" t="n">
        <x:v>0.375</x:v>
      </x:c>
      <x:c r="D156" s="13" t="str">
        <x:v>presencial</x:v>
      </x:c>
      <x:c r="E156" s="13" t="str">
        <x:v>não</x:v>
      </x:c>
      <x:c r="F156" s="13" t="str">
        <x:v>Sala 1</x:v>
      </x:c>
      <x:c r="G156" s="12" t="n">
        <x:f>IF(A156="","",'Agenda'!$B$5)</x:f>
        <x:v>50</x:v>
      </x:c>
      <x:c r="H156" s="12" t="n">
        <x:f>IF(A156="","",'Agenda'!$B$6)</x:f>
        <x:v>10</x:v>
      </x:c>
      <x:c r="I156" s="24" t="n">
        <x:f>IF(A156="","",C156+G156/1440)</x:f>
        <x:v>0.4097222222222222</x:v>
      </x:c>
      <x:c r="J156" s="24" t="n">
        <x:f>IF(A156="","",C156+(G156+H156)/1440)</x:f>
        <x:v>0.4166666666666667</x:v>
      </x:c>
      <x:c r="K156" s="27" t="n">
        <x:f>IF(A156="","",IF(E156&lt;&gt;"sim",0,COUNTIFS($B$2:$B$501,B156,$F$2:$F$501,F156,$E$2:$E$501,"sim",$C$2:$C$501,"&lt;"&amp;J156,$J$2:$J$501,"&gt;"&amp;C156)-1))</x:f>
        <x:v>0</x:v>
      </x:c>
      <x:c r="L156" s="27" t="n">
        <x:f>IF(A156="","",IF(E156&lt;&gt;"sim",0,COUNTIFS($B$2:$B$501,B156,$A$2:$A$501,A156,$E$2:$E$501,"sim",$C$2:$C$501,"&lt;"&amp;J156,$J$2:$J$501,"&gt;"&amp;C156)-1))</x:f>
        <x:v>0</x:v>
      </x:c>
      <x:c r="M156" s="2" t="str">
        <x:f>IF(A156="","",IF(E156&lt;&gt;"sim","Revisar escala",IF(OR(K156&gt;0,L156&gt;0),"Conflito de escala",IF(COUNTIFS('Solicitacoes'!$F$2:$F$501,B156,'Solicitacoes'!$K$2:$K$501,F156,'Solicitacoes'!$I$2:$I$501,"pendente",'Solicitacoes'!$G$2:$G$501,"&lt;"&amp;J156,'Solicitacoes'!$N$2:$N$501,"&gt;"&amp;C156)+COUNTIFS('Solicitacoes'!$F$2:$F$501,B156,'Solicitacoes'!$E$2:$E$501,A156,'Solicitacoes'!$I$2:$I$501,"pendente",'Solicitacoes'!$G$2:$G$501,"&lt;"&amp;J156,'Solicitacoes'!$N$2:$N$501,"&gt;"&amp;C156)+COUNTIFS('Solicitacoes'!$F$2:$F$501,B156,'Solicitacoes'!$K$2:$K$501,F156,'Solicitacoes'!$I$2:$I$501,"confirmado",'Solicitacoes'!$G$2:$G$501,"&lt;"&amp;J156,'Solicitacoes'!$N$2:$N$501,"&gt;"&amp;C156)+COUNTIFS('Solicitacoes'!$F$2:$F$501,B156,'Solicitacoes'!$E$2:$E$501,A156,'Solicitacoes'!$I$2:$I$501,"confirmado",'Solicitacoes'!$G$2:$G$501,"&lt;"&amp;J156,'Solicitacoes'!$N$2:$N$501,"&gt;"&amp;C156)&gt;0,"Ocupado","Disponível"))))</x:f>
        <x:v>Revisar escala</x:v>
      </x:c>
      <x:c r="N156" s="2" t="n">
        <x:f>IF(A156="","",ROW()-1)</x:f>
        <x:v>155</x:v>
      </x:c>
    </x:row>
    <x:row r="157" ht="24" customHeight="1">
      <x:c r="A157" s="13" t="str">
        <x:v>Laura Casanova</x:v>
      </x:c>
      <x:c r="B157" s="14" t="d">
        <x:v>2026-10-14T00:00:00.000Z</x:v>
      </x:c>
      <x:c r="C157" s="26" t="n">
        <x:v>0.375</x:v>
      </x:c>
      <x:c r="D157" s="13" t="str">
        <x:v>presencial</x:v>
      </x:c>
      <x:c r="E157" s="13" t="str">
        <x:v>não</x:v>
      </x:c>
      <x:c r="F157" s="13" t="str">
        <x:v>Sala 2</x:v>
      </x:c>
      <x:c r="G157" s="12" t="n">
        <x:f>IF(A157="","",'Agenda'!$B$5)</x:f>
        <x:v>50</x:v>
      </x:c>
      <x:c r="H157" s="12" t="n">
        <x:f>IF(A157="","",'Agenda'!$B$6)</x:f>
        <x:v>10</x:v>
      </x:c>
      <x:c r="I157" s="24" t="n">
        <x:f>IF(A157="","",C157+G157/1440)</x:f>
        <x:v>0.4097222222222222</x:v>
      </x:c>
      <x:c r="J157" s="24" t="n">
        <x:f>IF(A157="","",C157+(G157+H157)/1440)</x:f>
        <x:v>0.4166666666666667</x:v>
      </x:c>
      <x:c r="K157" s="27" t="n">
        <x:f>IF(A157="","",IF(E157&lt;&gt;"sim",0,COUNTIFS($B$2:$B$501,B157,$F$2:$F$501,F157,$E$2:$E$501,"sim",$C$2:$C$501,"&lt;"&amp;J157,$J$2:$J$501,"&gt;"&amp;C157)-1))</x:f>
        <x:v>0</x:v>
      </x:c>
      <x:c r="L157" s="27" t="n">
        <x:f>IF(A157="","",IF(E157&lt;&gt;"sim",0,COUNTIFS($B$2:$B$501,B157,$A$2:$A$501,A157,$E$2:$E$501,"sim",$C$2:$C$501,"&lt;"&amp;J157,$J$2:$J$501,"&gt;"&amp;C157)-1))</x:f>
        <x:v>0</x:v>
      </x:c>
      <x:c r="M157" s="2" t="str">
        <x:f>IF(A157="","",IF(E157&lt;&gt;"sim","Revisar escala",IF(OR(K157&gt;0,L157&gt;0),"Conflito de escala",IF(COUNTIFS('Solicitacoes'!$F$2:$F$501,B157,'Solicitacoes'!$K$2:$K$501,F157,'Solicitacoes'!$I$2:$I$501,"pendente",'Solicitacoes'!$G$2:$G$501,"&lt;"&amp;J157,'Solicitacoes'!$N$2:$N$501,"&gt;"&amp;C157)+COUNTIFS('Solicitacoes'!$F$2:$F$501,B157,'Solicitacoes'!$E$2:$E$501,A157,'Solicitacoes'!$I$2:$I$501,"pendente",'Solicitacoes'!$G$2:$G$501,"&lt;"&amp;J157,'Solicitacoes'!$N$2:$N$501,"&gt;"&amp;C157)+COUNTIFS('Solicitacoes'!$F$2:$F$501,B157,'Solicitacoes'!$K$2:$K$501,F157,'Solicitacoes'!$I$2:$I$501,"confirmado",'Solicitacoes'!$G$2:$G$501,"&lt;"&amp;J157,'Solicitacoes'!$N$2:$N$501,"&gt;"&amp;C157)+COUNTIFS('Solicitacoes'!$F$2:$F$501,B157,'Solicitacoes'!$E$2:$E$501,A157,'Solicitacoes'!$I$2:$I$501,"confirmado",'Solicitacoes'!$G$2:$G$501,"&lt;"&amp;J157,'Solicitacoes'!$N$2:$N$501,"&gt;"&amp;C157)&gt;0,"Ocupado","Disponível"))))</x:f>
        <x:v>Revisar escala</x:v>
      </x:c>
      <x:c r="N157" s="2" t="n">
        <x:f>IF(A157="","",ROW()-1)</x:f>
        <x:v>156</x:v>
      </x:c>
    </x:row>
    <x:row r="158" ht="24" customHeight="1">
      <x:c r="A158" s="13" t="str">
        <x:v>Géssyca Martins</x:v>
      </x:c>
      <x:c r="B158" s="14" t="d">
        <x:v>2026-10-14T00:00:00.000Z</x:v>
      </x:c>
      <x:c r="C158" s="26" t="n">
        <x:v>0.4166666666666667</x:v>
      </x:c>
      <x:c r="D158" s="13" t="str">
        <x:v>presencial</x:v>
      </x:c>
      <x:c r="E158" s="13" t="str">
        <x:v>não</x:v>
      </x:c>
      <x:c r="F158" s="13" t="str">
        <x:v>Sala 1</x:v>
      </x:c>
      <x:c r="G158" s="12" t="n">
        <x:f>IF(A158="","",'Agenda'!$B$5)</x:f>
        <x:v>50</x:v>
      </x:c>
      <x:c r="H158" s="12" t="n">
        <x:f>IF(A158="","",'Agenda'!$B$6)</x:f>
        <x:v>10</x:v>
      </x:c>
      <x:c r="I158" s="24" t="n">
        <x:f>IF(A158="","",C158+G158/1440)</x:f>
        <x:v>0.4513888888888889</x:v>
      </x:c>
      <x:c r="J158" s="24" t="n">
        <x:f>IF(A158="","",C158+(G158+H158)/1440)</x:f>
        <x:v>0.45833333333333337</x:v>
      </x:c>
      <x:c r="K158" s="27" t="n">
        <x:f>IF(A158="","",IF(E158&lt;&gt;"sim",0,COUNTIFS($B$2:$B$501,B158,$F$2:$F$501,F158,$E$2:$E$501,"sim",$C$2:$C$501,"&lt;"&amp;J158,$J$2:$J$501,"&gt;"&amp;C158)-1))</x:f>
        <x:v>0</x:v>
      </x:c>
      <x:c r="L158" s="27" t="n">
        <x:f>IF(A158="","",IF(E158&lt;&gt;"sim",0,COUNTIFS($B$2:$B$501,B158,$A$2:$A$501,A158,$E$2:$E$501,"sim",$C$2:$C$501,"&lt;"&amp;J158,$J$2:$J$501,"&gt;"&amp;C158)-1))</x:f>
        <x:v>0</x:v>
      </x:c>
      <x:c r="M158" s="2" t="str">
        <x:f>IF(A158="","",IF(E158&lt;&gt;"sim","Revisar escala",IF(OR(K158&gt;0,L158&gt;0),"Conflito de escala",IF(COUNTIFS('Solicitacoes'!$F$2:$F$501,B158,'Solicitacoes'!$K$2:$K$501,F158,'Solicitacoes'!$I$2:$I$501,"pendente",'Solicitacoes'!$G$2:$G$501,"&lt;"&amp;J158,'Solicitacoes'!$N$2:$N$501,"&gt;"&amp;C158)+COUNTIFS('Solicitacoes'!$F$2:$F$501,B158,'Solicitacoes'!$E$2:$E$501,A158,'Solicitacoes'!$I$2:$I$501,"pendente",'Solicitacoes'!$G$2:$G$501,"&lt;"&amp;J158,'Solicitacoes'!$N$2:$N$501,"&gt;"&amp;C158)+COUNTIFS('Solicitacoes'!$F$2:$F$501,B158,'Solicitacoes'!$K$2:$K$501,F158,'Solicitacoes'!$I$2:$I$501,"confirmado",'Solicitacoes'!$G$2:$G$501,"&lt;"&amp;J158,'Solicitacoes'!$N$2:$N$501,"&gt;"&amp;C158)+COUNTIFS('Solicitacoes'!$F$2:$F$501,B158,'Solicitacoes'!$E$2:$E$501,A158,'Solicitacoes'!$I$2:$I$501,"confirmado",'Solicitacoes'!$G$2:$G$501,"&lt;"&amp;J158,'Solicitacoes'!$N$2:$N$501,"&gt;"&amp;C158)&gt;0,"Ocupado","Disponível"))))</x:f>
        <x:v>Revisar escala</x:v>
      </x:c>
      <x:c r="N158" s="2" t="n">
        <x:f>IF(A158="","",ROW()-1)</x:f>
        <x:v>157</x:v>
      </x:c>
    </x:row>
    <x:row r="159" ht="24" customHeight="1">
      <x:c r="A159" s="13" t="str">
        <x:v>Laura Casanova</x:v>
      </x:c>
      <x:c r="B159" s="14" t="d">
        <x:v>2026-10-14T00:00:00.000Z</x:v>
      </x:c>
      <x:c r="C159" s="26" t="n">
        <x:v>0.4166666666666667</x:v>
      </x:c>
      <x:c r="D159" s="13" t="str">
        <x:v>presencial</x:v>
      </x:c>
      <x:c r="E159" s="13" t="str">
        <x:v>não</x:v>
      </x:c>
      <x:c r="F159" s="13" t="str">
        <x:v>Sala 2</x:v>
      </x:c>
      <x:c r="G159" s="12" t="n">
        <x:f>IF(A159="","",'Agenda'!$B$5)</x:f>
        <x:v>50</x:v>
      </x:c>
      <x:c r="H159" s="12" t="n">
        <x:f>IF(A159="","",'Agenda'!$B$6)</x:f>
        <x:v>10</x:v>
      </x:c>
      <x:c r="I159" s="24" t="n">
        <x:f>IF(A159="","",C159+G159/1440)</x:f>
        <x:v>0.4513888888888889</x:v>
      </x:c>
      <x:c r="J159" s="24" t="n">
        <x:f>IF(A159="","",C159+(G159+H159)/1440)</x:f>
        <x:v>0.45833333333333337</x:v>
      </x:c>
      <x:c r="K159" s="27" t="n">
        <x:f>IF(A159="","",IF(E159&lt;&gt;"sim",0,COUNTIFS($B$2:$B$501,B159,$F$2:$F$501,F159,$E$2:$E$501,"sim",$C$2:$C$501,"&lt;"&amp;J159,$J$2:$J$501,"&gt;"&amp;C159)-1))</x:f>
        <x:v>0</x:v>
      </x:c>
      <x:c r="L159" s="27" t="n">
        <x:f>IF(A159="","",IF(E159&lt;&gt;"sim",0,COUNTIFS($B$2:$B$501,B159,$A$2:$A$501,A159,$E$2:$E$501,"sim",$C$2:$C$501,"&lt;"&amp;J159,$J$2:$J$501,"&gt;"&amp;C159)-1))</x:f>
        <x:v>0</x:v>
      </x:c>
      <x:c r="M159" s="2" t="str">
        <x:f>IF(A159="","",IF(E159&lt;&gt;"sim","Revisar escala",IF(OR(K159&gt;0,L159&gt;0),"Conflito de escala",IF(COUNTIFS('Solicitacoes'!$F$2:$F$501,B159,'Solicitacoes'!$K$2:$K$501,F159,'Solicitacoes'!$I$2:$I$501,"pendente",'Solicitacoes'!$G$2:$G$501,"&lt;"&amp;J159,'Solicitacoes'!$N$2:$N$501,"&gt;"&amp;C159)+COUNTIFS('Solicitacoes'!$F$2:$F$501,B159,'Solicitacoes'!$E$2:$E$501,A159,'Solicitacoes'!$I$2:$I$501,"pendente",'Solicitacoes'!$G$2:$G$501,"&lt;"&amp;J159,'Solicitacoes'!$N$2:$N$501,"&gt;"&amp;C159)+COUNTIFS('Solicitacoes'!$F$2:$F$501,B159,'Solicitacoes'!$K$2:$K$501,F159,'Solicitacoes'!$I$2:$I$501,"confirmado",'Solicitacoes'!$G$2:$G$501,"&lt;"&amp;J159,'Solicitacoes'!$N$2:$N$501,"&gt;"&amp;C159)+COUNTIFS('Solicitacoes'!$F$2:$F$501,B159,'Solicitacoes'!$E$2:$E$501,A159,'Solicitacoes'!$I$2:$I$501,"confirmado",'Solicitacoes'!$G$2:$G$501,"&lt;"&amp;J159,'Solicitacoes'!$N$2:$N$501,"&gt;"&amp;C159)&gt;0,"Ocupado","Disponível"))))</x:f>
        <x:v>Revisar escala</x:v>
      </x:c>
      <x:c r="N159" s="2" t="n">
        <x:f>IF(A159="","",ROW()-1)</x:f>
        <x:v>158</x:v>
      </x:c>
    </x:row>
    <x:row r="160" ht="24" customHeight="1">
      <x:c r="A160" s="13" t="str">
        <x:v>Géssyca Martins</x:v>
      </x:c>
      <x:c r="B160" s="14" t="d">
        <x:v>2026-10-14T00:00:00.000Z</x:v>
      </x:c>
      <x:c r="C160" s="26" t="n">
        <x:v>0.4583333333333333</x:v>
      </x:c>
      <x:c r="D160" s="13" t="str">
        <x:v>presencial</x:v>
      </x:c>
      <x:c r="E160" s="13" t="str">
        <x:v>não</x:v>
      </x:c>
      <x:c r="F160" s="13" t="str">
        <x:v>Sala 1</x:v>
      </x:c>
      <x:c r="G160" s="12" t="n">
        <x:f>IF(A160="","",'Agenda'!$B$5)</x:f>
        <x:v>50</x:v>
      </x:c>
      <x:c r="H160" s="12" t="n">
        <x:f>IF(A160="","",'Agenda'!$B$6)</x:f>
        <x:v>10</x:v>
      </x:c>
      <x:c r="I160" s="24" t="n">
        <x:f>IF(A160="","",C160+G160/1440)</x:f>
        <x:v>0.4930555555555555</x:v>
      </x:c>
      <x:c r="J160" s="24" t="n">
        <x:f>IF(A160="","",C160+(G160+H160)/1440)</x:f>
        <x:v>0.5</x:v>
      </x:c>
      <x:c r="K160" s="27" t="n">
        <x:f>IF(A160="","",IF(E160&lt;&gt;"sim",0,COUNTIFS($B$2:$B$501,B160,$F$2:$F$501,F160,$E$2:$E$501,"sim",$C$2:$C$501,"&lt;"&amp;J160,$J$2:$J$501,"&gt;"&amp;C160)-1))</x:f>
        <x:v>0</x:v>
      </x:c>
      <x:c r="L160" s="27" t="n">
        <x:f>IF(A160="","",IF(E160&lt;&gt;"sim",0,COUNTIFS($B$2:$B$501,B160,$A$2:$A$501,A160,$E$2:$E$501,"sim",$C$2:$C$501,"&lt;"&amp;J160,$J$2:$J$501,"&gt;"&amp;C160)-1))</x:f>
        <x:v>0</x:v>
      </x:c>
      <x:c r="M160" s="2" t="str">
        <x:f>IF(A160="","",IF(E160&lt;&gt;"sim","Revisar escala",IF(OR(K160&gt;0,L160&gt;0),"Conflito de escala",IF(COUNTIFS('Solicitacoes'!$F$2:$F$501,B160,'Solicitacoes'!$K$2:$K$501,F160,'Solicitacoes'!$I$2:$I$501,"pendente",'Solicitacoes'!$G$2:$G$501,"&lt;"&amp;J160,'Solicitacoes'!$N$2:$N$501,"&gt;"&amp;C160)+COUNTIFS('Solicitacoes'!$F$2:$F$501,B160,'Solicitacoes'!$E$2:$E$501,A160,'Solicitacoes'!$I$2:$I$501,"pendente",'Solicitacoes'!$G$2:$G$501,"&lt;"&amp;J160,'Solicitacoes'!$N$2:$N$501,"&gt;"&amp;C160)+COUNTIFS('Solicitacoes'!$F$2:$F$501,B160,'Solicitacoes'!$K$2:$K$501,F160,'Solicitacoes'!$I$2:$I$501,"confirmado",'Solicitacoes'!$G$2:$G$501,"&lt;"&amp;J160,'Solicitacoes'!$N$2:$N$501,"&gt;"&amp;C160)+COUNTIFS('Solicitacoes'!$F$2:$F$501,B160,'Solicitacoes'!$E$2:$E$501,A160,'Solicitacoes'!$I$2:$I$501,"confirmado",'Solicitacoes'!$G$2:$G$501,"&lt;"&amp;J160,'Solicitacoes'!$N$2:$N$501,"&gt;"&amp;C160)&gt;0,"Ocupado","Disponível"))))</x:f>
        <x:v>Revisar escala</x:v>
      </x:c>
      <x:c r="N160" s="2" t="n">
        <x:f>IF(A160="","",ROW()-1)</x:f>
        <x:v>159</x:v>
      </x:c>
    </x:row>
    <x:row r="161" ht="24" customHeight="1">
      <x:c r="A161" s="13" t="str">
        <x:v>Laura Casanova</x:v>
      </x:c>
      <x:c r="B161" s="14" t="d">
        <x:v>2026-10-14T00:00:00.000Z</x:v>
      </x:c>
      <x:c r="C161" s="26" t="n">
        <x:v>0.4583333333333333</x:v>
      </x:c>
      <x:c r="D161" s="13" t="str">
        <x:v>presencial</x:v>
      </x:c>
      <x:c r="E161" s="13" t="str">
        <x:v>não</x:v>
      </x:c>
      <x:c r="F161" s="13" t="str">
        <x:v>Sala 2</x:v>
      </x:c>
      <x:c r="G161" s="12" t="n">
        <x:f>IF(A161="","",'Agenda'!$B$5)</x:f>
        <x:v>50</x:v>
      </x:c>
      <x:c r="H161" s="12" t="n">
        <x:f>IF(A161="","",'Agenda'!$B$6)</x:f>
        <x:v>10</x:v>
      </x:c>
      <x:c r="I161" s="24" t="n">
        <x:f>IF(A161="","",C161+G161/1440)</x:f>
        <x:v>0.4930555555555555</x:v>
      </x:c>
      <x:c r="J161" s="24" t="n">
        <x:f>IF(A161="","",C161+(G161+H161)/1440)</x:f>
        <x:v>0.5</x:v>
      </x:c>
      <x:c r="K161" s="27" t="n">
        <x:f>IF(A161="","",IF(E161&lt;&gt;"sim",0,COUNTIFS($B$2:$B$501,B161,$F$2:$F$501,F161,$E$2:$E$501,"sim",$C$2:$C$501,"&lt;"&amp;J161,$J$2:$J$501,"&gt;"&amp;C161)-1))</x:f>
        <x:v>0</x:v>
      </x:c>
      <x:c r="L161" s="27" t="n">
        <x:f>IF(A161="","",IF(E161&lt;&gt;"sim",0,COUNTIFS($B$2:$B$501,B161,$A$2:$A$501,A161,$E$2:$E$501,"sim",$C$2:$C$501,"&lt;"&amp;J161,$J$2:$J$501,"&gt;"&amp;C161)-1))</x:f>
        <x:v>0</x:v>
      </x:c>
      <x:c r="M161" s="2" t="str">
        <x:f>IF(A161="","",IF(E161&lt;&gt;"sim","Revisar escala",IF(OR(K161&gt;0,L161&gt;0),"Conflito de escala",IF(COUNTIFS('Solicitacoes'!$F$2:$F$501,B161,'Solicitacoes'!$K$2:$K$501,F161,'Solicitacoes'!$I$2:$I$501,"pendente",'Solicitacoes'!$G$2:$G$501,"&lt;"&amp;J161,'Solicitacoes'!$N$2:$N$501,"&gt;"&amp;C161)+COUNTIFS('Solicitacoes'!$F$2:$F$501,B161,'Solicitacoes'!$E$2:$E$501,A161,'Solicitacoes'!$I$2:$I$501,"pendente",'Solicitacoes'!$G$2:$G$501,"&lt;"&amp;J161,'Solicitacoes'!$N$2:$N$501,"&gt;"&amp;C161)+COUNTIFS('Solicitacoes'!$F$2:$F$501,B161,'Solicitacoes'!$K$2:$K$501,F161,'Solicitacoes'!$I$2:$I$501,"confirmado",'Solicitacoes'!$G$2:$G$501,"&lt;"&amp;J161,'Solicitacoes'!$N$2:$N$501,"&gt;"&amp;C161)+COUNTIFS('Solicitacoes'!$F$2:$F$501,B161,'Solicitacoes'!$E$2:$E$501,A161,'Solicitacoes'!$I$2:$I$501,"confirmado",'Solicitacoes'!$G$2:$G$501,"&lt;"&amp;J161,'Solicitacoes'!$N$2:$N$501,"&gt;"&amp;C161)&gt;0,"Ocupado","Disponível"))))</x:f>
        <x:v>Revisar escala</x:v>
      </x:c>
      <x:c r="N161" s="2" t="n">
        <x:f>IF(A161="","",ROW()-1)</x:f>
        <x:v>160</x:v>
      </x:c>
    </x:row>
    <x:row r="162" ht="24" customHeight="1">
      <x:c r="A162" s="13" t="str">
        <x:v>Géssyca Martins</x:v>
      </x:c>
      <x:c r="B162" s="14" t="d">
        <x:v>2026-10-14T00:00:00.000Z</x:v>
      </x:c>
      <x:c r="C162" s="26" t="n">
        <x:v>0.5</x:v>
      </x:c>
      <x:c r="D162" s="13" t="str">
        <x:v>presencial</x:v>
      </x:c>
      <x:c r="E162" s="13" t="str">
        <x:v>não</x:v>
      </x:c>
      <x:c r="F162" s="13" t="str">
        <x:v>Sala 1</x:v>
      </x:c>
      <x:c r="G162" s="12" t="n">
        <x:f>IF(A162="","",'Agenda'!$B$5)</x:f>
        <x:v>50</x:v>
      </x:c>
      <x:c r="H162" s="12" t="n">
        <x:f>IF(A162="","",'Agenda'!$B$6)</x:f>
        <x:v>10</x:v>
      </x:c>
      <x:c r="I162" s="24" t="n">
        <x:f>IF(A162="","",C162+G162/1440)</x:f>
        <x:v>0.5347222222222222</x:v>
      </x:c>
      <x:c r="J162" s="24" t="n">
        <x:f>IF(A162="","",C162+(G162+H162)/1440)</x:f>
        <x:v>0.5416666666666666</x:v>
      </x:c>
      <x:c r="K162" s="27" t="n">
        <x:f>IF(A162="","",IF(E162&lt;&gt;"sim",0,COUNTIFS($B$2:$B$501,B162,$F$2:$F$501,F162,$E$2:$E$501,"sim",$C$2:$C$501,"&lt;"&amp;J162,$J$2:$J$501,"&gt;"&amp;C162)-1))</x:f>
        <x:v>0</x:v>
      </x:c>
      <x:c r="L162" s="27" t="n">
        <x:f>IF(A162="","",IF(E162&lt;&gt;"sim",0,COUNTIFS($B$2:$B$501,B162,$A$2:$A$501,A162,$E$2:$E$501,"sim",$C$2:$C$501,"&lt;"&amp;J162,$J$2:$J$501,"&gt;"&amp;C162)-1))</x:f>
        <x:v>0</x:v>
      </x:c>
      <x:c r="M162" s="2" t="str">
        <x:f>IF(A162="","",IF(E162&lt;&gt;"sim","Revisar escala",IF(OR(K162&gt;0,L162&gt;0),"Conflito de escala",IF(COUNTIFS('Solicitacoes'!$F$2:$F$501,B162,'Solicitacoes'!$K$2:$K$501,F162,'Solicitacoes'!$I$2:$I$501,"pendente",'Solicitacoes'!$G$2:$G$501,"&lt;"&amp;J162,'Solicitacoes'!$N$2:$N$501,"&gt;"&amp;C162)+COUNTIFS('Solicitacoes'!$F$2:$F$501,B162,'Solicitacoes'!$E$2:$E$501,A162,'Solicitacoes'!$I$2:$I$501,"pendente",'Solicitacoes'!$G$2:$G$501,"&lt;"&amp;J162,'Solicitacoes'!$N$2:$N$501,"&gt;"&amp;C162)+COUNTIFS('Solicitacoes'!$F$2:$F$501,B162,'Solicitacoes'!$K$2:$K$501,F162,'Solicitacoes'!$I$2:$I$501,"confirmado",'Solicitacoes'!$G$2:$G$501,"&lt;"&amp;J162,'Solicitacoes'!$N$2:$N$501,"&gt;"&amp;C162)+COUNTIFS('Solicitacoes'!$F$2:$F$501,B162,'Solicitacoes'!$E$2:$E$501,A162,'Solicitacoes'!$I$2:$I$501,"confirmado",'Solicitacoes'!$G$2:$G$501,"&lt;"&amp;J162,'Solicitacoes'!$N$2:$N$501,"&gt;"&amp;C162)&gt;0,"Ocupado","Disponível"))))</x:f>
        <x:v>Revisar escala</x:v>
      </x:c>
      <x:c r="N162" s="2" t="n">
        <x:f>IF(A162="","",ROW()-1)</x:f>
        <x:v>161</x:v>
      </x:c>
    </x:row>
    <x:row r="163" ht="24" customHeight="1">
      <x:c r="A163" s="13" t="str">
        <x:v>Laura Casanova</x:v>
      </x:c>
      <x:c r="B163" s="14" t="d">
        <x:v>2026-10-14T00:00:00.000Z</x:v>
      </x:c>
      <x:c r="C163" s="26" t="n">
        <x:v>0.5</x:v>
      </x:c>
      <x:c r="D163" s="13" t="str">
        <x:v>presencial</x:v>
      </x:c>
      <x:c r="E163" s="13" t="str">
        <x:v>não</x:v>
      </x:c>
      <x:c r="F163" s="13" t="str">
        <x:v>Sala 2</x:v>
      </x:c>
      <x:c r="G163" s="12" t="n">
        <x:f>IF(A163="","",'Agenda'!$B$5)</x:f>
        <x:v>50</x:v>
      </x:c>
      <x:c r="H163" s="12" t="n">
        <x:f>IF(A163="","",'Agenda'!$B$6)</x:f>
        <x:v>10</x:v>
      </x:c>
      <x:c r="I163" s="24" t="n">
        <x:f>IF(A163="","",C163+G163/1440)</x:f>
        <x:v>0.5347222222222222</x:v>
      </x:c>
      <x:c r="J163" s="24" t="n">
        <x:f>IF(A163="","",C163+(G163+H163)/1440)</x:f>
        <x:v>0.5416666666666666</x:v>
      </x:c>
      <x:c r="K163" s="27" t="n">
        <x:f>IF(A163="","",IF(E163&lt;&gt;"sim",0,COUNTIFS($B$2:$B$501,B163,$F$2:$F$501,F163,$E$2:$E$501,"sim",$C$2:$C$501,"&lt;"&amp;J163,$J$2:$J$501,"&gt;"&amp;C163)-1))</x:f>
        <x:v>0</x:v>
      </x:c>
      <x:c r="L163" s="27" t="n">
        <x:f>IF(A163="","",IF(E163&lt;&gt;"sim",0,COUNTIFS($B$2:$B$501,B163,$A$2:$A$501,A163,$E$2:$E$501,"sim",$C$2:$C$501,"&lt;"&amp;J163,$J$2:$J$501,"&gt;"&amp;C163)-1))</x:f>
        <x:v>0</x:v>
      </x:c>
      <x:c r="M163" s="2" t="str">
        <x:f>IF(A163="","",IF(E163&lt;&gt;"sim","Revisar escala",IF(OR(K163&gt;0,L163&gt;0),"Conflito de escala",IF(COUNTIFS('Solicitacoes'!$F$2:$F$501,B163,'Solicitacoes'!$K$2:$K$501,F163,'Solicitacoes'!$I$2:$I$501,"pendente",'Solicitacoes'!$G$2:$G$501,"&lt;"&amp;J163,'Solicitacoes'!$N$2:$N$501,"&gt;"&amp;C163)+COUNTIFS('Solicitacoes'!$F$2:$F$501,B163,'Solicitacoes'!$E$2:$E$501,A163,'Solicitacoes'!$I$2:$I$501,"pendente",'Solicitacoes'!$G$2:$G$501,"&lt;"&amp;J163,'Solicitacoes'!$N$2:$N$501,"&gt;"&amp;C163)+COUNTIFS('Solicitacoes'!$F$2:$F$501,B163,'Solicitacoes'!$K$2:$K$501,F163,'Solicitacoes'!$I$2:$I$501,"confirmado",'Solicitacoes'!$G$2:$G$501,"&lt;"&amp;J163,'Solicitacoes'!$N$2:$N$501,"&gt;"&amp;C163)+COUNTIFS('Solicitacoes'!$F$2:$F$501,B163,'Solicitacoes'!$E$2:$E$501,A163,'Solicitacoes'!$I$2:$I$501,"confirmado",'Solicitacoes'!$G$2:$G$501,"&lt;"&amp;J163,'Solicitacoes'!$N$2:$N$501,"&gt;"&amp;C163)&gt;0,"Ocupado","Disponível"))))</x:f>
        <x:v>Revisar escala</x:v>
      </x:c>
      <x:c r="N163" s="2" t="n">
        <x:f>IF(A163="","",ROW()-1)</x:f>
        <x:v>162</x:v>
      </x:c>
    </x:row>
    <x:row r="164" ht="24" customHeight="1">
      <x:c r="A164" s="13" t="str">
        <x:v>Géssyca Martins</x:v>
      </x:c>
      <x:c r="B164" s="14" t="d">
        <x:v>2026-10-14T00:00:00.000Z</x:v>
      </x:c>
      <x:c r="C164" s="26" t="n">
        <x:v>0.5416666666666666</x:v>
      </x:c>
      <x:c r="D164" s="13" t="str">
        <x:v>presencial</x:v>
      </x:c>
      <x:c r="E164" s="13" t="str">
        <x:v>não</x:v>
      </x:c>
      <x:c r="F164" s="13" t="str">
        <x:v>Sala 1</x:v>
      </x:c>
      <x:c r="G164" s="12" t="n">
        <x:f>IF(A164="","",'Agenda'!$B$5)</x:f>
        <x:v>50</x:v>
      </x:c>
      <x:c r="H164" s="12" t="n">
        <x:f>IF(A164="","",'Agenda'!$B$6)</x:f>
        <x:v>10</x:v>
      </x:c>
      <x:c r="I164" s="24" t="n">
        <x:f>IF(A164="","",C164+G164/1440)</x:f>
        <x:v>0.5763888888888888</x:v>
      </x:c>
      <x:c r="J164" s="24" t="n">
        <x:f>IF(A164="","",C164+(G164+H164)/1440)</x:f>
        <x:v>0.5833333333333333</x:v>
      </x:c>
      <x:c r="K164" s="27" t="n">
        <x:f>IF(A164="","",IF(E164&lt;&gt;"sim",0,COUNTIFS($B$2:$B$501,B164,$F$2:$F$501,F164,$E$2:$E$501,"sim",$C$2:$C$501,"&lt;"&amp;J164,$J$2:$J$501,"&gt;"&amp;C164)-1))</x:f>
        <x:v>0</x:v>
      </x:c>
      <x:c r="L164" s="27" t="n">
        <x:f>IF(A164="","",IF(E164&lt;&gt;"sim",0,COUNTIFS($B$2:$B$501,B164,$A$2:$A$501,A164,$E$2:$E$501,"sim",$C$2:$C$501,"&lt;"&amp;J164,$J$2:$J$501,"&gt;"&amp;C164)-1))</x:f>
        <x:v>0</x:v>
      </x:c>
      <x:c r="M164" s="2" t="str">
        <x:f>IF(A164="","",IF(E164&lt;&gt;"sim","Revisar escala",IF(OR(K164&gt;0,L164&gt;0),"Conflito de escala",IF(COUNTIFS('Solicitacoes'!$F$2:$F$501,B164,'Solicitacoes'!$K$2:$K$501,F164,'Solicitacoes'!$I$2:$I$501,"pendente",'Solicitacoes'!$G$2:$G$501,"&lt;"&amp;J164,'Solicitacoes'!$N$2:$N$501,"&gt;"&amp;C164)+COUNTIFS('Solicitacoes'!$F$2:$F$501,B164,'Solicitacoes'!$E$2:$E$501,A164,'Solicitacoes'!$I$2:$I$501,"pendente",'Solicitacoes'!$G$2:$G$501,"&lt;"&amp;J164,'Solicitacoes'!$N$2:$N$501,"&gt;"&amp;C164)+COUNTIFS('Solicitacoes'!$F$2:$F$501,B164,'Solicitacoes'!$K$2:$K$501,F164,'Solicitacoes'!$I$2:$I$501,"confirmado",'Solicitacoes'!$G$2:$G$501,"&lt;"&amp;J164,'Solicitacoes'!$N$2:$N$501,"&gt;"&amp;C164)+COUNTIFS('Solicitacoes'!$F$2:$F$501,B164,'Solicitacoes'!$E$2:$E$501,A164,'Solicitacoes'!$I$2:$I$501,"confirmado",'Solicitacoes'!$G$2:$G$501,"&lt;"&amp;J164,'Solicitacoes'!$N$2:$N$501,"&gt;"&amp;C164)&gt;0,"Ocupado","Disponível"))))</x:f>
        <x:v>Revisar escala</x:v>
      </x:c>
      <x:c r="N164" s="2" t="n">
        <x:f>IF(A164="","",ROW()-1)</x:f>
        <x:v>163</x:v>
      </x:c>
    </x:row>
    <x:row r="165" ht="24" customHeight="1">
      <x:c r="A165" s="13" t="str">
        <x:v>Laura Casanova</x:v>
      </x:c>
      <x:c r="B165" s="14" t="d">
        <x:v>2026-10-14T00:00:00.000Z</x:v>
      </x:c>
      <x:c r="C165" s="26" t="n">
        <x:v>0.5416666666666666</x:v>
      </x:c>
      <x:c r="D165" s="13" t="str">
        <x:v>presencial</x:v>
      </x:c>
      <x:c r="E165" s="13" t="str">
        <x:v>não</x:v>
      </x:c>
      <x:c r="F165" s="13" t="str">
        <x:v>Sala 2</x:v>
      </x:c>
      <x:c r="G165" s="12" t="n">
        <x:f>IF(A165="","",'Agenda'!$B$5)</x:f>
        <x:v>50</x:v>
      </x:c>
      <x:c r="H165" s="12" t="n">
        <x:f>IF(A165="","",'Agenda'!$B$6)</x:f>
        <x:v>10</x:v>
      </x:c>
      <x:c r="I165" s="24" t="n">
        <x:f>IF(A165="","",C165+G165/1440)</x:f>
        <x:v>0.5763888888888888</x:v>
      </x:c>
      <x:c r="J165" s="24" t="n">
        <x:f>IF(A165="","",C165+(G165+H165)/1440)</x:f>
        <x:v>0.5833333333333333</x:v>
      </x:c>
      <x:c r="K165" s="27" t="n">
        <x:f>IF(A165="","",IF(E165&lt;&gt;"sim",0,COUNTIFS($B$2:$B$501,B165,$F$2:$F$501,F165,$E$2:$E$501,"sim",$C$2:$C$501,"&lt;"&amp;J165,$J$2:$J$501,"&gt;"&amp;C165)-1))</x:f>
        <x:v>0</x:v>
      </x:c>
      <x:c r="L165" s="27" t="n">
        <x:f>IF(A165="","",IF(E165&lt;&gt;"sim",0,COUNTIFS($B$2:$B$501,B165,$A$2:$A$501,A165,$E$2:$E$501,"sim",$C$2:$C$501,"&lt;"&amp;J165,$J$2:$J$501,"&gt;"&amp;C165)-1))</x:f>
        <x:v>0</x:v>
      </x:c>
      <x:c r="M165" s="2" t="str">
        <x:f>IF(A165="","",IF(E165&lt;&gt;"sim","Revisar escala",IF(OR(K165&gt;0,L165&gt;0),"Conflito de escala",IF(COUNTIFS('Solicitacoes'!$F$2:$F$501,B165,'Solicitacoes'!$K$2:$K$501,F165,'Solicitacoes'!$I$2:$I$501,"pendente",'Solicitacoes'!$G$2:$G$501,"&lt;"&amp;J165,'Solicitacoes'!$N$2:$N$501,"&gt;"&amp;C165)+COUNTIFS('Solicitacoes'!$F$2:$F$501,B165,'Solicitacoes'!$E$2:$E$501,A165,'Solicitacoes'!$I$2:$I$501,"pendente",'Solicitacoes'!$G$2:$G$501,"&lt;"&amp;J165,'Solicitacoes'!$N$2:$N$501,"&gt;"&amp;C165)+COUNTIFS('Solicitacoes'!$F$2:$F$501,B165,'Solicitacoes'!$K$2:$K$501,F165,'Solicitacoes'!$I$2:$I$501,"confirmado",'Solicitacoes'!$G$2:$G$501,"&lt;"&amp;J165,'Solicitacoes'!$N$2:$N$501,"&gt;"&amp;C165)+COUNTIFS('Solicitacoes'!$F$2:$F$501,B165,'Solicitacoes'!$E$2:$E$501,A165,'Solicitacoes'!$I$2:$I$501,"confirmado",'Solicitacoes'!$G$2:$G$501,"&lt;"&amp;J165,'Solicitacoes'!$N$2:$N$501,"&gt;"&amp;C165)&gt;0,"Ocupado","Disponível"))))</x:f>
        <x:v>Revisar escala</x:v>
      </x:c>
      <x:c r="N165" s="2" t="n">
        <x:f>IF(A165="","",ROW()-1)</x:f>
        <x:v>164</x:v>
      </x:c>
    </x:row>
    <x:row r="166" ht="24" customHeight="1">
      <x:c r="A166" s="13" t="str">
        <x:v>Aline Reis</x:v>
      </x:c>
      <x:c r="B166" s="14" t="d">
        <x:v>2026-10-14T00:00:00.000Z</x:v>
      </x:c>
      <x:c r="C166" s="26" t="n">
        <x:v>0.5833333333333334</x:v>
      </x:c>
      <x:c r="D166" s="13" t="str">
        <x:v>presencial</x:v>
      </x:c>
      <x:c r="E166" s="13" t="str">
        <x:v>não</x:v>
      </x:c>
      <x:c r="F166" s="13" t="str">
        <x:v>Sala 1</x:v>
      </x:c>
      <x:c r="G166" s="12" t="n">
        <x:f>IF(A166="","",'Agenda'!$B$5)</x:f>
        <x:v>50</x:v>
      </x:c>
      <x:c r="H166" s="12" t="n">
        <x:f>IF(A166="","",'Agenda'!$B$6)</x:f>
        <x:v>10</x:v>
      </x:c>
      <x:c r="I166" s="24" t="n">
        <x:f>IF(A166="","",C166+G166/1440)</x:f>
        <x:v>0.6180555555555556</x:v>
      </x:c>
      <x:c r="J166" s="24" t="n">
        <x:f>IF(A166="","",C166+(G166+H166)/1440)</x:f>
        <x:v>0.625</x:v>
      </x:c>
      <x:c r="K166" s="27" t="n">
        <x:f>IF(A166="","",IF(E166&lt;&gt;"sim",0,COUNTIFS($B$2:$B$501,B166,$F$2:$F$501,F166,$E$2:$E$501,"sim",$C$2:$C$501,"&lt;"&amp;J166,$J$2:$J$501,"&gt;"&amp;C166)-1))</x:f>
        <x:v>0</x:v>
      </x:c>
      <x:c r="L166" s="27" t="n">
        <x:f>IF(A166="","",IF(E166&lt;&gt;"sim",0,COUNTIFS($B$2:$B$501,B166,$A$2:$A$501,A166,$E$2:$E$501,"sim",$C$2:$C$501,"&lt;"&amp;J166,$J$2:$J$501,"&gt;"&amp;C166)-1))</x:f>
        <x:v>0</x:v>
      </x:c>
      <x:c r="M166" s="2" t="str">
        <x:f>IF(A166="","",IF(E166&lt;&gt;"sim","Revisar escala",IF(OR(K166&gt;0,L166&gt;0),"Conflito de escala",IF(COUNTIFS('Solicitacoes'!$F$2:$F$501,B166,'Solicitacoes'!$K$2:$K$501,F166,'Solicitacoes'!$I$2:$I$501,"pendente",'Solicitacoes'!$G$2:$G$501,"&lt;"&amp;J166,'Solicitacoes'!$N$2:$N$501,"&gt;"&amp;C166)+COUNTIFS('Solicitacoes'!$F$2:$F$501,B166,'Solicitacoes'!$E$2:$E$501,A166,'Solicitacoes'!$I$2:$I$501,"pendente",'Solicitacoes'!$G$2:$G$501,"&lt;"&amp;J166,'Solicitacoes'!$N$2:$N$501,"&gt;"&amp;C166)+COUNTIFS('Solicitacoes'!$F$2:$F$501,B166,'Solicitacoes'!$K$2:$K$501,F166,'Solicitacoes'!$I$2:$I$501,"confirmado",'Solicitacoes'!$G$2:$G$501,"&lt;"&amp;J166,'Solicitacoes'!$N$2:$N$501,"&gt;"&amp;C166)+COUNTIFS('Solicitacoes'!$F$2:$F$501,B166,'Solicitacoes'!$E$2:$E$501,A166,'Solicitacoes'!$I$2:$I$501,"confirmado",'Solicitacoes'!$G$2:$G$501,"&lt;"&amp;J166,'Solicitacoes'!$N$2:$N$501,"&gt;"&amp;C166)&gt;0,"Ocupado","Disponível"))))</x:f>
        <x:v>Revisar escala</x:v>
      </x:c>
      <x:c r="N166" s="2" t="n">
        <x:f>IF(A166="","",ROW()-1)</x:f>
        <x:v>165</x:v>
      </x:c>
    </x:row>
    <x:row r="167" ht="24" customHeight="1">
      <x:c r="A167" s="13" t="str">
        <x:v>Géssyca Martins</x:v>
      </x:c>
      <x:c r="B167" s="14" t="d">
        <x:v>2026-10-14T00:00:00.000Z</x:v>
      </x:c>
      <x:c r="C167" s="26" t="n">
        <x:v>0.5833333333333334</x:v>
      </x:c>
      <x:c r="D167" s="13" t="str">
        <x:v>presencial</x:v>
      </x:c>
      <x:c r="E167" s="13" t="str">
        <x:v>não</x:v>
      </x:c>
      <x:c r="F167" s="13" t="str">
        <x:v>Sala 2</x:v>
      </x:c>
      <x:c r="G167" s="12" t="n">
        <x:f>IF(A167="","",'Agenda'!$B$5)</x:f>
        <x:v>50</x:v>
      </x:c>
      <x:c r="H167" s="12" t="n">
        <x:f>IF(A167="","",'Agenda'!$B$6)</x:f>
        <x:v>10</x:v>
      </x:c>
      <x:c r="I167" s="24" t="n">
        <x:f>IF(A167="","",C167+G167/1440)</x:f>
        <x:v>0.6180555555555556</x:v>
      </x:c>
      <x:c r="J167" s="24" t="n">
        <x:f>IF(A167="","",C167+(G167+H167)/1440)</x:f>
        <x:v>0.625</x:v>
      </x:c>
      <x:c r="K167" s="27" t="n">
        <x:f>IF(A167="","",IF(E167&lt;&gt;"sim",0,COUNTIFS($B$2:$B$501,B167,$F$2:$F$501,F167,$E$2:$E$501,"sim",$C$2:$C$501,"&lt;"&amp;J167,$J$2:$J$501,"&gt;"&amp;C167)-1))</x:f>
        <x:v>0</x:v>
      </x:c>
      <x:c r="L167" s="27" t="n">
        <x:f>IF(A167="","",IF(E167&lt;&gt;"sim",0,COUNTIFS($B$2:$B$501,B167,$A$2:$A$501,A167,$E$2:$E$501,"sim",$C$2:$C$501,"&lt;"&amp;J167,$J$2:$J$501,"&gt;"&amp;C167)-1))</x:f>
        <x:v>0</x:v>
      </x:c>
      <x:c r="M167" s="2" t="str">
        <x:f>IF(A167="","",IF(E167&lt;&gt;"sim","Revisar escala",IF(OR(K167&gt;0,L167&gt;0),"Conflito de escala",IF(COUNTIFS('Solicitacoes'!$F$2:$F$501,B167,'Solicitacoes'!$K$2:$K$501,F167,'Solicitacoes'!$I$2:$I$501,"pendente",'Solicitacoes'!$G$2:$G$501,"&lt;"&amp;J167,'Solicitacoes'!$N$2:$N$501,"&gt;"&amp;C167)+COUNTIFS('Solicitacoes'!$F$2:$F$501,B167,'Solicitacoes'!$E$2:$E$501,A167,'Solicitacoes'!$I$2:$I$501,"pendente",'Solicitacoes'!$G$2:$G$501,"&lt;"&amp;J167,'Solicitacoes'!$N$2:$N$501,"&gt;"&amp;C167)+COUNTIFS('Solicitacoes'!$F$2:$F$501,B167,'Solicitacoes'!$K$2:$K$501,F167,'Solicitacoes'!$I$2:$I$501,"confirmado",'Solicitacoes'!$G$2:$G$501,"&lt;"&amp;J167,'Solicitacoes'!$N$2:$N$501,"&gt;"&amp;C167)+COUNTIFS('Solicitacoes'!$F$2:$F$501,B167,'Solicitacoes'!$E$2:$E$501,A167,'Solicitacoes'!$I$2:$I$501,"confirmado",'Solicitacoes'!$G$2:$G$501,"&lt;"&amp;J167,'Solicitacoes'!$N$2:$N$501,"&gt;"&amp;C167)&gt;0,"Ocupado","Disponível"))))</x:f>
        <x:v>Revisar escala</x:v>
      </x:c>
      <x:c r="N167" s="2" t="n">
        <x:f>IF(A167="","",ROW()-1)</x:f>
        <x:v>166</x:v>
      </x:c>
    </x:row>
    <x:row r="168" ht="24" customHeight="1">
      <x:c r="A168" s="13" t="str">
        <x:v>Aline Reis</x:v>
      </x:c>
      <x:c r="B168" s="14" t="d">
        <x:v>2026-10-14T00:00:00.000Z</x:v>
      </x:c>
      <x:c r="C168" s="26" t="n">
        <x:v>0.625</x:v>
      </x:c>
      <x:c r="D168" s="13" t="str">
        <x:v>presencial</x:v>
      </x:c>
      <x:c r="E168" s="13" t="str">
        <x:v>não</x:v>
      </x:c>
      <x:c r="F168" s="13" t="str">
        <x:v>Sala 1</x:v>
      </x:c>
      <x:c r="G168" s="12" t="n">
        <x:f>IF(A168="","",'Agenda'!$B$5)</x:f>
        <x:v>50</x:v>
      </x:c>
      <x:c r="H168" s="12" t="n">
        <x:f>IF(A168="","",'Agenda'!$B$6)</x:f>
        <x:v>10</x:v>
      </x:c>
      <x:c r="I168" s="24" t="n">
        <x:f>IF(A168="","",C168+G168/1440)</x:f>
        <x:v>0.6597222222222222</x:v>
      </x:c>
      <x:c r="J168" s="24" t="n">
        <x:f>IF(A168="","",C168+(G168+H168)/1440)</x:f>
        <x:v>0.6666666666666666</x:v>
      </x:c>
      <x:c r="K168" s="27" t="n">
        <x:f>IF(A168="","",IF(E168&lt;&gt;"sim",0,COUNTIFS($B$2:$B$501,B168,$F$2:$F$501,F168,$E$2:$E$501,"sim",$C$2:$C$501,"&lt;"&amp;J168,$J$2:$J$501,"&gt;"&amp;C168)-1))</x:f>
        <x:v>0</x:v>
      </x:c>
      <x:c r="L168" s="27" t="n">
        <x:f>IF(A168="","",IF(E168&lt;&gt;"sim",0,COUNTIFS($B$2:$B$501,B168,$A$2:$A$501,A168,$E$2:$E$501,"sim",$C$2:$C$501,"&lt;"&amp;J168,$J$2:$J$501,"&gt;"&amp;C168)-1))</x:f>
        <x:v>0</x:v>
      </x:c>
      <x:c r="M168" s="2" t="str">
        <x:f>IF(A168="","",IF(E168&lt;&gt;"sim","Revisar escala",IF(OR(K168&gt;0,L168&gt;0),"Conflito de escala",IF(COUNTIFS('Solicitacoes'!$F$2:$F$501,B168,'Solicitacoes'!$K$2:$K$501,F168,'Solicitacoes'!$I$2:$I$501,"pendente",'Solicitacoes'!$G$2:$G$501,"&lt;"&amp;J168,'Solicitacoes'!$N$2:$N$501,"&gt;"&amp;C168)+COUNTIFS('Solicitacoes'!$F$2:$F$501,B168,'Solicitacoes'!$E$2:$E$501,A168,'Solicitacoes'!$I$2:$I$501,"pendente",'Solicitacoes'!$G$2:$G$501,"&lt;"&amp;J168,'Solicitacoes'!$N$2:$N$501,"&gt;"&amp;C168)+COUNTIFS('Solicitacoes'!$F$2:$F$501,B168,'Solicitacoes'!$K$2:$K$501,F168,'Solicitacoes'!$I$2:$I$501,"confirmado",'Solicitacoes'!$G$2:$G$501,"&lt;"&amp;J168,'Solicitacoes'!$N$2:$N$501,"&gt;"&amp;C168)+COUNTIFS('Solicitacoes'!$F$2:$F$501,B168,'Solicitacoes'!$E$2:$E$501,A168,'Solicitacoes'!$I$2:$I$501,"confirmado",'Solicitacoes'!$G$2:$G$501,"&lt;"&amp;J168,'Solicitacoes'!$N$2:$N$501,"&gt;"&amp;C168)&gt;0,"Ocupado","Disponível"))))</x:f>
        <x:v>Revisar escala</x:v>
      </x:c>
      <x:c r="N168" s="2" t="n">
        <x:f>IF(A168="","",ROW()-1)</x:f>
        <x:v>167</x:v>
      </x:c>
    </x:row>
    <x:row r="169" ht="24" customHeight="1">
      <x:c r="A169" s="13" t="str">
        <x:v>Géssyca Martins</x:v>
      </x:c>
      <x:c r="B169" s="14" t="d">
        <x:v>2026-10-14T00:00:00.000Z</x:v>
      </x:c>
      <x:c r="C169" s="26" t="n">
        <x:v>0.625</x:v>
      </x:c>
      <x:c r="D169" s="13" t="str">
        <x:v>presencial</x:v>
      </x:c>
      <x:c r="E169" s="13" t="str">
        <x:v>não</x:v>
      </x:c>
      <x:c r="F169" s="13" t="str">
        <x:v>Sala 2</x:v>
      </x:c>
      <x:c r="G169" s="12" t="n">
        <x:f>IF(A169="","",'Agenda'!$B$5)</x:f>
        <x:v>50</x:v>
      </x:c>
      <x:c r="H169" s="12" t="n">
        <x:f>IF(A169="","",'Agenda'!$B$6)</x:f>
        <x:v>10</x:v>
      </x:c>
      <x:c r="I169" s="24" t="n">
        <x:f>IF(A169="","",C169+G169/1440)</x:f>
        <x:v>0.6597222222222222</x:v>
      </x:c>
      <x:c r="J169" s="24" t="n">
        <x:f>IF(A169="","",C169+(G169+H169)/1440)</x:f>
        <x:v>0.6666666666666666</x:v>
      </x:c>
      <x:c r="K169" s="27" t="n">
        <x:f>IF(A169="","",IF(E169&lt;&gt;"sim",0,COUNTIFS($B$2:$B$501,B169,$F$2:$F$501,F169,$E$2:$E$501,"sim",$C$2:$C$501,"&lt;"&amp;J169,$J$2:$J$501,"&gt;"&amp;C169)-1))</x:f>
        <x:v>0</x:v>
      </x:c>
      <x:c r="L169" s="27" t="n">
        <x:f>IF(A169="","",IF(E169&lt;&gt;"sim",0,COUNTIFS($B$2:$B$501,B169,$A$2:$A$501,A169,$E$2:$E$501,"sim",$C$2:$C$501,"&lt;"&amp;J169,$J$2:$J$501,"&gt;"&amp;C169)-1))</x:f>
        <x:v>0</x:v>
      </x:c>
      <x:c r="M169" s="2" t="str">
        <x:f>IF(A169="","",IF(E169&lt;&gt;"sim","Revisar escala",IF(OR(K169&gt;0,L169&gt;0),"Conflito de escala",IF(COUNTIFS('Solicitacoes'!$F$2:$F$501,B169,'Solicitacoes'!$K$2:$K$501,F169,'Solicitacoes'!$I$2:$I$501,"pendente",'Solicitacoes'!$G$2:$G$501,"&lt;"&amp;J169,'Solicitacoes'!$N$2:$N$501,"&gt;"&amp;C169)+COUNTIFS('Solicitacoes'!$F$2:$F$501,B169,'Solicitacoes'!$E$2:$E$501,A169,'Solicitacoes'!$I$2:$I$501,"pendente",'Solicitacoes'!$G$2:$G$501,"&lt;"&amp;J169,'Solicitacoes'!$N$2:$N$501,"&gt;"&amp;C169)+COUNTIFS('Solicitacoes'!$F$2:$F$501,B169,'Solicitacoes'!$K$2:$K$501,F169,'Solicitacoes'!$I$2:$I$501,"confirmado",'Solicitacoes'!$G$2:$G$501,"&lt;"&amp;J169,'Solicitacoes'!$N$2:$N$501,"&gt;"&amp;C169)+COUNTIFS('Solicitacoes'!$F$2:$F$501,B169,'Solicitacoes'!$E$2:$E$501,A169,'Solicitacoes'!$I$2:$I$501,"confirmado",'Solicitacoes'!$G$2:$G$501,"&lt;"&amp;J169,'Solicitacoes'!$N$2:$N$501,"&gt;"&amp;C169)&gt;0,"Ocupado","Disponível"))))</x:f>
        <x:v>Revisar escala</x:v>
      </x:c>
      <x:c r="N169" s="2" t="n">
        <x:f>IF(A169="","",ROW()-1)</x:f>
        <x:v>168</x:v>
      </x:c>
    </x:row>
    <x:row r="170" ht="24" customHeight="1">
      <x:c r="A170" s="13" t="str">
        <x:v>Aline Reis</x:v>
      </x:c>
      <x:c r="B170" s="14" t="d">
        <x:v>2026-10-14T00:00:00.000Z</x:v>
      </x:c>
      <x:c r="C170" s="26" t="n">
        <x:v>0.6666666666666666</x:v>
      </x:c>
      <x:c r="D170" s="13" t="str">
        <x:v>presencial</x:v>
      </x:c>
      <x:c r="E170" s="13" t="str">
        <x:v>não</x:v>
      </x:c>
      <x:c r="F170" s="13" t="str">
        <x:v>Sala 1</x:v>
      </x:c>
      <x:c r="G170" s="12" t="n">
        <x:f>IF(A170="","",'Agenda'!$B$5)</x:f>
        <x:v>50</x:v>
      </x:c>
      <x:c r="H170" s="12" t="n">
        <x:f>IF(A170="","",'Agenda'!$B$6)</x:f>
        <x:v>10</x:v>
      </x:c>
      <x:c r="I170" s="24" t="n">
        <x:f>IF(A170="","",C170+G170/1440)</x:f>
        <x:v>0.7013888888888888</x:v>
      </x:c>
      <x:c r="J170" s="24" t="n">
        <x:f>IF(A170="","",C170+(G170+H170)/1440)</x:f>
        <x:v>0.7083333333333333</x:v>
      </x:c>
      <x:c r="K170" s="27" t="n">
        <x:f>IF(A170="","",IF(E170&lt;&gt;"sim",0,COUNTIFS($B$2:$B$501,B170,$F$2:$F$501,F170,$E$2:$E$501,"sim",$C$2:$C$501,"&lt;"&amp;J170,$J$2:$J$501,"&gt;"&amp;C170)-1))</x:f>
        <x:v>0</x:v>
      </x:c>
      <x:c r="L170" s="27" t="n">
        <x:f>IF(A170="","",IF(E170&lt;&gt;"sim",0,COUNTIFS($B$2:$B$501,B170,$A$2:$A$501,A170,$E$2:$E$501,"sim",$C$2:$C$501,"&lt;"&amp;J170,$J$2:$J$501,"&gt;"&amp;C170)-1))</x:f>
        <x:v>0</x:v>
      </x:c>
      <x:c r="M170" s="2" t="str">
        <x:f>IF(A170="","",IF(E170&lt;&gt;"sim","Revisar escala",IF(OR(K170&gt;0,L170&gt;0),"Conflito de escala",IF(COUNTIFS('Solicitacoes'!$F$2:$F$501,B170,'Solicitacoes'!$K$2:$K$501,F170,'Solicitacoes'!$I$2:$I$501,"pendente",'Solicitacoes'!$G$2:$G$501,"&lt;"&amp;J170,'Solicitacoes'!$N$2:$N$501,"&gt;"&amp;C170)+COUNTIFS('Solicitacoes'!$F$2:$F$501,B170,'Solicitacoes'!$E$2:$E$501,A170,'Solicitacoes'!$I$2:$I$501,"pendente",'Solicitacoes'!$G$2:$G$501,"&lt;"&amp;J170,'Solicitacoes'!$N$2:$N$501,"&gt;"&amp;C170)+COUNTIFS('Solicitacoes'!$F$2:$F$501,B170,'Solicitacoes'!$K$2:$K$501,F170,'Solicitacoes'!$I$2:$I$501,"confirmado",'Solicitacoes'!$G$2:$G$501,"&lt;"&amp;J170,'Solicitacoes'!$N$2:$N$501,"&gt;"&amp;C170)+COUNTIFS('Solicitacoes'!$F$2:$F$501,B170,'Solicitacoes'!$E$2:$E$501,A170,'Solicitacoes'!$I$2:$I$501,"confirmado",'Solicitacoes'!$G$2:$G$501,"&lt;"&amp;J170,'Solicitacoes'!$N$2:$N$501,"&gt;"&amp;C170)&gt;0,"Ocupado","Disponível"))))</x:f>
        <x:v>Revisar escala</x:v>
      </x:c>
      <x:c r="N170" s="2" t="n">
        <x:f>IF(A170="","",ROW()-1)</x:f>
        <x:v>169</x:v>
      </x:c>
    </x:row>
    <x:row r="171" ht="24" customHeight="1">
      <x:c r="A171" s="13" t="str">
        <x:v>Géssyca Martins</x:v>
      </x:c>
      <x:c r="B171" s="14" t="d">
        <x:v>2026-10-14T00:00:00.000Z</x:v>
      </x:c>
      <x:c r="C171" s="26" t="n">
        <x:v>0.6666666666666666</x:v>
      </x:c>
      <x:c r="D171" s="13" t="str">
        <x:v>presencial</x:v>
      </x:c>
      <x:c r="E171" s="13" t="str">
        <x:v>não</x:v>
      </x:c>
      <x:c r="F171" s="13" t="str">
        <x:v>Sala 2</x:v>
      </x:c>
      <x:c r="G171" s="12" t="n">
        <x:f>IF(A171="","",'Agenda'!$B$5)</x:f>
        <x:v>50</x:v>
      </x:c>
      <x:c r="H171" s="12" t="n">
        <x:f>IF(A171="","",'Agenda'!$B$6)</x:f>
        <x:v>10</x:v>
      </x:c>
      <x:c r="I171" s="24" t="n">
        <x:f>IF(A171="","",C171+G171/1440)</x:f>
        <x:v>0.7013888888888888</x:v>
      </x:c>
      <x:c r="J171" s="24" t="n">
        <x:f>IF(A171="","",C171+(G171+H171)/1440)</x:f>
        <x:v>0.7083333333333333</x:v>
      </x:c>
      <x:c r="K171" s="27" t="n">
        <x:f>IF(A171="","",IF(E171&lt;&gt;"sim",0,COUNTIFS($B$2:$B$501,B171,$F$2:$F$501,F171,$E$2:$E$501,"sim",$C$2:$C$501,"&lt;"&amp;J171,$J$2:$J$501,"&gt;"&amp;C171)-1))</x:f>
        <x:v>0</x:v>
      </x:c>
      <x:c r="L171" s="27" t="n">
        <x:f>IF(A171="","",IF(E171&lt;&gt;"sim",0,COUNTIFS($B$2:$B$501,B171,$A$2:$A$501,A171,$E$2:$E$501,"sim",$C$2:$C$501,"&lt;"&amp;J171,$J$2:$J$501,"&gt;"&amp;C171)-1))</x:f>
        <x:v>0</x:v>
      </x:c>
      <x:c r="M171" s="2" t="str">
        <x:f>IF(A171="","",IF(E171&lt;&gt;"sim","Revisar escala",IF(OR(K171&gt;0,L171&gt;0),"Conflito de escala",IF(COUNTIFS('Solicitacoes'!$F$2:$F$501,B171,'Solicitacoes'!$K$2:$K$501,F171,'Solicitacoes'!$I$2:$I$501,"pendente",'Solicitacoes'!$G$2:$G$501,"&lt;"&amp;J171,'Solicitacoes'!$N$2:$N$501,"&gt;"&amp;C171)+COUNTIFS('Solicitacoes'!$F$2:$F$501,B171,'Solicitacoes'!$E$2:$E$501,A171,'Solicitacoes'!$I$2:$I$501,"pendente",'Solicitacoes'!$G$2:$G$501,"&lt;"&amp;J171,'Solicitacoes'!$N$2:$N$501,"&gt;"&amp;C171)+COUNTIFS('Solicitacoes'!$F$2:$F$501,B171,'Solicitacoes'!$K$2:$K$501,F171,'Solicitacoes'!$I$2:$I$501,"confirmado",'Solicitacoes'!$G$2:$G$501,"&lt;"&amp;J171,'Solicitacoes'!$N$2:$N$501,"&gt;"&amp;C171)+COUNTIFS('Solicitacoes'!$F$2:$F$501,B171,'Solicitacoes'!$E$2:$E$501,A171,'Solicitacoes'!$I$2:$I$501,"confirmado",'Solicitacoes'!$G$2:$G$501,"&lt;"&amp;J171,'Solicitacoes'!$N$2:$N$501,"&gt;"&amp;C171)&gt;0,"Ocupado","Disponível"))))</x:f>
        <x:v>Revisar escala</x:v>
      </x:c>
      <x:c r="N171" s="2" t="n">
        <x:f>IF(A171="","",ROW()-1)</x:f>
        <x:v>170</x:v>
      </x:c>
    </x:row>
    <x:row r="172" ht="24" customHeight="1">
      <x:c r="A172" s="13" t="str">
        <x:v>Aline Reis</x:v>
      </x:c>
      <x:c r="B172" s="14" t="d">
        <x:v>2026-10-14T00:00:00.000Z</x:v>
      </x:c>
      <x:c r="C172" s="26" t="n">
        <x:v>0.7083333333333334</x:v>
      </x:c>
      <x:c r="D172" s="13" t="str">
        <x:v>presencial</x:v>
      </x:c>
      <x:c r="E172" s="13" t="str">
        <x:v>não</x:v>
      </x:c>
      <x:c r="F172" s="13" t="str">
        <x:v>Sala 1</x:v>
      </x:c>
      <x:c r="G172" s="12" t="n">
        <x:f>IF(A172="","",'Agenda'!$B$5)</x:f>
        <x:v>50</x:v>
      </x:c>
      <x:c r="H172" s="12" t="n">
        <x:f>IF(A172="","",'Agenda'!$B$6)</x:f>
        <x:v>10</x:v>
      </x:c>
      <x:c r="I172" s="24" t="n">
        <x:f>IF(A172="","",C172+G172/1440)</x:f>
        <x:v>0.7430555555555556</x:v>
      </x:c>
      <x:c r="J172" s="24" t="n">
        <x:f>IF(A172="","",C172+(G172+H172)/1440)</x:f>
        <x:v>0.75</x:v>
      </x:c>
      <x:c r="K172" s="27" t="n">
        <x:f>IF(A172="","",IF(E172&lt;&gt;"sim",0,COUNTIFS($B$2:$B$501,B172,$F$2:$F$501,F172,$E$2:$E$501,"sim",$C$2:$C$501,"&lt;"&amp;J172,$J$2:$J$501,"&gt;"&amp;C172)-1))</x:f>
        <x:v>0</x:v>
      </x:c>
      <x:c r="L172" s="27" t="n">
        <x:f>IF(A172="","",IF(E172&lt;&gt;"sim",0,COUNTIFS($B$2:$B$501,B172,$A$2:$A$501,A172,$E$2:$E$501,"sim",$C$2:$C$501,"&lt;"&amp;J172,$J$2:$J$501,"&gt;"&amp;C172)-1))</x:f>
        <x:v>0</x:v>
      </x:c>
      <x:c r="M172" s="2" t="str">
        <x:f>IF(A172="","",IF(E172&lt;&gt;"sim","Revisar escala",IF(OR(K172&gt;0,L172&gt;0),"Conflito de escala",IF(COUNTIFS('Solicitacoes'!$F$2:$F$501,B172,'Solicitacoes'!$K$2:$K$501,F172,'Solicitacoes'!$I$2:$I$501,"pendente",'Solicitacoes'!$G$2:$G$501,"&lt;"&amp;J172,'Solicitacoes'!$N$2:$N$501,"&gt;"&amp;C172)+COUNTIFS('Solicitacoes'!$F$2:$F$501,B172,'Solicitacoes'!$E$2:$E$501,A172,'Solicitacoes'!$I$2:$I$501,"pendente",'Solicitacoes'!$G$2:$G$501,"&lt;"&amp;J172,'Solicitacoes'!$N$2:$N$501,"&gt;"&amp;C172)+COUNTIFS('Solicitacoes'!$F$2:$F$501,B172,'Solicitacoes'!$K$2:$K$501,F172,'Solicitacoes'!$I$2:$I$501,"confirmado",'Solicitacoes'!$G$2:$G$501,"&lt;"&amp;J172,'Solicitacoes'!$N$2:$N$501,"&gt;"&amp;C172)+COUNTIFS('Solicitacoes'!$F$2:$F$501,B172,'Solicitacoes'!$E$2:$E$501,A172,'Solicitacoes'!$I$2:$I$501,"confirmado",'Solicitacoes'!$G$2:$G$501,"&lt;"&amp;J172,'Solicitacoes'!$N$2:$N$501,"&gt;"&amp;C172)&gt;0,"Ocupado","Disponível"))))</x:f>
        <x:v>Revisar escala</x:v>
      </x:c>
      <x:c r="N172" s="2" t="n">
        <x:f>IF(A172="","",ROW()-1)</x:f>
        <x:v>171</x:v>
      </x:c>
    </x:row>
    <x:row r="173" ht="24" customHeight="1">
      <x:c r="A173" s="13" t="str">
        <x:v>Géssyca Martins</x:v>
      </x:c>
      <x:c r="B173" s="14" t="d">
        <x:v>2026-10-14T00:00:00.000Z</x:v>
      </x:c>
      <x:c r="C173" s="26" t="n">
        <x:v>0.7083333333333334</x:v>
      </x:c>
      <x:c r="D173" s="13" t="str">
        <x:v>presencial</x:v>
      </x:c>
      <x:c r="E173" s="13" t="str">
        <x:v>não</x:v>
      </x:c>
      <x:c r="F173" s="13" t="str">
        <x:v>Sala 2</x:v>
      </x:c>
      <x:c r="G173" s="12" t="n">
        <x:f>IF(A173="","",'Agenda'!$B$5)</x:f>
        <x:v>50</x:v>
      </x:c>
      <x:c r="H173" s="12" t="n">
        <x:f>IF(A173="","",'Agenda'!$B$6)</x:f>
        <x:v>10</x:v>
      </x:c>
      <x:c r="I173" s="24" t="n">
        <x:f>IF(A173="","",C173+G173/1440)</x:f>
        <x:v>0.7430555555555556</x:v>
      </x:c>
      <x:c r="J173" s="24" t="n">
        <x:f>IF(A173="","",C173+(G173+H173)/1440)</x:f>
        <x:v>0.75</x:v>
      </x:c>
      <x:c r="K173" s="27" t="n">
        <x:f>IF(A173="","",IF(E173&lt;&gt;"sim",0,COUNTIFS($B$2:$B$501,B173,$F$2:$F$501,F173,$E$2:$E$501,"sim",$C$2:$C$501,"&lt;"&amp;J173,$J$2:$J$501,"&gt;"&amp;C173)-1))</x:f>
        <x:v>0</x:v>
      </x:c>
      <x:c r="L173" s="27" t="n">
        <x:f>IF(A173="","",IF(E173&lt;&gt;"sim",0,COUNTIFS($B$2:$B$501,B173,$A$2:$A$501,A173,$E$2:$E$501,"sim",$C$2:$C$501,"&lt;"&amp;J173,$J$2:$J$501,"&gt;"&amp;C173)-1))</x:f>
        <x:v>0</x:v>
      </x:c>
      <x:c r="M173" s="2" t="str">
        <x:f>IF(A173="","",IF(E173&lt;&gt;"sim","Revisar escala",IF(OR(K173&gt;0,L173&gt;0),"Conflito de escala",IF(COUNTIFS('Solicitacoes'!$F$2:$F$501,B173,'Solicitacoes'!$K$2:$K$501,F173,'Solicitacoes'!$I$2:$I$501,"pendente",'Solicitacoes'!$G$2:$G$501,"&lt;"&amp;J173,'Solicitacoes'!$N$2:$N$501,"&gt;"&amp;C173)+COUNTIFS('Solicitacoes'!$F$2:$F$501,B173,'Solicitacoes'!$E$2:$E$501,A173,'Solicitacoes'!$I$2:$I$501,"pendente",'Solicitacoes'!$G$2:$G$501,"&lt;"&amp;J173,'Solicitacoes'!$N$2:$N$501,"&gt;"&amp;C173)+COUNTIFS('Solicitacoes'!$F$2:$F$501,B173,'Solicitacoes'!$K$2:$K$501,F173,'Solicitacoes'!$I$2:$I$501,"confirmado",'Solicitacoes'!$G$2:$G$501,"&lt;"&amp;J173,'Solicitacoes'!$N$2:$N$501,"&gt;"&amp;C173)+COUNTIFS('Solicitacoes'!$F$2:$F$501,B173,'Solicitacoes'!$E$2:$E$501,A173,'Solicitacoes'!$I$2:$I$501,"confirmado",'Solicitacoes'!$G$2:$G$501,"&lt;"&amp;J173,'Solicitacoes'!$N$2:$N$501,"&gt;"&amp;C173)&gt;0,"Ocupado","Disponível"))))</x:f>
        <x:v>Revisar escala</x:v>
      </x:c>
      <x:c r="N173" s="2" t="n">
        <x:f>IF(A173="","",ROW()-1)</x:f>
        <x:v>172</x:v>
      </x:c>
    </x:row>
    <x:row r="174" ht="24" customHeight="1">
      <x:c r="A174" s="13" t="str">
        <x:v>Aline Reis</x:v>
      </x:c>
      <x:c r="B174" s="14" t="d">
        <x:v>2026-10-14T00:00:00.000Z</x:v>
      </x:c>
      <x:c r="C174" s="26" t="n">
        <x:v>0.75</x:v>
      </x:c>
      <x:c r="D174" s="13" t="str">
        <x:v>presencial</x:v>
      </x:c>
      <x:c r="E174" s="13" t="str">
        <x:v>não</x:v>
      </x:c>
      <x:c r="F174" s="13" t="str">
        <x:v>Sala 1</x:v>
      </x:c>
      <x:c r="G174" s="12" t="n">
        <x:f>IF(A174="","",'Agenda'!$B$5)</x:f>
        <x:v>50</x:v>
      </x:c>
      <x:c r="H174" s="12" t="n">
        <x:f>IF(A174="","",'Agenda'!$B$6)</x:f>
        <x:v>10</x:v>
      </x:c>
      <x:c r="I174" s="24" t="n">
        <x:f>IF(A174="","",C174+G174/1440)</x:f>
        <x:v>0.7847222222222222</x:v>
      </x:c>
      <x:c r="J174" s="24" t="n">
        <x:f>IF(A174="","",C174+(G174+H174)/1440)</x:f>
        <x:v>0.7916666666666666</x:v>
      </x:c>
      <x:c r="K174" s="27" t="n">
        <x:f>IF(A174="","",IF(E174&lt;&gt;"sim",0,COUNTIFS($B$2:$B$501,B174,$F$2:$F$501,F174,$E$2:$E$501,"sim",$C$2:$C$501,"&lt;"&amp;J174,$J$2:$J$501,"&gt;"&amp;C174)-1))</x:f>
        <x:v>0</x:v>
      </x:c>
      <x:c r="L174" s="27" t="n">
        <x:f>IF(A174="","",IF(E174&lt;&gt;"sim",0,COUNTIFS($B$2:$B$501,B174,$A$2:$A$501,A174,$E$2:$E$501,"sim",$C$2:$C$501,"&lt;"&amp;J174,$J$2:$J$501,"&gt;"&amp;C174)-1))</x:f>
        <x:v>0</x:v>
      </x:c>
      <x:c r="M174" s="2" t="str">
        <x:f>IF(A174="","",IF(E174&lt;&gt;"sim","Revisar escala",IF(OR(K174&gt;0,L174&gt;0),"Conflito de escala",IF(COUNTIFS('Solicitacoes'!$F$2:$F$501,B174,'Solicitacoes'!$K$2:$K$501,F174,'Solicitacoes'!$I$2:$I$501,"pendente",'Solicitacoes'!$G$2:$G$501,"&lt;"&amp;J174,'Solicitacoes'!$N$2:$N$501,"&gt;"&amp;C174)+COUNTIFS('Solicitacoes'!$F$2:$F$501,B174,'Solicitacoes'!$E$2:$E$501,A174,'Solicitacoes'!$I$2:$I$501,"pendente",'Solicitacoes'!$G$2:$G$501,"&lt;"&amp;J174,'Solicitacoes'!$N$2:$N$501,"&gt;"&amp;C174)+COUNTIFS('Solicitacoes'!$F$2:$F$501,B174,'Solicitacoes'!$K$2:$K$501,F174,'Solicitacoes'!$I$2:$I$501,"confirmado",'Solicitacoes'!$G$2:$G$501,"&lt;"&amp;J174,'Solicitacoes'!$N$2:$N$501,"&gt;"&amp;C174)+COUNTIFS('Solicitacoes'!$F$2:$F$501,B174,'Solicitacoes'!$E$2:$E$501,A174,'Solicitacoes'!$I$2:$I$501,"confirmado",'Solicitacoes'!$G$2:$G$501,"&lt;"&amp;J174,'Solicitacoes'!$N$2:$N$501,"&gt;"&amp;C174)&gt;0,"Ocupado","Disponível"))))</x:f>
        <x:v>Revisar escala</x:v>
      </x:c>
      <x:c r="N174" s="2" t="n">
        <x:f>IF(A174="","",ROW()-1)</x:f>
        <x:v>173</x:v>
      </x:c>
    </x:row>
    <x:row r="175" ht="24" customHeight="1">
      <x:c r="A175" s="13" t="str">
        <x:v>Géssyca Martins</x:v>
      </x:c>
      <x:c r="B175" s="14" t="d">
        <x:v>2026-10-14T00:00:00.000Z</x:v>
      </x:c>
      <x:c r="C175" s="26" t="n">
        <x:v>0.75</x:v>
      </x:c>
      <x:c r="D175" s="13" t="str">
        <x:v>presencial</x:v>
      </x:c>
      <x:c r="E175" s="13" t="str">
        <x:v>não</x:v>
      </x:c>
      <x:c r="F175" s="13" t="str">
        <x:v>Sala 2</x:v>
      </x:c>
      <x:c r="G175" s="12" t="n">
        <x:f>IF(A175="","",'Agenda'!$B$5)</x:f>
        <x:v>50</x:v>
      </x:c>
      <x:c r="H175" s="12" t="n">
        <x:f>IF(A175="","",'Agenda'!$B$6)</x:f>
        <x:v>10</x:v>
      </x:c>
      <x:c r="I175" s="24" t="n">
        <x:f>IF(A175="","",C175+G175/1440)</x:f>
        <x:v>0.7847222222222222</x:v>
      </x:c>
      <x:c r="J175" s="24" t="n">
        <x:f>IF(A175="","",C175+(G175+H175)/1440)</x:f>
        <x:v>0.7916666666666666</x:v>
      </x:c>
      <x:c r="K175" s="27" t="n">
        <x:f>IF(A175="","",IF(E175&lt;&gt;"sim",0,COUNTIFS($B$2:$B$501,B175,$F$2:$F$501,F175,$E$2:$E$501,"sim",$C$2:$C$501,"&lt;"&amp;J175,$J$2:$J$501,"&gt;"&amp;C175)-1))</x:f>
        <x:v>0</x:v>
      </x:c>
      <x:c r="L175" s="27" t="n">
        <x:f>IF(A175="","",IF(E175&lt;&gt;"sim",0,COUNTIFS($B$2:$B$501,B175,$A$2:$A$501,A175,$E$2:$E$501,"sim",$C$2:$C$501,"&lt;"&amp;J175,$J$2:$J$501,"&gt;"&amp;C175)-1))</x:f>
        <x:v>0</x:v>
      </x:c>
      <x:c r="M175" s="2" t="str">
        <x:f>IF(A175="","",IF(E175&lt;&gt;"sim","Revisar escala",IF(OR(K175&gt;0,L175&gt;0),"Conflito de escala",IF(COUNTIFS('Solicitacoes'!$F$2:$F$501,B175,'Solicitacoes'!$K$2:$K$501,F175,'Solicitacoes'!$I$2:$I$501,"pendente",'Solicitacoes'!$G$2:$G$501,"&lt;"&amp;J175,'Solicitacoes'!$N$2:$N$501,"&gt;"&amp;C175)+COUNTIFS('Solicitacoes'!$F$2:$F$501,B175,'Solicitacoes'!$E$2:$E$501,A175,'Solicitacoes'!$I$2:$I$501,"pendente",'Solicitacoes'!$G$2:$G$501,"&lt;"&amp;J175,'Solicitacoes'!$N$2:$N$501,"&gt;"&amp;C175)+COUNTIFS('Solicitacoes'!$F$2:$F$501,B175,'Solicitacoes'!$K$2:$K$501,F175,'Solicitacoes'!$I$2:$I$501,"confirmado",'Solicitacoes'!$G$2:$G$501,"&lt;"&amp;J175,'Solicitacoes'!$N$2:$N$501,"&gt;"&amp;C175)+COUNTIFS('Solicitacoes'!$F$2:$F$501,B175,'Solicitacoes'!$E$2:$E$501,A175,'Solicitacoes'!$I$2:$I$501,"confirmado",'Solicitacoes'!$G$2:$G$501,"&lt;"&amp;J175,'Solicitacoes'!$N$2:$N$501,"&gt;"&amp;C175)&gt;0,"Ocupado","Disponível"))))</x:f>
        <x:v>Revisar escala</x:v>
      </x:c>
      <x:c r="N175" s="2" t="n">
        <x:f>IF(A175="","",ROW()-1)</x:f>
        <x:v>174</x:v>
      </x:c>
    </x:row>
    <x:row r="176" ht="24" customHeight="1">
      <x:c r="A176" s="13" t="str">
        <x:v>Aline Reis</x:v>
      </x:c>
      <x:c r="B176" s="14" t="d">
        <x:v>2026-10-14T00:00:00.000Z</x:v>
      </x:c>
      <x:c r="C176" s="26" t="n">
        <x:v>0.7916666666666666</x:v>
      </x:c>
      <x:c r="D176" s="13" t="str">
        <x:v>presencial</x:v>
      </x:c>
      <x:c r="E176" s="13" t="str">
        <x:v>não</x:v>
      </x:c>
      <x:c r="F176" s="13" t="str">
        <x:v>Sala 1</x:v>
      </x:c>
      <x:c r="G176" s="12" t="n">
        <x:f>IF(A176="","",'Agenda'!$B$5)</x:f>
        <x:v>50</x:v>
      </x:c>
      <x:c r="H176" s="12" t="n">
        <x:f>IF(A176="","",'Agenda'!$B$6)</x:f>
        <x:v>10</x:v>
      </x:c>
      <x:c r="I176" s="24" t="n">
        <x:f>IF(A176="","",C176+G176/1440)</x:f>
        <x:v>0.8263888888888888</x:v>
      </x:c>
      <x:c r="J176" s="24" t="n">
        <x:f>IF(A176="","",C176+(G176+H176)/1440)</x:f>
        <x:v>0.8333333333333333</x:v>
      </x:c>
      <x:c r="K176" s="27" t="n">
        <x:f>IF(A176="","",IF(E176&lt;&gt;"sim",0,COUNTIFS($B$2:$B$501,B176,$F$2:$F$501,F176,$E$2:$E$501,"sim",$C$2:$C$501,"&lt;"&amp;J176,$J$2:$J$501,"&gt;"&amp;C176)-1))</x:f>
        <x:v>0</x:v>
      </x:c>
      <x:c r="L176" s="27" t="n">
        <x:f>IF(A176="","",IF(E176&lt;&gt;"sim",0,COUNTIFS($B$2:$B$501,B176,$A$2:$A$501,A176,$E$2:$E$501,"sim",$C$2:$C$501,"&lt;"&amp;J176,$J$2:$J$501,"&gt;"&amp;C176)-1))</x:f>
        <x:v>0</x:v>
      </x:c>
      <x:c r="M176" s="2" t="str">
        <x:f>IF(A176="","",IF(E176&lt;&gt;"sim","Revisar escala",IF(OR(K176&gt;0,L176&gt;0),"Conflito de escala",IF(COUNTIFS('Solicitacoes'!$F$2:$F$501,B176,'Solicitacoes'!$K$2:$K$501,F176,'Solicitacoes'!$I$2:$I$501,"pendente",'Solicitacoes'!$G$2:$G$501,"&lt;"&amp;J176,'Solicitacoes'!$N$2:$N$501,"&gt;"&amp;C176)+COUNTIFS('Solicitacoes'!$F$2:$F$501,B176,'Solicitacoes'!$E$2:$E$501,A176,'Solicitacoes'!$I$2:$I$501,"pendente",'Solicitacoes'!$G$2:$G$501,"&lt;"&amp;J176,'Solicitacoes'!$N$2:$N$501,"&gt;"&amp;C176)+COUNTIFS('Solicitacoes'!$F$2:$F$501,B176,'Solicitacoes'!$K$2:$K$501,F176,'Solicitacoes'!$I$2:$I$501,"confirmado",'Solicitacoes'!$G$2:$G$501,"&lt;"&amp;J176,'Solicitacoes'!$N$2:$N$501,"&gt;"&amp;C176)+COUNTIFS('Solicitacoes'!$F$2:$F$501,B176,'Solicitacoes'!$E$2:$E$501,A176,'Solicitacoes'!$I$2:$I$501,"confirmado",'Solicitacoes'!$G$2:$G$501,"&lt;"&amp;J176,'Solicitacoes'!$N$2:$N$501,"&gt;"&amp;C176)&gt;0,"Ocupado","Disponível"))))</x:f>
        <x:v>Revisar escala</x:v>
      </x:c>
      <x:c r="N176" s="2" t="n">
        <x:f>IF(A176="","",ROW()-1)</x:f>
        <x:v>175</x:v>
      </x:c>
    </x:row>
    <x:row r="177" ht="24" customHeight="1">
      <x:c r="A177" s="13" t="str">
        <x:v>Géssyca Martins</x:v>
      </x:c>
      <x:c r="B177" s="14" t="d">
        <x:v>2026-10-14T00:00:00.000Z</x:v>
      </x:c>
      <x:c r="C177" s="26" t="n">
        <x:v>0.7916666666666666</x:v>
      </x:c>
      <x:c r="D177" s="13" t="str">
        <x:v>presencial</x:v>
      </x:c>
      <x:c r="E177" s="13" t="str">
        <x:v>não</x:v>
      </x:c>
      <x:c r="F177" s="13" t="str">
        <x:v>Sala 2</x:v>
      </x:c>
      <x:c r="G177" s="12" t="n">
        <x:f>IF(A177="","",'Agenda'!$B$5)</x:f>
        <x:v>50</x:v>
      </x:c>
      <x:c r="H177" s="12" t="n">
        <x:f>IF(A177="","",'Agenda'!$B$6)</x:f>
        <x:v>10</x:v>
      </x:c>
      <x:c r="I177" s="24" t="n">
        <x:f>IF(A177="","",C177+G177/1440)</x:f>
        <x:v>0.8263888888888888</x:v>
      </x:c>
      <x:c r="J177" s="24" t="n">
        <x:f>IF(A177="","",C177+(G177+H177)/1440)</x:f>
        <x:v>0.8333333333333333</x:v>
      </x:c>
      <x:c r="K177" s="27" t="n">
        <x:f>IF(A177="","",IF(E177&lt;&gt;"sim",0,COUNTIFS($B$2:$B$501,B177,$F$2:$F$501,F177,$E$2:$E$501,"sim",$C$2:$C$501,"&lt;"&amp;J177,$J$2:$J$501,"&gt;"&amp;C177)-1))</x:f>
        <x:v>0</x:v>
      </x:c>
      <x:c r="L177" s="27" t="n">
        <x:f>IF(A177="","",IF(E177&lt;&gt;"sim",0,COUNTIFS($B$2:$B$501,B177,$A$2:$A$501,A177,$E$2:$E$501,"sim",$C$2:$C$501,"&lt;"&amp;J177,$J$2:$J$501,"&gt;"&amp;C177)-1))</x:f>
        <x:v>0</x:v>
      </x:c>
      <x:c r="M177" s="2" t="str">
        <x:f>IF(A177="","",IF(E177&lt;&gt;"sim","Revisar escala",IF(OR(K177&gt;0,L177&gt;0),"Conflito de escala",IF(COUNTIFS('Solicitacoes'!$F$2:$F$501,B177,'Solicitacoes'!$K$2:$K$501,F177,'Solicitacoes'!$I$2:$I$501,"pendente",'Solicitacoes'!$G$2:$G$501,"&lt;"&amp;J177,'Solicitacoes'!$N$2:$N$501,"&gt;"&amp;C177)+COUNTIFS('Solicitacoes'!$F$2:$F$501,B177,'Solicitacoes'!$E$2:$E$501,A177,'Solicitacoes'!$I$2:$I$501,"pendente",'Solicitacoes'!$G$2:$G$501,"&lt;"&amp;J177,'Solicitacoes'!$N$2:$N$501,"&gt;"&amp;C177)+COUNTIFS('Solicitacoes'!$F$2:$F$501,B177,'Solicitacoes'!$K$2:$K$501,F177,'Solicitacoes'!$I$2:$I$501,"confirmado",'Solicitacoes'!$G$2:$G$501,"&lt;"&amp;J177,'Solicitacoes'!$N$2:$N$501,"&gt;"&amp;C177)+COUNTIFS('Solicitacoes'!$F$2:$F$501,B177,'Solicitacoes'!$E$2:$E$501,A177,'Solicitacoes'!$I$2:$I$501,"confirmado",'Solicitacoes'!$G$2:$G$501,"&lt;"&amp;J177,'Solicitacoes'!$N$2:$N$501,"&gt;"&amp;C177)&gt;0,"Ocupado","Disponível"))))</x:f>
        <x:v>Revisar escala</x:v>
      </x:c>
      <x:c r="N177" s="2" t="n">
        <x:f>IF(A177="","",ROW()-1)</x:f>
        <x:v>176</x:v>
      </x:c>
    </x:row>
    <x:row r="178" ht="24" customHeight="1">
      <x:c r="A178" s="13" t="str">
        <x:v>Laura Casanova</x:v>
      </x:c>
      <x:c r="B178" s="14" t="d">
        <x:v>2026-10-15T00:00:00.000Z</x:v>
      </x:c>
      <x:c r="C178" s="26" t="n">
        <x:v>0.375</x:v>
      </x:c>
      <x:c r="D178" s="13" t="str">
        <x:v>presencial</x:v>
      </x:c>
      <x:c r="E178" s="13" t="str">
        <x:v>não</x:v>
      </x:c>
      <x:c r="F178" s="13" t="str">
        <x:v>Sala 1</x:v>
      </x:c>
      <x:c r="G178" s="12" t="n">
        <x:f>IF(A178="","",'Agenda'!$B$5)</x:f>
        <x:v>50</x:v>
      </x:c>
      <x:c r="H178" s="12" t="n">
        <x:f>IF(A178="","",'Agenda'!$B$6)</x:f>
        <x:v>10</x:v>
      </x:c>
      <x:c r="I178" s="24" t="n">
        <x:f>IF(A178="","",C178+G178/1440)</x:f>
        <x:v>0.4097222222222222</x:v>
      </x:c>
      <x:c r="J178" s="24" t="n">
        <x:f>IF(A178="","",C178+(G178+H178)/1440)</x:f>
        <x:v>0.4166666666666667</x:v>
      </x:c>
      <x:c r="K178" s="27" t="n">
        <x:f>IF(A178="","",IF(E178&lt;&gt;"sim",0,COUNTIFS($B$2:$B$501,B178,$F$2:$F$501,F178,$E$2:$E$501,"sim",$C$2:$C$501,"&lt;"&amp;J178,$J$2:$J$501,"&gt;"&amp;C178)-1))</x:f>
        <x:v>0</x:v>
      </x:c>
      <x:c r="L178" s="27" t="n">
        <x:f>IF(A178="","",IF(E178&lt;&gt;"sim",0,COUNTIFS($B$2:$B$501,B178,$A$2:$A$501,A178,$E$2:$E$501,"sim",$C$2:$C$501,"&lt;"&amp;J178,$J$2:$J$501,"&gt;"&amp;C178)-1))</x:f>
        <x:v>0</x:v>
      </x:c>
      <x:c r="M178" s="2" t="str">
        <x:f>IF(A178="","",IF(E178&lt;&gt;"sim","Revisar escala",IF(OR(K178&gt;0,L178&gt;0),"Conflito de escala",IF(COUNTIFS('Solicitacoes'!$F$2:$F$501,B178,'Solicitacoes'!$K$2:$K$501,F178,'Solicitacoes'!$I$2:$I$501,"pendente",'Solicitacoes'!$G$2:$G$501,"&lt;"&amp;J178,'Solicitacoes'!$N$2:$N$501,"&gt;"&amp;C178)+COUNTIFS('Solicitacoes'!$F$2:$F$501,B178,'Solicitacoes'!$E$2:$E$501,A178,'Solicitacoes'!$I$2:$I$501,"pendente",'Solicitacoes'!$G$2:$G$501,"&lt;"&amp;J178,'Solicitacoes'!$N$2:$N$501,"&gt;"&amp;C178)+COUNTIFS('Solicitacoes'!$F$2:$F$501,B178,'Solicitacoes'!$K$2:$K$501,F178,'Solicitacoes'!$I$2:$I$501,"confirmado",'Solicitacoes'!$G$2:$G$501,"&lt;"&amp;J178,'Solicitacoes'!$N$2:$N$501,"&gt;"&amp;C178)+COUNTIFS('Solicitacoes'!$F$2:$F$501,B178,'Solicitacoes'!$E$2:$E$501,A178,'Solicitacoes'!$I$2:$I$501,"confirmado",'Solicitacoes'!$G$2:$G$501,"&lt;"&amp;J178,'Solicitacoes'!$N$2:$N$501,"&gt;"&amp;C178)&gt;0,"Ocupado","Disponível"))))</x:f>
        <x:v>Revisar escala</x:v>
      </x:c>
      <x:c r="N178" s="2" t="n">
        <x:f>IF(A178="","",ROW()-1)</x:f>
        <x:v>177</x:v>
      </x:c>
    </x:row>
    <x:row r="179" ht="24" customHeight="1">
      <x:c r="A179" s="13" t="str">
        <x:v>Aline Reis</x:v>
      </x:c>
      <x:c r="B179" s="14" t="d">
        <x:v>2026-10-15T00:00:00.000Z</x:v>
      </x:c>
      <x:c r="C179" s="26" t="n">
        <x:v>0.375</x:v>
      </x:c>
      <x:c r="D179" s="13" t="str">
        <x:v>presencial</x:v>
      </x:c>
      <x:c r="E179" s="13" t="str">
        <x:v>não</x:v>
      </x:c>
      <x:c r="F179" s="13" t="str">
        <x:v>Sala 2</x:v>
      </x:c>
      <x:c r="G179" s="12" t="n">
        <x:f>IF(A179="","",'Agenda'!$B$5)</x:f>
        <x:v>50</x:v>
      </x:c>
      <x:c r="H179" s="12" t="n">
        <x:f>IF(A179="","",'Agenda'!$B$6)</x:f>
        <x:v>10</x:v>
      </x:c>
      <x:c r="I179" s="24" t="n">
        <x:f>IF(A179="","",C179+G179/1440)</x:f>
        <x:v>0.4097222222222222</x:v>
      </x:c>
      <x:c r="J179" s="24" t="n">
        <x:f>IF(A179="","",C179+(G179+H179)/1440)</x:f>
        <x:v>0.4166666666666667</x:v>
      </x:c>
      <x:c r="K179" s="27" t="n">
        <x:f>IF(A179="","",IF(E179&lt;&gt;"sim",0,COUNTIFS($B$2:$B$501,B179,$F$2:$F$501,F179,$E$2:$E$501,"sim",$C$2:$C$501,"&lt;"&amp;J179,$J$2:$J$501,"&gt;"&amp;C179)-1))</x:f>
        <x:v>0</x:v>
      </x:c>
      <x:c r="L179" s="27" t="n">
        <x:f>IF(A179="","",IF(E179&lt;&gt;"sim",0,COUNTIFS($B$2:$B$501,B179,$A$2:$A$501,A179,$E$2:$E$501,"sim",$C$2:$C$501,"&lt;"&amp;J179,$J$2:$J$501,"&gt;"&amp;C179)-1))</x:f>
        <x:v>0</x:v>
      </x:c>
      <x:c r="M179" s="2" t="str">
        <x:f>IF(A179="","",IF(E179&lt;&gt;"sim","Revisar escala",IF(OR(K179&gt;0,L179&gt;0),"Conflito de escala",IF(COUNTIFS('Solicitacoes'!$F$2:$F$501,B179,'Solicitacoes'!$K$2:$K$501,F179,'Solicitacoes'!$I$2:$I$501,"pendente",'Solicitacoes'!$G$2:$G$501,"&lt;"&amp;J179,'Solicitacoes'!$N$2:$N$501,"&gt;"&amp;C179)+COUNTIFS('Solicitacoes'!$F$2:$F$501,B179,'Solicitacoes'!$E$2:$E$501,A179,'Solicitacoes'!$I$2:$I$501,"pendente",'Solicitacoes'!$G$2:$G$501,"&lt;"&amp;J179,'Solicitacoes'!$N$2:$N$501,"&gt;"&amp;C179)+COUNTIFS('Solicitacoes'!$F$2:$F$501,B179,'Solicitacoes'!$K$2:$K$501,F179,'Solicitacoes'!$I$2:$I$501,"confirmado",'Solicitacoes'!$G$2:$G$501,"&lt;"&amp;J179,'Solicitacoes'!$N$2:$N$501,"&gt;"&amp;C179)+COUNTIFS('Solicitacoes'!$F$2:$F$501,B179,'Solicitacoes'!$E$2:$E$501,A179,'Solicitacoes'!$I$2:$I$501,"confirmado",'Solicitacoes'!$G$2:$G$501,"&lt;"&amp;J179,'Solicitacoes'!$N$2:$N$501,"&gt;"&amp;C179)&gt;0,"Ocupado","Disponível"))))</x:f>
        <x:v>Revisar escala</x:v>
      </x:c>
      <x:c r="N179" s="2" t="n">
        <x:f>IF(A179="","",ROW()-1)</x:f>
        <x:v>178</x:v>
      </x:c>
    </x:row>
    <x:row r="180" ht="24" customHeight="1">
      <x:c r="A180" s="13" t="str">
        <x:v>Laura Casanova</x:v>
      </x:c>
      <x:c r="B180" s="14" t="d">
        <x:v>2026-10-15T00:00:00.000Z</x:v>
      </x:c>
      <x:c r="C180" s="26" t="n">
        <x:v>0.4166666666666667</x:v>
      </x:c>
      <x:c r="D180" s="13" t="str">
        <x:v>presencial</x:v>
      </x:c>
      <x:c r="E180" s="13" t="str">
        <x:v>não</x:v>
      </x:c>
      <x:c r="F180" s="13" t="str">
        <x:v>Sala 1</x:v>
      </x:c>
      <x:c r="G180" s="12" t="n">
        <x:f>IF(A180="","",'Agenda'!$B$5)</x:f>
        <x:v>50</x:v>
      </x:c>
      <x:c r="H180" s="12" t="n">
        <x:f>IF(A180="","",'Agenda'!$B$6)</x:f>
        <x:v>10</x:v>
      </x:c>
      <x:c r="I180" s="24" t="n">
        <x:f>IF(A180="","",C180+G180/1440)</x:f>
        <x:v>0.4513888888888889</x:v>
      </x:c>
      <x:c r="J180" s="24" t="n">
        <x:f>IF(A180="","",C180+(G180+H180)/1440)</x:f>
        <x:v>0.45833333333333337</x:v>
      </x:c>
      <x:c r="K180" s="27" t="n">
        <x:f>IF(A180="","",IF(E180&lt;&gt;"sim",0,COUNTIFS($B$2:$B$501,B180,$F$2:$F$501,F180,$E$2:$E$501,"sim",$C$2:$C$501,"&lt;"&amp;J180,$J$2:$J$501,"&gt;"&amp;C180)-1))</x:f>
        <x:v>0</x:v>
      </x:c>
      <x:c r="L180" s="27" t="n">
        <x:f>IF(A180="","",IF(E180&lt;&gt;"sim",0,COUNTIFS($B$2:$B$501,B180,$A$2:$A$501,A180,$E$2:$E$501,"sim",$C$2:$C$501,"&lt;"&amp;J180,$J$2:$J$501,"&gt;"&amp;C180)-1))</x:f>
        <x:v>0</x:v>
      </x:c>
      <x:c r="M180" s="2" t="str">
        <x:f>IF(A180="","",IF(E180&lt;&gt;"sim","Revisar escala",IF(OR(K180&gt;0,L180&gt;0),"Conflito de escala",IF(COUNTIFS('Solicitacoes'!$F$2:$F$501,B180,'Solicitacoes'!$K$2:$K$501,F180,'Solicitacoes'!$I$2:$I$501,"pendente",'Solicitacoes'!$G$2:$G$501,"&lt;"&amp;J180,'Solicitacoes'!$N$2:$N$501,"&gt;"&amp;C180)+COUNTIFS('Solicitacoes'!$F$2:$F$501,B180,'Solicitacoes'!$E$2:$E$501,A180,'Solicitacoes'!$I$2:$I$501,"pendente",'Solicitacoes'!$G$2:$G$501,"&lt;"&amp;J180,'Solicitacoes'!$N$2:$N$501,"&gt;"&amp;C180)+COUNTIFS('Solicitacoes'!$F$2:$F$501,B180,'Solicitacoes'!$K$2:$K$501,F180,'Solicitacoes'!$I$2:$I$501,"confirmado",'Solicitacoes'!$G$2:$G$501,"&lt;"&amp;J180,'Solicitacoes'!$N$2:$N$501,"&gt;"&amp;C180)+COUNTIFS('Solicitacoes'!$F$2:$F$501,B180,'Solicitacoes'!$E$2:$E$501,A180,'Solicitacoes'!$I$2:$I$501,"confirmado",'Solicitacoes'!$G$2:$G$501,"&lt;"&amp;J180,'Solicitacoes'!$N$2:$N$501,"&gt;"&amp;C180)&gt;0,"Ocupado","Disponível"))))</x:f>
        <x:v>Revisar escala</x:v>
      </x:c>
      <x:c r="N180" s="2" t="n">
        <x:f>IF(A180="","",ROW()-1)</x:f>
        <x:v>179</x:v>
      </x:c>
    </x:row>
    <x:row r="181" ht="24" customHeight="1">
      <x:c r="A181" s="13" t="str">
        <x:v>Aline Reis</x:v>
      </x:c>
      <x:c r="B181" s="14" t="d">
        <x:v>2026-10-15T00:00:00.000Z</x:v>
      </x:c>
      <x:c r="C181" s="26" t="n">
        <x:v>0.4166666666666667</x:v>
      </x:c>
      <x:c r="D181" s="13" t="str">
        <x:v>presencial</x:v>
      </x:c>
      <x:c r="E181" s="13" t="str">
        <x:v>não</x:v>
      </x:c>
      <x:c r="F181" s="13" t="str">
        <x:v>Sala 2</x:v>
      </x:c>
      <x:c r="G181" s="12" t="n">
        <x:f>IF(A181="","",'Agenda'!$B$5)</x:f>
        <x:v>50</x:v>
      </x:c>
      <x:c r="H181" s="12" t="n">
        <x:f>IF(A181="","",'Agenda'!$B$6)</x:f>
        <x:v>10</x:v>
      </x:c>
      <x:c r="I181" s="24" t="n">
        <x:f>IF(A181="","",C181+G181/1440)</x:f>
        <x:v>0.4513888888888889</x:v>
      </x:c>
      <x:c r="J181" s="24" t="n">
        <x:f>IF(A181="","",C181+(G181+H181)/1440)</x:f>
        <x:v>0.45833333333333337</x:v>
      </x:c>
      <x:c r="K181" s="27" t="n">
        <x:f>IF(A181="","",IF(E181&lt;&gt;"sim",0,COUNTIFS($B$2:$B$501,B181,$F$2:$F$501,F181,$E$2:$E$501,"sim",$C$2:$C$501,"&lt;"&amp;J181,$J$2:$J$501,"&gt;"&amp;C181)-1))</x:f>
        <x:v>0</x:v>
      </x:c>
      <x:c r="L181" s="27" t="n">
        <x:f>IF(A181="","",IF(E181&lt;&gt;"sim",0,COUNTIFS($B$2:$B$501,B181,$A$2:$A$501,A181,$E$2:$E$501,"sim",$C$2:$C$501,"&lt;"&amp;J181,$J$2:$J$501,"&gt;"&amp;C181)-1))</x:f>
        <x:v>0</x:v>
      </x:c>
      <x:c r="M181" s="2" t="str">
        <x:f>IF(A181="","",IF(E181&lt;&gt;"sim","Revisar escala",IF(OR(K181&gt;0,L181&gt;0),"Conflito de escala",IF(COUNTIFS('Solicitacoes'!$F$2:$F$501,B181,'Solicitacoes'!$K$2:$K$501,F181,'Solicitacoes'!$I$2:$I$501,"pendente",'Solicitacoes'!$G$2:$G$501,"&lt;"&amp;J181,'Solicitacoes'!$N$2:$N$501,"&gt;"&amp;C181)+COUNTIFS('Solicitacoes'!$F$2:$F$501,B181,'Solicitacoes'!$E$2:$E$501,A181,'Solicitacoes'!$I$2:$I$501,"pendente",'Solicitacoes'!$G$2:$G$501,"&lt;"&amp;J181,'Solicitacoes'!$N$2:$N$501,"&gt;"&amp;C181)+COUNTIFS('Solicitacoes'!$F$2:$F$501,B181,'Solicitacoes'!$K$2:$K$501,F181,'Solicitacoes'!$I$2:$I$501,"confirmado",'Solicitacoes'!$G$2:$G$501,"&lt;"&amp;J181,'Solicitacoes'!$N$2:$N$501,"&gt;"&amp;C181)+COUNTIFS('Solicitacoes'!$F$2:$F$501,B181,'Solicitacoes'!$E$2:$E$501,A181,'Solicitacoes'!$I$2:$I$501,"confirmado",'Solicitacoes'!$G$2:$G$501,"&lt;"&amp;J181,'Solicitacoes'!$N$2:$N$501,"&gt;"&amp;C181)&gt;0,"Ocupado","Disponível"))))</x:f>
        <x:v>Revisar escala</x:v>
      </x:c>
      <x:c r="N181" s="2" t="n">
        <x:f>IF(A181="","",ROW()-1)</x:f>
        <x:v>180</x:v>
      </x:c>
    </x:row>
    <x:row r="182" ht="24" customHeight="1">
      <x:c r="A182" s="13" t="str">
        <x:v>Laura Casanova</x:v>
      </x:c>
      <x:c r="B182" s="14" t="d">
        <x:v>2026-10-15T00:00:00.000Z</x:v>
      </x:c>
      <x:c r="C182" s="26" t="n">
        <x:v>0.4583333333333333</x:v>
      </x:c>
      <x:c r="D182" s="13" t="str">
        <x:v>presencial</x:v>
      </x:c>
      <x:c r="E182" s="13" t="str">
        <x:v>não</x:v>
      </x:c>
      <x:c r="F182" s="13" t="str">
        <x:v>Sala 1</x:v>
      </x:c>
      <x:c r="G182" s="12" t="n">
        <x:f>IF(A182="","",'Agenda'!$B$5)</x:f>
        <x:v>50</x:v>
      </x:c>
      <x:c r="H182" s="12" t="n">
        <x:f>IF(A182="","",'Agenda'!$B$6)</x:f>
        <x:v>10</x:v>
      </x:c>
      <x:c r="I182" s="24" t="n">
        <x:f>IF(A182="","",C182+G182/1440)</x:f>
        <x:v>0.4930555555555555</x:v>
      </x:c>
      <x:c r="J182" s="24" t="n">
        <x:f>IF(A182="","",C182+(G182+H182)/1440)</x:f>
        <x:v>0.5</x:v>
      </x:c>
      <x:c r="K182" s="27" t="n">
        <x:f>IF(A182="","",IF(E182&lt;&gt;"sim",0,COUNTIFS($B$2:$B$501,B182,$F$2:$F$501,F182,$E$2:$E$501,"sim",$C$2:$C$501,"&lt;"&amp;J182,$J$2:$J$501,"&gt;"&amp;C182)-1))</x:f>
        <x:v>0</x:v>
      </x:c>
      <x:c r="L182" s="27" t="n">
        <x:f>IF(A182="","",IF(E182&lt;&gt;"sim",0,COUNTIFS($B$2:$B$501,B182,$A$2:$A$501,A182,$E$2:$E$501,"sim",$C$2:$C$501,"&lt;"&amp;J182,$J$2:$J$501,"&gt;"&amp;C182)-1))</x:f>
        <x:v>0</x:v>
      </x:c>
      <x:c r="M182" s="2" t="str">
        <x:f>IF(A182="","",IF(E182&lt;&gt;"sim","Revisar escala",IF(OR(K182&gt;0,L182&gt;0),"Conflito de escala",IF(COUNTIFS('Solicitacoes'!$F$2:$F$501,B182,'Solicitacoes'!$K$2:$K$501,F182,'Solicitacoes'!$I$2:$I$501,"pendente",'Solicitacoes'!$G$2:$G$501,"&lt;"&amp;J182,'Solicitacoes'!$N$2:$N$501,"&gt;"&amp;C182)+COUNTIFS('Solicitacoes'!$F$2:$F$501,B182,'Solicitacoes'!$E$2:$E$501,A182,'Solicitacoes'!$I$2:$I$501,"pendente",'Solicitacoes'!$G$2:$G$501,"&lt;"&amp;J182,'Solicitacoes'!$N$2:$N$501,"&gt;"&amp;C182)+COUNTIFS('Solicitacoes'!$F$2:$F$501,B182,'Solicitacoes'!$K$2:$K$501,F182,'Solicitacoes'!$I$2:$I$501,"confirmado",'Solicitacoes'!$G$2:$G$501,"&lt;"&amp;J182,'Solicitacoes'!$N$2:$N$501,"&gt;"&amp;C182)+COUNTIFS('Solicitacoes'!$F$2:$F$501,B182,'Solicitacoes'!$E$2:$E$501,A182,'Solicitacoes'!$I$2:$I$501,"confirmado",'Solicitacoes'!$G$2:$G$501,"&lt;"&amp;J182,'Solicitacoes'!$N$2:$N$501,"&gt;"&amp;C182)&gt;0,"Ocupado","Disponível"))))</x:f>
        <x:v>Revisar escala</x:v>
      </x:c>
      <x:c r="N182" s="2" t="n">
        <x:f>IF(A182="","",ROW()-1)</x:f>
        <x:v>181</x:v>
      </x:c>
    </x:row>
    <x:row r="183" ht="24" customHeight="1">
      <x:c r="A183" s="13" t="str">
        <x:v>Aline Reis</x:v>
      </x:c>
      <x:c r="B183" s="14" t="d">
        <x:v>2026-10-15T00:00:00.000Z</x:v>
      </x:c>
      <x:c r="C183" s="26" t="n">
        <x:v>0.4583333333333333</x:v>
      </x:c>
      <x:c r="D183" s="13" t="str">
        <x:v>presencial</x:v>
      </x:c>
      <x:c r="E183" s="13" t="str">
        <x:v>não</x:v>
      </x:c>
      <x:c r="F183" s="13" t="str">
        <x:v>Sala 2</x:v>
      </x:c>
      <x:c r="G183" s="12" t="n">
        <x:f>IF(A183="","",'Agenda'!$B$5)</x:f>
        <x:v>50</x:v>
      </x:c>
      <x:c r="H183" s="12" t="n">
        <x:f>IF(A183="","",'Agenda'!$B$6)</x:f>
        <x:v>10</x:v>
      </x:c>
      <x:c r="I183" s="24" t="n">
        <x:f>IF(A183="","",C183+G183/1440)</x:f>
        <x:v>0.4930555555555555</x:v>
      </x:c>
      <x:c r="J183" s="24" t="n">
        <x:f>IF(A183="","",C183+(G183+H183)/1440)</x:f>
        <x:v>0.5</x:v>
      </x:c>
      <x:c r="K183" s="27" t="n">
        <x:f>IF(A183="","",IF(E183&lt;&gt;"sim",0,COUNTIFS($B$2:$B$501,B183,$F$2:$F$501,F183,$E$2:$E$501,"sim",$C$2:$C$501,"&lt;"&amp;J183,$J$2:$J$501,"&gt;"&amp;C183)-1))</x:f>
        <x:v>0</x:v>
      </x:c>
      <x:c r="L183" s="27" t="n">
        <x:f>IF(A183="","",IF(E183&lt;&gt;"sim",0,COUNTIFS($B$2:$B$501,B183,$A$2:$A$501,A183,$E$2:$E$501,"sim",$C$2:$C$501,"&lt;"&amp;J183,$J$2:$J$501,"&gt;"&amp;C183)-1))</x:f>
        <x:v>0</x:v>
      </x:c>
      <x:c r="M183" s="2" t="str">
        <x:f>IF(A183="","",IF(E183&lt;&gt;"sim","Revisar escala",IF(OR(K183&gt;0,L183&gt;0),"Conflito de escala",IF(COUNTIFS('Solicitacoes'!$F$2:$F$501,B183,'Solicitacoes'!$K$2:$K$501,F183,'Solicitacoes'!$I$2:$I$501,"pendente",'Solicitacoes'!$G$2:$G$501,"&lt;"&amp;J183,'Solicitacoes'!$N$2:$N$501,"&gt;"&amp;C183)+COUNTIFS('Solicitacoes'!$F$2:$F$501,B183,'Solicitacoes'!$E$2:$E$501,A183,'Solicitacoes'!$I$2:$I$501,"pendente",'Solicitacoes'!$G$2:$G$501,"&lt;"&amp;J183,'Solicitacoes'!$N$2:$N$501,"&gt;"&amp;C183)+COUNTIFS('Solicitacoes'!$F$2:$F$501,B183,'Solicitacoes'!$K$2:$K$501,F183,'Solicitacoes'!$I$2:$I$501,"confirmado",'Solicitacoes'!$G$2:$G$501,"&lt;"&amp;J183,'Solicitacoes'!$N$2:$N$501,"&gt;"&amp;C183)+COUNTIFS('Solicitacoes'!$F$2:$F$501,B183,'Solicitacoes'!$E$2:$E$501,A183,'Solicitacoes'!$I$2:$I$501,"confirmado",'Solicitacoes'!$G$2:$G$501,"&lt;"&amp;J183,'Solicitacoes'!$N$2:$N$501,"&gt;"&amp;C183)&gt;0,"Ocupado","Disponível"))))</x:f>
        <x:v>Revisar escala</x:v>
      </x:c>
      <x:c r="N183" s="2" t="n">
        <x:f>IF(A183="","",ROW()-1)</x:f>
        <x:v>182</x:v>
      </x:c>
    </x:row>
    <x:row r="184" ht="24" customHeight="1">
      <x:c r="A184" s="13" t="str">
        <x:v>Laura Casanova</x:v>
      </x:c>
      <x:c r="B184" s="14" t="d">
        <x:v>2026-10-15T00:00:00.000Z</x:v>
      </x:c>
      <x:c r="C184" s="26" t="n">
        <x:v>0.5</x:v>
      </x:c>
      <x:c r="D184" s="13" t="str">
        <x:v>presencial</x:v>
      </x:c>
      <x:c r="E184" s="13" t="str">
        <x:v>não</x:v>
      </x:c>
      <x:c r="F184" s="13" t="str">
        <x:v>Sala 1</x:v>
      </x:c>
      <x:c r="G184" s="12" t="n">
        <x:f>IF(A184="","",'Agenda'!$B$5)</x:f>
        <x:v>50</x:v>
      </x:c>
      <x:c r="H184" s="12" t="n">
        <x:f>IF(A184="","",'Agenda'!$B$6)</x:f>
        <x:v>10</x:v>
      </x:c>
      <x:c r="I184" s="24" t="n">
        <x:f>IF(A184="","",C184+G184/1440)</x:f>
        <x:v>0.5347222222222222</x:v>
      </x:c>
      <x:c r="J184" s="24" t="n">
        <x:f>IF(A184="","",C184+(G184+H184)/1440)</x:f>
        <x:v>0.5416666666666666</x:v>
      </x:c>
      <x:c r="K184" s="27" t="n">
        <x:f>IF(A184="","",IF(E184&lt;&gt;"sim",0,COUNTIFS($B$2:$B$501,B184,$F$2:$F$501,F184,$E$2:$E$501,"sim",$C$2:$C$501,"&lt;"&amp;J184,$J$2:$J$501,"&gt;"&amp;C184)-1))</x:f>
        <x:v>0</x:v>
      </x:c>
      <x:c r="L184" s="27" t="n">
        <x:f>IF(A184="","",IF(E184&lt;&gt;"sim",0,COUNTIFS($B$2:$B$501,B184,$A$2:$A$501,A184,$E$2:$E$501,"sim",$C$2:$C$501,"&lt;"&amp;J184,$J$2:$J$501,"&gt;"&amp;C184)-1))</x:f>
        <x:v>0</x:v>
      </x:c>
      <x:c r="M184" s="2" t="str">
        <x:f>IF(A184="","",IF(E184&lt;&gt;"sim","Revisar escala",IF(OR(K184&gt;0,L184&gt;0),"Conflito de escala",IF(COUNTIFS('Solicitacoes'!$F$2:$F$501,B184,'Solicitacoes'!$K$2:$K$501,F184,'Solicitacoes'!$I$2:$I$501,"pendente",'Solicitacoes'!$G$2:$G$501,"&lt;"&amp;J184,'Solicitacoes'!$N$2:$N$501,"&gt;"&amp;C184)+COUNTIFS('Solicitacoes'!$F$2:$F$501,B184,'Solicitacoes'!$E$2:$E$501,A184,'Solicitacoes'!$I$2:$I$501,"pendente",'Solicitacoes'!$G$2:$G$501,"&lt;"&amp;J184,'Solicitacoes'!$N$2:$N$501,"&gt;"&amp;C184)+COUNTIFS('Solicitacoes'!$F$2:$F$501,B184,'Solicitacoes'!$K$2:$K$501,F184,'Solicitacoes'!$I$2:$I$501,"confirmado",'Solicitacoes'!$G$2:$G$501,"&lt;"&amp;J184,'Solicitacoes'!$N$2:$N$501,"&gt;"&amp;C184)+COUNTIFS('Solicitacoes'!$F$2:$F$501,B184,'Solicitacoes'!$E$2:$E$501,A184,'Solicitacoes'!$I$2:$I$501,"confirmado",'Solicitacoes'!$G$2:$G$501,"&lt;"&amp;J184,'Solicitacoes'!$N$2:$N$501,"&gt;"&amp;C184)&gt;0,"Ocupado","Disponível"))))</x:f>
        <x:v>Revisar escala</x:v>
      </x:c>
      <x:c r="N184" s="2" t="n">
        <x:f>IF(A184="","",ROW()-1)</x:f>
        <x:v>183</x:v>
      </x:c>
    </x:row>
    <x:row r="185" ht="24" customHeight="1">
      <x:c r="A185" s="13" t="str">
        <x:v>Aline Reis</x:v>
      </x:c>
      <x:c r="B185" s="14" t="d">
        <x:v>2026-10-15T00:00:00.000Z</x:v>
      </x:c>
      <x:c r="C185" s="26" t="n">
        <x:v>0.5</x:v>
      </x:c>
      <x:c r="D185" s="13" t="str">
        <x:v>presencial</x:v>
      </x:c>
      <x:c r="E185" s="13" t="str">
        <x:v>não</x:v>
      </x:c>
      <x:c r="F185" s="13" t="str">
        <x:v>Sala 2</x:v>
      </x:c>
      <x:c r="G185" s="12" t="n">
        <x:f>IF(A185="","",'Agenda'!$B$5)</x:f>
        <x:v>50</x:v>
      </x:c>
      <x:c r="H185" s="12" t="n">
        <x:f>IF(A185="","",'Agenda'!$B$6)</x:f>
        <x:v>10</x:v>
      </x:c>
      <x:c r="I185" s="24" t="n">
        <x:f>IF(A185="","",C185+G185/1440)</x:f>
        <x:v>0.5347222222222222</x:v>
      </x:c>
      <x:c r="J185" s="24" t="n">
        <x:f>IF(A185="","",C185+(G185+H185)/1440)</x:f>
        <x:v>0.5416666666666666</x:v>
      </x:c>
      <x:c r="K185" s="27" t="n">
        <x:f>IF(A185="","",IF(E185&lt;&gt;"sim",0,COUNTIFS($B$2:$B$501,B185,$F$2:$F$501,F185,$E$2:$E$501,"sim",$C$2:$C$501,"&lt;"&amp;J185,$J$2:$J$501,"&gt;"&amp;C185)-1))</x:f>
        <x:v>0</x:v>
      </x:c>
      <x:c r="L185" s="27" t="n">
        <x:f>IF(A185="","",IF(E185&lt;&gt;"sim",0,COUNTIFS($B$2:$B$501,B185,$A$2:$A$501,A185,$E$2:$E$501,"sim",$C$2:$C$501,"&lt;"&amp;J185,$J$2:$J$501,"&gt;"&amp;C185)-1))</x:f>
        <x:v>0</x:v>
      </x:c>
      <x:c r="M185" s="2" t="str">
        <x:f>IF(A185="","",IF(E185&lt;&gt;"sim","Revisar escala",IF(OR(K185&gt;0,L185&gt;0),"Conflito de escala",IF(COUNTIFS('Solicitacoes'!$F$2:$F$501,B185,'Solicitacoes'!$K$2:$K$501,F185,'Solicitacoes'!$I$2:$I$501,"pendente",'Solicitacoes'!$G$2:$G$501,"&lt;"&amp;J185,'Solicitacoes'!$N$2:$N$501,"&gt;"&amp;C185)+COUNTIFS('Solicitacoes'!$F$2:$F$501,B185,'Solicitacoes'!$E$2:$E$501,A185,'Solicitacoes'!$I$2:$I$501,"pendente",'Solicitacoes'!$G$2:$G$501,"&lt;"&amp;J185,'Solicitacoes'!$N$2:$N$501,"&gt;"&amp;C185)+COUNTIFS('Solicitacoes'!$F$2:$F$501,B185,'Solicitacoes'!$K$2:$K$501,F185,'Solicitacoes'!$I$2:$I$501,"confirmado",'Solicitacoes'!$G$2:$G$501,"&lt;"&amp;J185,'Solicitacoes'!$N$2:$N$501,"&gt;"&amp;C185)+COUNTIFS('Solicitacoes'!$F$2:$F$501,B185,'Solicitacoes'!$E$2:$E$501,A185,'Solicitacoes'!$I$2:$I$501,"confirmado",'Solicitacoes'!$G$2:$G$501,"&lt;"&amp;J185,'Solicitacoes'!$N$2:$N$501,"&gt;"&amp;C185)&gt;0,"Ocupado","Disponível"))))</x:f>
        <x:v>Revisar escala</x:v>
      </x:c>
      <x:c r="N185" s="2" t="n">
        <x:f>IF(A185="","",ROW()-1)</x:f>
        <x:v>184</x:v>
      </x:c>
    </x:row>
    <x:row r="186" ht="24" customHeight="1">
      <x:c r="A186" s="13" t="str">
        <x:v>Laura Casanova</x:v>
      </x:c>
      <x:c r="B186" s="14" t="d">
        <x:v>2026-10-15T00:00:00.000Z</x:v>
      </x:c>
      <x:c r="C186" s="26" t="n">
        <x:v>0.5416666666666666</x:v>
      </x:c>
      <x:c r="D186" s="13" t="str">
        <x:v>presencial</x:v>
      </x:c>
      <x:c r="E186" s="13" t="str">
        <x:v>não</x:v>
      </x:c>
      <x:c r="F186" s="13" t="str">
        <x:v>Sala 1</x:v>
      </x:c>
      <x:c r="G186" s="12" t="n">
        <x:f>IF(A186="","",'Agenda'!$B$5)</x:f>
        <x:v>50</x:v>
      </x:c>
      <x:c r="H186" s="12" t="n">
        <x:f>IF(A186="","",'Agenda'!$B$6)</x:f>
        <x:v>10</x:v>
      </x:c>
      <x:c r="I186" s="24" t="n">
        <x:f>IF(A186="","",C186+G186/1440)</x:f>
        <x:v>0.5763888888888888</x:v>
      </x:c>
      <x:c r="J186" s="24" t="n">
        <x:f>IF(A186="","",C186+(G186+H186)/1440)</x:f>
        <x:v>0.5833333333333333</x:v>
      </x:c>
      <x:c r="K186" s="27" t="n">
        <x:f>IF(A186="","",IF(E186&lt;&gt;"sim",0,COUNTIFS($B$2:$B$501,B186,$F$2:$F$501,F186,$E$2:$E$501,"sim",$C$2:$C$501,"&lt;"&amp;J186,$J$2:$J$501,"&gt;"&amp;C186)-1))</x:f>
        <x:v>0</x:v>
      </x:c>
      <x:c r="L186" s="27" t="n">
        <x:f>IF(A186="","",IF(E186&lt;&gt;"sim",0,COUNTIFS($B$2:$B$501,B186,$A$2:$A$501,A186,$E$2:$E$501,"sim",$C$2:$C$501,"&lt;"&amp;J186,$J$2:$J$501,"&gt;"&amp;C186)-1))</x:f>
        <x:v>0</x:v>
      </x:c>
      <x:c r="M186" s="2" t="str">
        <x:f>IF(A186="","",IF(E186&lt;&gt;"sim","Revisar escala",IF(OR(K186&gt;0,L186&gt;0),"Conflito de escala",IF(COUNTIFS('Solicitacoes'!$F$2:$F$501,B186,'Solicitacoes'!$K$2:$K$501,F186,'Solicitacoes'!$I$2:$I$501,"pendente",'Solicitacoes'!$G$2:$G$501,"&lt;"&amp;J186,'Solicitacoes'!$N$2:$N$501,"&gt;"&amp;C186)+COUNTIFS('Solicitacoes'!$F$2:$F$501,B186,'Solicitacoes'!$E$2:$E$501,A186,'Solicitacoes'!$I$2:$I$501,"pendente",'Solicitacoes'!$G$2:$G$501,"&lt;"&amp;J186,'Solicitacoes'!$N$2:$N$501,"&gt;"&amp;C186)+COUNTIFS('Solicitacoes'!$F$2:$F$501,B186,'Solicitacoes'!$K$2:$K$501,F186,'Solicitacoes'!$I$2:$I$501,"confirmado",'Solicitacoes'!$G$2:$G$501,"&lt;"&amp;J186,'Solicitacoes'!$N$2:$N$501,"&gt;"&amp;C186)+COUNTIFS('Solicitacoes'!$F$2:$F$501,B186,'Solicitacoes'!$E$2:$E$501,A186,'Solicitacoes'!$I$2:$I$501,"confirmado",'Solicitacoes'!$G$2:$G$501,"&lt;"&amp;J186,'Solicitacoes'!$N$2:$N$501,"&gt;"&amp;C186)&gt;0,"Ocupado","Disponível"))))</x:f>
        <x:v>Revisar escala</x:v>
      </x:c>
      <x:c r="N186" s="2" t="n">
        <x:f>IF(A186="","",ROW()-1)</x:f>
        <x:v>185</x:v>
      </x:c>
    </x:row>
    <x:row r="187" ht="24" customHeight="1">
      <x:c r="A187" s="13" t="str">
        <x:v>Aline Reis</x:v>
      </x:c>
      <x:c r="B187" s="14" t="d">
        <x:v>2026-10-15T00:00:00.000Z</x:v>
      </x:c>
      <x:c r="C187" s="26" t="n">
        <x:v>0.5416666666666666</x:v>
      </x:c>
      <x:c r="D187" s="13" t="str">
        <x:v>presencial</x:v>
      </x:c>
      <x:c r="E187" s="13" t="str">
        <x:v>não</x:v>
      </x:c>
      <x:c r="F187" s="13" t="str">
        <x:v>Sala 2</x:v>
      </x:c>
      <x:c r="G187" s="12" t="n">
        <x:f>IF(A187="","",'Agenda'!$B$5)</x:f>
        <x:v>50</x:v>
      </x:c>
      <x:c r="H187" s="12" t="n">
        <x:f>IF(A187="","",'Agenda'!$B$6)</x:f>
        <x:v>10</x:v>
      </x:c>
      <x:c r="I187" s="24" t="n">
        <x:f>IF(A187="","",C187+G187/1440)</x:f>
        <x:v>0.5763888888888888</x:v>
      </x:c>
      <x:c r="J187" s="24" t="n">
        <x:f>IF(A187="","",C187+(G187+H187)/1440)</x:f>
        <x:v>0.5833333333333333</x:v>
      </x:c>
      <x:c r="K187" s="27" t="n">
        <x:f>IF(A187="","",IF(E187&lt;&gt;"sim",0,COUNTIFS($B$2:$B$501,B187,$F$2:$F$501,F187,$E$2:$E$501,"sim",$C$2:$C$501,"&lt;"&amp;J187,$J$2:$J$501,"&gt;"&amp;C187)-1))</x:f>
        <x:v>0</x:v>
      </x:c>
      <x:c r="L187" s="27" t="n">
        <x:f>IF(A187="","",IF(E187&lt;&gt;"sim",0,COUNTIFS($B$2:$B$501,B187,$A$2:$A$501,A187,$E$2:$E$501,"sim",$C$2:$C$501,"&lt;"&amp;J187,$J$2:$J$501,"&gt;"&amp;C187)-1))</x:f>
        <x:v>0</x:v>
      </x:c>
      <x:c r="M187" s="2" t="str">
        <x:f>IF(A187="","",IF(E187&lt;&gt;"sim","Revisar escala",IF(OR(K187&gt;0,L187&gt;0),"Conflito de escala",IF(COUNTIFS('Solicitacoes'!$F$2:$F$501,B187,'Solicitacoes'!$K$2:$K$501,F187,'Solicitacoes'!$I$2:$I$501,"pendente",'Solicitacoes'!$G$2:$G$501,"&lt;"&amp;J187,'Solicitacoes'!$N$2:$N$501,"&gt;"&amp;C187)+COUNTIFS('Solicitacoes'!$F$2:$F$501,B187,'Solicitacoes'!$E$2:$E$501,A187,'Solicitacoes'!$I$2:$I$501,"pendente",'Solicitacoes'!$G$2:$G$501,"&lt;"&amp;J187,'Solicitacoes'!$N$2:$N$501,"&gt;"&amp;C187)+COUNTIFS('Solicitacoes'!$F$2:$F$501,B187,'Solicitacoes'!$K$2:$K$501,F187,'Solicitacoes'!$I$2:$I$501,"confirmado",'Solicitacoes'!$G$2:$G$501,"&lt;"&amp;J187,'Solicitacoes'!$N$2:$N$501,"&gt;"&amp;C187)+COUNTIFS('Solicitacoes'!$F$2:$F$501,B187,'Solicitacoes'!$E$2:$E$501,A187,'Solicitacoes'!$I$2:$I$501,"confirmado",'Solicitacoes'!$G$2:$G$501,"&lt;"&amp;J187,'Solicitacoes'!$N$2:$N$501,"&gt;"&amp;C187)&gt;0,"Ocupado","Disponível"))))</x:f>
        <x:v>Revisar escala</x:v>
      </x:c>
      <x:c r="N187" s="2" t="n">
        <x:f>IF(A187="","",ROW()-1)</x:f>
        <x:v>186</x:v>
      </x:c>
    </x:row>
    <x:row r="188" ht="24" customHeight="1">
      <x:c r="A188" s="13" t="str">
        <x:v>Géssyca Martins</x:v>
      </x:c>
      <x:c r="B188" s="14" t="d">
        <x:v>2026-10-15T00:00:00.000Z</x:v>
      </x:c>
      <x:c r="C188" s="26" t="n">
        <x:v>0.5833333333333334</x:v>
      </x:c>
      <x:c r="D188" s="13" t="str">
        <x:v>presencial</x:v>
      </x:c>
      <x:c r="E188" s="13" t="str">
        <x:v>não</x:v>
      </x:c>
      <x:c r="F188" s="13" t="str">
        <x:v>Sala 1</x:v>
      </x:c>
      <x:c r="G188" s="12" t="n">
        <x:f>IF(A188="","",'Agenda'!$B$5)</x:f>
        <x:v>50</x:v>
      </x:c>
      <x:c r="H188" s="12" t="n">
        <x:f>IF(A188="","",'Agenda'!$B$6)</x:f>
        <x:v>10</x:v>
      </x:c>
      <x:c r="I188" s="24" t="n">
        <x:f>IF(A188="","",C188+G188/1440)</x:f>
        <x:v>0.6180555555555556</x:v>
      </x:c>
      <x:c r="J188" s="24" t="n">
        <x:f>IF(A188="","",C188+(G188+H188)/1440)</x:f>
        <x:v>0.625</x:v>
      </x:c>
      <x:c r="K188" s="27" t="n">
        <x:f>IF(A188="","",IF(E188&lt;&gt;"sim",0,COUNTIFS($B$2:$B$501,B188,$F$2:$F$501,F188,$E$2:$E$501,"sim",$C$2:$C$501,"&lt;"&amp;J188,$J$2:$J$501,"&gt;"&amp;C188)-1))</x:f>
        <x:v>0</x:v>
      </x:c>
      <x:c r="L188" s="27" t="n">
        <x:f>IF(A188="","",IF(E188&lt;&gt;"sim",0,COUNTIFS($B$2:$B$501,B188,$A$2:$A$501,A188,$E$2:$E$501,"sim",$C$2:$C$501,"&lt;"&amp;J188,$J$2:$J$501,"&gt;"&amp;C188)-1))</x:f>
        <x:v>0</x:v>
      </x:c>
      <x:c r="M188" s="2" t="str">
        <x:f>IF(A188="","",IF(E188&lt;&gt;"sim","Revisar escala",IF(OR(K188&gt;0,L188&gt;0),"Conflito de escala",IF(COUNTIFS('Solicitacoes'!$F$2:$F$501,B188,'Solicitacoes'!$K$2:$K$501,F188,'Solicitacoes'!$I$2:$I$501,"pendente",'Solicitacoes'!$G$2:$G$501,"&lt;"&amp;J188,'Solicitacoes'!$N$2:$N$501,"&gt;"&amp;C188)+COUNTIFS('Solicitacoes'!$F$2:$F$501,B188,'Solicitacoes'!$E$2:$E$501,A188,'Solicitacoes'!$I$2:$I$501,"pendente",'Solicitacoes'!$G$2:$G$501,"&lt;"&amp;J188,'Solicitacoes'!$N$2:$N$501,"&gt;"&amp;C188)+COUNTIFS('Solicitacoes'!$F$2:$F$501,B188,'Solicitacoes'!$K$2:$K$501,F188,'Solicitacoes'!$I$2:$I$501,"confirmado",'Solicitacoes'!$G$2:$G$501,"&lt;"&amp;J188,'Solicitacoes'!$N$2:$N$501,"&gt;"&amp;C188)+COUNTIFS('Solicitacoes'!$F$2:$F$501,B188,'Solicitacoes'!$E$2:$E$501,A188,'Solicitacoes'!$I$2:$I$501,"confirmado",'Solicitacoes'!$G$2:$G$501,"&lt;"&amp;J188,'Solicitacoes'!$N$2:$N$501,"&gt;"&amp;C188)&gt;0,"Ocupado","Disponível"))))</x:f>
        <x:v>Revisar escala</x:v>
      </x:c>
      <x:c r="N188" s="2" t="n">
        <x:f>IF(A188="","",ROW()-1)</x:f>
        <x:v>187</x:v>
      </x:c>
    </x:row>
    <x:row r="189" ht="24" customHeight="1">
      <x:c r="A189" s="13" t="str">
        <x:v>Laura Casanova</x:v>
      </x:c>
      <x:c r="B189" s="14" t="d">
        <x:v>2026-10-15T00:00:00.000Z</x:v>
      </x:c>
      <x:c r="C189" s="26" t="n">
        <x:v>0.5833333333333334</x:v>
      </x:c>
      <x:c r="D189" s="13" t="str">
        <x:v>presencial</x:v>
      </x:c>
      <x:c r="E189" s="13" t="str">
        <x:v>não</x:v>
      </x:c>
      <x:c r="F189" s="13" t="str">
        <x:v>Sala 2</x:v>
      </x:c>
      <x:c r="G189" s="12" t="n">
        <x:f>IF(A189="","",'Agenda'!$B$5)</x:f>
        <x:v>50</x:v>
      </x:c>
      <x:c r="H189" s="12" t="n">
        <x:f>IF(A189="","",'Agenda'!$B$6)</x:f>
        <x:v>10</x:v>
      </x:c>
      <x:c r="I189" s="24" t="n">
        <x:f>IF(A189="","",C189+G189/1440)</x:f>
        <x:v>0.6180555555555556</x:v>
      </x:c>
      <x:c r="J189" s="24" t="n">
        <x:f>IF(A189="","",C189+(G189+H189)/1440)</x:f>
        <x:v>0.625</x:v>
      </x:c>
      <x:c r="K189" s="27" t="n">
        <x:f>IF(A189="","",IF(E189&lt;&gt;"sim",0,COUNTIFS($B$2:$B$501,B189,$F$2:$F$501,F189,$E$2:$E$501,"sim",$C$2:$C$501,"&lt;"&amp;J189,$J$2:$J$501,"&gt;"&amp;C189)-1))</x:f>
        <x:v>0</x:v>
      </x:c>
      <x:c r="L189" s="27" t="n">
        <x:f>IF(A189="","",IF(E189&lt;&gt;"sim",0,COUNTIFS($B$2:$B$501,B189,$A$2:$A$501,A189,$E$2:$E$501,"sim",$C$2:$C$501,"&lt;"&amp;J189,$J$2:$J$501,"&gt;"&amp;C189)-1))</x:f>
        <x:v>0</x:v>
      </x:c>
      <x:c r="M189" s="2" t="str">
        <x:f>IF(A189="","",IF(E189&lt;&gt;"sim","Revisar escala",IF(OR(K189&gt;0,L189&gt;0),"Conflito de escala",IF(COUNTIFS('Solicitacoes'!$F$2:$F$501,B189,'Solicitacoes'!$K$2:$K$501,F189,'Solicitacoes'!$I$2:$I$501,"pendente",'Solicitacoes'!$G$2:$G$501,"&lt;"&amp;J189,'Solicitacoes'!$N$2:$N$501,"&gt;"&amp;C189)+COUNTIFS('Solicitacoes'!$F$2:$F$501,B189,'Solicitacoes'!$E$2:$E$501,A189,'Solicitacoes'!$I$2:$I$501,"pendente",'Solicitacoes'!$G$2:$G$501,"&lt;"&amp;J189,'Solicitacoes'!$N$2:$N$501,"&gt;"&amp;C189)+COUNTIFS('Solicitacoes'!$F$2:$F$501,B189,'Solicitacoes'!$K$2:$K$501,F189,'Solicitacoes'!$I$2:$I$501,"confirmado",'Solicitacoes'!$G$2:$G$501,"&lt;"&amp;J189,'Solicitacoes'!$N$2:$N$501,"&gt;"&amp;C189)+COUNTIFS('Solicitacoes'!$F$2:$F$501,B189,'Solicitacoes'!$E$2:$E$501,A189,'Solicitacoes'!$I$2:$I$501,"confirmado",'Solicitacoes'!$G$2:$G$501,"&lt;"&amp;J189,'Solicitacoes'!$N$2:$N$501,"&gt;"&amp;C189)&gt;0,"Ocupado","Disponível"))))</x:f>
        <x:v>Revisar escala</x:v>
      </x:c>
      <x:c r="N189" s="2" t="n">
        <x:f>IF(A189="","",ROW()-1)</x:f>
        <x:v>188</x:v>
      </x:c>
    </x:row>
    <x:row r="190" ht="24" customHeight="1">
      <x:c r="A190" s="13" t="str">
        <x:v>Géssyca Martins</x:v>
      </x:c>
      <x:c r="B190" s="14" t="d">
        <x:v>2026-10-15T00:00:00.000Z</x:v>
      </x:c>
      <x:c r="C190" s="26" t="n">
        <x:v>0.625</x:v>
      </x:c>
      <x:c r="D190" s="13" t="str">
        <x:v>presencial</x:v>
      </x:c>
      <x:c r="E190" s="13" t="str">
        <x:v>não</x:v>
      </x:c>
      <x:c r="F190" s="13" t="str">
        <x:v>Sala 1</x:v>
      </x:c>
      <x:c r="G190" s="12" t="n">
        <x:f>IF(A190="","",'Agenda'!$B$5)</x:f>
        <x:v>50</x:v>
      </x:c>
      <x:c r="H190" s="12" t="n">
        <x:f>IF(A190="","",'Agenda'!$B$6)</x:f>
        <x:v>10</x:v>
      </x:c>
      <x:c r="I190" s="24" t="n">
        <x:f>IF(A190="","",C190+G190/1440)</x:f>
        <x:v>0.6597222222222222</x:v>
      </x:c>
      <x:c r="J190" s="24" t="n">
        <x:f>IF(A190="","",C190+(G190+H190)/1440)</x:f>
        <x:v>0.6666666666666666</x:v>
      </x:c>
      <x:c r="K190" s="27" t="n">
        <x:f>IF(A190="","",IF(E190&lt;&gt;"sim",0,COUNTIFS($B$2:$B$501,B190,$F$2:$F$501,F190,$E$2:$E$501,"sim",$C$2:$C$501,"&lt;"&amp;J190,$J$2:$J$501,"&gt;"&amp;C190)-1))</x:f>
        <x:v>0</x:v>
      </x:c>
      <x:c r="L190" s="27" t="n">
        <x:f>IF(A190="","",IF(E190&lt;&gt;"sim",0,COUNTIFS($B$2:$B$501,B190,$A$2:$A$501,A190,$E$2:$E$501,"sim",$C$2:$C$501,"&lt;"&amp;J190,$J$2:$J$501,"&gt;"&amp;C190)-1))</x:f>
        <x:v>0</x:v>
      </x:c>
      <x:c r="M190" s="2" t="str">
        <x:f>IF(A190="","",IF(E190&lt;&gt;"sim","Revisar escala",IF(OR(K190&gt;0,L190&gt;0),"Conflito de escala",IF(COUNTIFS('Solicitacoes'!$F$2:$F$501,B190,'Solicitacoes'!$K$2:$K$501,F190,'Solicitacoes'!$I$2:$I$501,"pendente",'Solicitacoes'!$G$2:$G$501,"&lt;"&amp;J190,'Solicitacoes'!$N$2:$N$501,"&gt;"&amp;C190)+COUNTIFS('Solicitacoes'!$F$2:$F$501,B190,'Solicitacoes'!$E$2:$E$501,A190,'Solicitacoes'!$I$2:$I$501,"pendente",'Solicitacoes'!$G$2:$G$501,"&lt;"&amp;J190,'Solicitacoes'!$N$2:$N$501,"&gt;"&amp;C190)+COUNTIFS('Solicitacoes'!$F$2:$F$501,B190,'Solicitacoes'!$K$2:$K$501,F190,'Solicitacoes'!$I$2:$I$501,"confirmado",'Solicitacoes'!$G$2:$G$501,"&lt;"&amp;J190,'Solicitacoes'!$N$2:$N$501,"&gt;"&amp;C190)+COUNTIFS('Solicitacoes'!$F$2:$F$501,B190,'Solicitacoes'!$E$2:$E$501,A190,'Solicitacoes'!$I$2:$I$501,"confirmado",'Solicitacoes'!$G$2:$G$501,"&lt;"&amp;J190,'Solicitacoes'!$N$2:$N$501,"&gt;"&amp;C190)&gt;0,"Ocupado","Disponível"))))</x:f>
        <x:v>Revisar escala</x:v>
      </x:c>
      <x:c r="N190" s="2" t="n">
        <x:f>IF(A190="","",ROW()-1)</x:f>
        <x:v>189</x:v>
      </x:c>
    </x:row>
    <x:row r="191" ht="24" customHeight="1">
      <x:c r="A191" s="13" t="str">
        <x:v>Laura Casanova</x:v>
      </x:c>
      <x:c r="B191" s="14" t="d">
        <x:v>2026-10-15T00:00:00.000Z</x:v>
      </x:c>
      <x:c r="C191" s="26" t="n">
        <x:v>0.625</x:v>
      </x:c>
      <x:c r="D191" s="13" t="str">
        <x:v>presencial</x:v>
      </x:c>
      <x:c r="E191" s="13" t="str">
        <x:v>não</x:v>
      </x:c>
      <x:c r="F191" s="13" t="str">
        <x:v>Sala 2</x:v>
      </x:c>
      <x:c r="G191" s="12" t="n">
        <x:f>IF(A191="","",'Agenda'!$B$5)</x:f>
        <x:v>50</x:v>
      </x:c>
      <x:c r="H191" s="12" t="n">
        <x:f>IF(A191="","",'Agenda'!$B$6)</x:f>
        <x:v>10</x:v>
      </x:c>
      <x:c r="I191" s="24" t="n">
        <x:f>IF(A191="","",C191+G191/1440)</x:f>
        <x:v>0.6597222222222222</x:v>
      </x:c>
      <x:c r="J191" s="24" t="n">
        <x:f>IF(A191="","",C191+(G191+H191)/1440)</x:f>
        <x:v>0.6666666666666666</x:v>
      </x:c>
      <x:c r="K191" s="27" t="n">
        <x:f>IF(A191="","",IF(E191&lt;&gt;"sim",0,COUNTIFS($B$2:$B$501,B191,$F$2:$F$501,F191,$E$2:$E$501,"sim",$C$2:$C$501,"&lt;"&amp;J191,$J$2:$J$501,"&gt;"&amp;C191)-1))</x:f>
        <x:v>0</x:v>
      </x:c>
      <x:c r="L191" s="27" t="n">
        <x:f>IF(A191="","",IF(E191&lt;&gt;"sim",0,COUNTIFS($B$2:$B$501,B191,$A$2:$A$501,A191,$E$2:$E$501,"sim",$C$2:$C$501,"&lt;"&amp;J191,$J$2:$J$501,"&gt;"&amp;C191)-1))</x:f>
        <x:v>0</x:v>
      </x:c>
      <x:c r="M191" s="2" t="str">
        <x:f>IF(A191="","",IF(E191&lt;&gt;"sim","Revisar escala",IF(OR(K191&gt;0,L191&gt;0),"Conflito de escala",IF(COUNTIFS('Solicitacoes'!$F$2:$F$501,B191,'Solicitacoes'!$K$2:$K$501,F191,'Solicitacoes'!$I$2:$I$501,"pendente",'Solicitacoes'!$G$2:$G$501,"&lt;"&amp;J191,'Solicitacoes'!$N$2:$N$501,"&gt;"&amp;C191)+COUNTIFS('Solicitacoes'!$F$2:$F$501,B191,'Solicitacoes'!$E$2:$E$501,A191,'Solicitacoes'!$I$2:$I$501,"pendente",'Solicitacoes'!$G$2:$G$501,"&lt;"&amp;J191,'Solicitacoes'!$N$2:$N$501,"&gt;"&amp;C191)+COUNTIFS('Solicitacoes'!$F$2:$F$501,B191,'Solicitacoes'!$K$2:$K$501,F191,'Solicitacoes'!$I$2:$I$501,"confirmado",'Solicitacoes'!$G$2:$G$501,"&lt;"&amp;J191,'Solicitacoes'!$N$2:$N$501,"&gt;"&amp;C191)+COUNTIFS('Solicitacoes'!$F$2:$F$501,B191,'Solicitacoes'!$E$2:$E$501,A191,'Solicitacoes'!$I$2:$I$501,"confirmado",'Solicitacoes'!$G$2:$G$501,"&lt;"&amp;J191,'Solicitacoes'!$N$2:$N$501,"&gt;"&amp;C191)&gt;0,"Ocupado","Disponível"))))</x:f>
        <x:v>Revisar escala</x:v>
      </x:c>
      <x:c r="N191" s="2" t="n">
        <x:f>IF(A191="","",ROW()-1)</x:f>
        <x:v>190</x:v>
      </x:c>
    </x:row>
    <x:row r="192" ht="24" customHeight="1">
      <x:c r="A192" s="13" t="str">
        <x:v>Géssyca Martins</x:v>
      </x:c>
      <x:c r="B192" s="14" t="d">
        <x:v>2026-10-15T00:00:00.000Z</x:v>
      </x:c>
      <x:c r="C192" s="26" t="n">
        <x:v>0.6666666666666666</x:v>
      </x:c>
      <x:c r="D192" s="13" t="str">
        <x:v>presencial</x:v>
      </x:c>
      <x:c r="E192" s="13" t="str">
        <x:v>não</x:v>
      </x:c>
      <x:c r="F192" s="13" t="str">
        <x:v>Sala 1</x:v>
      </x:c>
      <x:c r="G192" s="12" t="n">
        <x:f>IF(A192="","",'Agenda'!$B$5)</x:f>
        <x:v>50</x:v>
      </x:c>
      <x:c r="H192" s="12" t="n">
        <x:f>IF(A192="","",'Agenda'!$B$6)</x:f>
        <x:v>10</x:v>
      </x:c>
      <x:c r="I192" s="24" t="n">
        <x:f>IF(A192="","",C192+G192/1440)</x:f>
        <x:v>0.7013888888888888</x:v>
      </x:c>
      <x:c r="J192" s="24" t="n">
        <x:f>IF(A192="","",C192+(G192+H192)/1440)</x:f>
        <x:v>0.7083333333333333</x:v>
      </x:c>
      <x:c r="K192" s="27" t="n">
        <x:f>IF(A192="","",IF(E192&lt;&gt;"sim",0,COUNTIFS($B$2:$B$501,B192,$F$2:$F$501,F192,$E$2:$E$501,"sim",$C$2:$C$501,"&lt;"&amp;J192,$J$2:$J$501,"&gt;"&amp;C192)-1))</x:f>
        <x:v>0</x:v>
      </x:c>
      <x:c r="L192" s="27" t="n">
        <x:f>IF(A192="","",IF(E192&lt;&gt;"sim",0,COUNTIFS($B$2:$B$501,B192,$A$2:$A$501,A192,$E$2:$E$501,"sim",$C$2:$C$501,"&lt;"&amp;J192,$J$2:$J$501,"&gt;"&amp;C192)-1))</x:f>
        <x:v>0</x:v>
      </x:c>
      <x:c r="M192" s="2" t="str">
        <x:f>IF(A192="","",IF(E192&lt;&gt;"sim","Revisar escala",IF(OR(K192&gt;0,L192&gt;0),"Conflito de escala",IF(COUNTIFS('Solicitacoes'!$F$2:$F$501,B192,'Solicitacoes'!$K$2:$K$501,F192,'Solicitacoes'!$I$2:$I$501,"pendente",'Solicitacoes'!$G$2:$G$501,"&lt;"&amp;J192,'Solicitacoes'!$N$2:$N$501,"&gt;"&amp;C192)+COUNTIFS('Solicitacoes'!$F$2:$F$501,B192,'Solicitacoes'!$E$2:$E$501,A192,'Solicitacoes'!$I$2:$I$501,"pendente",'Solicitacoes'!$G$2:$G$501,"&lt;"&amp;J192,'Solicitacoes'!$N$2:$N$501,"&gt;"&amp;C192)+COUNTIFS('Solicitacoes'!$F$2:$F$501,B192,'Solicitacoes'!$K$2:$K$501,F192,'Solicitacoes'!$I$2:$I$501,"confirmado",'Solicitacoes'!$G$2:$G$501,"&lt;"&amp;J192,'Solicitacoes'!$N$2:$N$501,"&gt;"&amp;C192)+COUNTIFS('Solicitacoes'!$F$2:$F$501,B192,'Solicitacoes'!$E$2:$E$501,A192,'Solicitacoes'!$I$2:$I$501,"confirmado",'Solicitacoes'!$G$2:$G$501,"&lt;"&amp;J192,'Solicitacoes'!$N$2:$N$501,"&gt;"&amp;C192)&gt;0,"Ocupado","Disponível"))))</x:f>
        <x:v>Revisar escala</x:v>
      </x:c>
      <x:c r="N192" s="2" t="n">
        <x:f>IF(A192="","",ROW()-1)</x:f>
        <x:v>191</x:v>
      </x:c>
    </x:row>
    <x:row r="193" ht="24" customHeight="1">
      <x:c r="A193" s="13" t="str">
        <x:v>Laura Casanova</x:v>
      </x:c>
      <x:c r="B193" s="14" t="d">
        <x:v>2026-10-15T00:00:00.000Z</x:v>
      </x:c>
      <x:c r="C193" s="26" t="n">
        <x:v>0.6666666666666666</x:v>
      </x:c>
      <x:c r="D193" s="13" t="str">
        <x:v>presencial</x:v>
      </x:c>
      <x:c r="E193" s="13" t="str">
        <x:v>não</x:v>
      </x:c>
      <x:c r="F193" s="13" t="str">
        <x:v>Sala 2</x:v>
      </x:c>
      <x:c r="G193" s="12" t="n">
        <x:f>IF(A193="","",'Agenda'!$B$5)</x:f>
        <x:v>50</x:v>
      </x:c>
      <x:c r="H193" s="12" t="n">
        <x:f>IF(A193="","",'Agenda'!$B$6)</x:f>
        <x:v>10</x:v>
      </x:c>
      <x:c r="I193" s="24" t="n">
        <x:f>IF(A193="","",C193+G193/1440)</x:f>
        <x:v>0.7013888888888888</x:v>
      </x:c>
      <x:c r="J193" s="24" t="n">
        <x:f>IF(A193="","",C193+(G193+H193)/1440)</x:f>
        <x:v>0.7083333333333333</x:v>
      </x:c>
      <x:c r="K193" s="27" t="n">
        <x:f>IF(A193="","",IF(E193&lt;&gt;"sim",0,COUNTIFS($B$2:$B$501,B193,$F$2:$F$501,F193,$E$2:$E$501,"sim",$C$2:$C$501,"&lt;"&amp;J193,$J$2:$J$501,"&gt;"&amp;C193)-1))</x:f>
        <x:v>0</x:v>
      </x:c>
      <x:c r="L193" s="27" t="n">
        <x:f>IF(A193="","",IF(E193&lt;&gt;"sim",0,COUNTIFS($B$2:$B$501,B193,$A$2:$A$501,A193,$E$2:$E$501,"sim",$C$2:$C$501,"&lt;"&amp;J193,$J$2:$J$501,"&gt;"&amp;C193)-1))</x:f>
        <x:v>0</x:v>
      </x:c>
      <x:c r="M193" s="2" t="str">
        <x:f>IF(A193="","",IF(E193&lt;&gt;"sim","Revisar escala",IF(OR(K193&gt;0,L193&gt;0),"Conflito de escala",IF(COUNTIFS('Solicitacoes'!$F$2:$F$501,B193,'Solicitacoes'!$K$2:$K$501,F193,'Solicitacoes'!$I$2:$I$501,"pendente",'Solicitacoes'!$G$2:$G$501,"&lt;"&amp;J193,'Solicitacoes'!$N$2:$N$501,"&gt;"&amp;C193)+COUNTIFS('Solicitacoes'!$F$2:$F$501,B193,'Solicitacoes'!$E$2:$E$501,A193,'Solicitacoes'!$I$2:$I$501,"pendente",'Solicitacoes'!$G$2:$G$501,"&lt;"&amp;J193,'Solicitacoes'!$N$2:$N$501,"&gt;"&amp;C193)+COUNTIFS('Solicitacoes'!$F$2:$F$501,B193,'Solicitacoes'!$K$2:$K$501,F193,'Solicitacoes'!$I$2:$I$501,"confirmado",'Solicitacoes'!$G$2:$G$501,"&lt;"&amp;J193,'Solicitacoes'!$N$2:$N$501,"&gt;"&amp;C193)+COUNTIFS('Solicitacoes'!$F$2:$F$501,B193,'Solicitacoes'!$E$2:$E$501,A193,'Solicitacoes'!$I$2:$I$501,"confirmado",'Solicitacoes'!$G$2:$G$501,"&lt;"&amp;J193,'Solicitacoes'!$N$2:$N$501,"&gt;"&amp;C193)&gt;0,"Ocupado","Disponível"))))</x:f>
        <x:v>Revisar escala</x:v>
      </x:c>
      <x:c r="N193" s="2" t="n">
        <x:f>IF(A193="","",ROW()-1)</x:f>
        <x:v>192</x:v>
      </x:c>
    </x:row>
    <x:row r="194" ht="24" customHeight="1">
      <x:c r="A194" s="13" t="str">
        <x:v>Géssyca Martins</x:v>
      </x:c>
      <x:c r="B194" s="14" t="d">
        <x:v>2026-10-15T00:00:00.000Z</x:v>
      </x:c>
      <x:c r="C194" s="26" t="n">
        <x:v>0.7083333333333334</x:v>
      </x:c>
      <x:c r="D194" s="13" t="str">
        <x:v>presencial</x:v>
      </x:c>
      <x:c r="E194" s="13" t="str">
        <x:v>não</x:v>
      </x:c>
      <x:c r="F194" s="13" t="str">
        <x:v>Sala 1</x:v>
      </x:c>
      <x:c r="G194" s="12" t="n">
        <x:f>IF(A194="","",'Agenda'!$B$5)</x:f>
        <x:v>50</x:v>
      </x:c>
      <x:c r="H194" s="12" t="n">
        <x:f>IF(A194="","",'Agenda'!$B$6)</x:f>
        <x:v>10</x:v>
      </x:c>
      <x:c r="I194" s="24" t="n">
        <x:f>IF(A194="","",C194+G194/1440)</x:f>
        <x:v>0.7430555555555556</x:v>
      </x:c>
      <x:c r="J194" s="24" t="n">
        <x:f>IF(A194="","",C194+(G194+H194)/1440)</x:f>
        <x:v>0.75</x:v>
      </x:c>
      <x:c r="K194" s="27" t="n">
        <x:f>IF(A194="","",IF(E194&lt;&gt;"sim",0,COUNTIFS($B$2:$B$501,B194,$F$2:$F$501,F194,$E$2:$E$501,"sim",$C$2:$C$501,"&lt;"&amp;J194,$J$2:$J$501,"&gt;"&amp;C194)-1))</x:f>
        <x:v>0</x:v>
      </x:c>
      <x:c r="L194" s="27" t="n">
        <x:f>IF(A194="","",IF(E194&lt;&gt;"sim",0,COUNTIFS($B$2:$B$501,B194,$A$2:$A$501,A194,$E$2:$E$501,"sim",$C$2:$C$501,"&lt;"&amp;J194,$J$2:$J$501,"&gt;"&amp;C194)-1))</x:f>
        <x:v>0</x:v>
      </x:c>
      <x:c r="M194" s="2" t="str">
        <x:f>IF(A194="","",IF(E194&lt;&gt;"sim","Revisar escala",IF(OR(K194&gt;0,L194&gt;0),"Conflito de escala",IF(COUNTIFS('Solicitacoes'!$F$2:$F$501,B194,'Solicitacoes'!$K$2:$K$501,F194,'Solicitacoes'!$I$2:$I$501,"pendente",'Solicitacoes'!$G$2:$G$501,"&lt;"&amp;J194,'Solicitacoes'!$N$2:$N$501,"&gt;"&amp;C194)+COUNTIFS('Solicitacoes'!$F$2:$F$501,B194,'Solicitacoes'!$E$2:$E$501,A194,'Solicitacoes'!$I$2:$I$501,"pendente",'Solicitacoes'!$G$2:$G$501,"&lt;"&amp;J194,'Solicitacoes'!$N$2:$N$501,"&gt;"&amp;C194)+COUNTIFS('Solicitacoes'!$F$2:$F$501,B194,'Solicitacoes'!$K$2:$K$501,F194,'Solicitacoes'!$I$2:$I$501,"confirmado",'Solicitacoes'!$G$2:$G$501,"&lt;"&amp;J194,'Solicitacoes'!$N$2:$N$501,"&gt;"&amp;C194)+COUNTIFS('Solicitacoes'!$F$2:$F$501,B194,'Solicitacoes'!$E$2:$E$501,A194,'Solicitacoes'!$I$2:$I$501,"confirmado",'Solicitacoes'!$G$2:$G$501,"&lt;"&amp;J194,'Solicitacoes'!$N$2:$N$501,"&gt;"&amp;C194)&gt;0,"Ocupado","Disponível"))))</x:f>
        <x:v>Revisar escala</x:v>
      </x:c>
      <x:c r="N194" s="2" t="n">
        <x:f>IF(A194="","",ROW()-1)</x:f>
        <x:v>193</x:v>
      </x:c>
    </x:row>
    <x:row r="195" ht="24" customHeight="1">
      <x:c r="A195" s="13" t="str">
        <x:v>Laura Casanova</x:v>
      </x:c>
      <x:c r="B195" s="14" t="d">
        <x:v>2026-10-15T00:00:00.000Z</x:v>
      </x:c>
      <x:c r="C195" s="26" t="n">
        <x:v>0.7083333333333334</x:v>
      </x:c>
      <x:c r="D195" s="13" t="str">
        <x:v>presencial</x:v>
      </x:c>
      <x:c r="E195" s="13" t="str">
        <x:v>não</x:v>
      </x:c>
      <x:c r="F195" s="13" t="str">
        <x:v>Sala 2</x:v>
      </x:c>
      <x:c r="G195" s="12" t="n">
        <x:f>IF(A195="","",'Agenda'!$B$5)</x:f>
        <x:v>50</x:v>
      </x:c>
      <x:c r="H195" s="12" t="n">
        <x:f>IF(A195="","",'Agenda'!$B$6)</x:f>
        <x:v>10</x:v>
      </x:c>
      <x:c r="I195" s="24" t="n">
        <x:f>IF(A195="","",C195+G195/1440)</x:f>
        <x:v>0.7430555555555556</x:v>
      </x:c>
      <x:c r="J195" s="24" t="n">
        <x:f>IF(A195="","",C195+(G195+H195)/1440)</x:f>
        <x:v>0.75</x:v>
      </x:c>
      <x:c r="K195" s="27" t="n">
        <x:f>IF(A195="","",IF(E195&lt;&gt;"sim",0,COUNTIFS($B$2:$B$501,B195,$F$2:$F$501,F195,$E$2:$E$501,"sim",$C$2:$C$501,"&lt;"&amp;J195,$J$2:$J$501,"&gt;"&amp;C195)-1))</x:f>
        <x:v>0</x:v>
      </x:c>
      <x:c r="L195" s="27" t="n">
        <x:f>IF(A195="","",IF(E195&lt;&gt;"sim",0,COUNTIFS($B$2:$B$501,B195,$A$2:$A$501,A195,$E$2:$E$501,"sim",$C$2:$C$501,"&lt;"&amp;J195,$J$2:$J$501,"&gt;"&amp;C195)-1))</x:f>
        <x:v>0</x:v>
      </x:c>
      <x:c r="M195" s="2" t="str">
        <x:f>IF(A195="","",IF(E195&lt;&gt;"sim","Revisar escala",IF(OR(K195&gt;0,L195&gt;0),"Conflito de escala",IF(COUNTIFS('Solicitacoes'!$F$2:$F$501,B195,'Solicitacoes'!$K$2:$K$501,F195,'Solicitacoes'!$I$2:$I$501,"pendente",'Solicitacoes'!$G$2:$G$501,"&lt;"&amp;J195,'Solicitacoes'!$N$2:$N$501,"&gt;"&amp;C195)+COUNTIFS('Solicitacoes'!$F$2:$F$501,B195,'Solicitacoes'!$E$2:$E$501,A195,'Solicitacoes'!$I$2:$I$501,"pendente",'Solicitacoes'!$G$2:$G$501,"&lt;"&amp;J195,'Solicitacoes'!$N$2:$N$501,"&gt;"&amp;C195)+COUNTIFS('Solicitacoes'!$F$2:$F$501,B195,'Solicitacoes'!$K$2:$K$501,F195,'Solicitacoes'!$I$2:$I$501,"confirmado",'Solicitacoes'!$G$2:$G$501,"&lt;"&amp;J195,'Solicitacoes'!$N$2:$N$501,"&gt;"&amp;C195)+COUNTIFS('Solicitacoes'!$F$2:$F$501,B195,'Solicitacoes'!$E$2:$E$501,A195,'Solicitacoes'!$I$2:$I$501,"confirmado",'Solicitacoes'!$G$2:$G$501,"&lt;"&amp;J195,'Solicitacoes'!$N$2:$N$501,"&gt;"&amp;C195)&gt;0,"Ocupado","Disponível"))))</x:f>
        <x:v>Revisar escala</x:v>
      </x:c>
      <x:c r="N195" s="2" t="n">
        <x:f>IF(A195="","",ROW()-1)</x:f>
        <x:v>194</x:v>
      </x:c>
    </x:row>
    <x:row r="196" ht="24" customHeight="1">
      <x:c r="A196" s="13" t="str">
        <x:v>Géssyca Martins</x:v>
      </x:c>
      <x:c r="B196" s="14" t="d">
        <x:v>2026-10-15T00:00:00.000Z</x:v>
      </x:c>
      <x:c r="C196" s="26" t="n">
        <x:v>0.75</x:v>
      </x:c>
      <x:c r="D196" s="13" t="str">
        <x:v>presencial</x:v>
      </x:c>
      <x:c r="E196" s="13" t="str">
        <x:v>não</x:v>
      </x:c>
      <x:c r="F196" s="13" t="str">
        <x:v>Sala 1</x:v>
      </x:c>
      <x:c r="G196" s="12" t="n">
        <x:f>IF(A196="","",'Agenda'!$B$5)</x:f>
        <x:v>50</x:v>
      </x:c>
      <x:c r="H196" s="12" t="n">
        <x:f>IF(A196="","",'Agenda'!$B$6)</x:f>
        <x:v>10</x:v>
      </x:c>
      <x:c r="I196" s="24" t="n">
        <x:f>IF(A196="","",C196+G196/1440)</x:f>
        <x:v>0.7847222222222222</x:v>
      </x:c>
      <x:c r="J196" s="24" t="n">
        <x:f>IF(A196="","",C196+(G196+H196)/1440)</x:f>
        <x:v>0.7916666666666666</x:v>
      </x:c>
      <x:c r="K196" s="27" t="n">
        <x:f>IF(A196="","",IF(E196&lt;&gt;"sim",0,COUNTIFS($B$2:$B$501,B196,$F$2:$F$501,F196,$E$2:$E$501,"sim",$C$2:$C$501,"&lt;"&amp;J196,$J$2:$J$501,"&gt;"&amp;C196)-1))</x:f>
        <x:v>0</x:v>
      </x:c>
      <x:c r="L196" s="27" t="n">
        <x:f>IF(A196="","",IF(E196&lt;&gt;"sim",0,COUNTIFS($B$2:$B$501,B196,$A$2:$A$501,A196,$E$2:$E$501,"sim",$C$2:$C$501,"&lt;"&amp;J196,$J$2:$J$501,"&gt;"&amp;C196)-1))</x:f>
        <x:v>0</x:v>
      </x:c>
      <x:c r="M196" s="2" t="str">
        <x:f>IF(A196="","",IF(E196&lt;&gt;"sim","Revisar escala",IF(OR(K196&gt;0,L196&gt;0),"Conflito de escala",IF(COUNTIFS('Solicitacoes'!$F$2:$F$501,B196,'Solicitacoes'!$K$2:$K$501,F196,'Solicitacoes'!$I$2:$I$501,"pendente",'Solicitacoes'!$G$2:$G$501,"&lt;"&amp;J196,'Solicitacoes'!$N$2:$N$501,"&gt;"&amp;C196)+COUNTIFS('Solicitacoes'!$F$2:$F$501,B196,'Solicitacoes'!$E$2:$E$501,A196,'Solicitacoes'!$I$2:$I$501,"pendente",'Solicitacoes'!$G$2:$G$501,"&lt;"&amp;J196,'Solicitacoes'!$N$2:$N$501,"&gt;"&amp;C196)+COUNTIFS('Solicitacoes'!$F$2:$F$501,B196,'Solicitacoes'!$K$2:$K$501,F196,'Solicitacoes'!$I$2:$I$501,"confirmado",'Solicitacoes'!$G$2:$G$501,"&lt;"&amp;J196,'Solicitacoes'!$N$2:$N$501,"&gt;"&amp;C196)+COUNTIFS('Solicitacoes'!$F$2:$F$501,B196,'Solicitacoes'!$E$2:$E$501,A196,'Solicitacoes'!$I$2:$I$501,"confirmado",'Solicitacoes'!$G$2:$G$501,"&lt;"&amp;J196,'Solicitacoes'!$N$2:$N$501,"&gt;"&amp;C196)&gt;0,"Ocupado","Disponível"))))</x:f>
        <x:v>Revisar escala</x:v>
      </x:c>
      <x:c r="N196" s="2" t="n">
        <x:f>IF(A196="","",ROW()-1)</x:f>
        <x:v>195</x:v>
      </x:c>
    </x:row>
    <x:row r="197" ht="24" customHeight="1">
      <x:c r="A197" s="13" t="str">
        <x:v>Laura Casanova</x:v>
      </x:c>
      <x:c r="B197" s="14" t="d">
        <x:v>2026-10-15T00:00:00.000Z</x:v>
      </x:c>
      <x:c r="C197" s="26" t="n">
        <x:v>0.75</x:v>
      </x:c>
      <x:c r="D197" s="13" t="str">
        <x:v>presencial</x:v>
      </x:c>
      <x:c r="E197" s="13" t="str">
        <x:v>não</x:v>
      </x:c>
      <x:c r="F197" s="13" t="str">
        <x:v>Sala 2</x:v>
      </x:c>
      <x:c r="G197" s="12" t="n">
        <x:f>IF(A197="","",'Agenda'!$B$5)</x:f>
        <x:v>50</x:v>
      </x:c>
      <x:c r="H197" s="12" t="n">
        <x:f>IF(A197="","",'Agenda'!$B$6)</x:f>
        <x:v>10</x:v>
      </x:c>
      <x:c r="I197" s="24" t="n">
        <x:f>IF(A197="","",C197+G197/1440)</x:f>
        <x:v>0.7847222222222222</x:v>
      </x:c>
      <x:c r="J197" s="24" t="n">
        <x:f>IF(A197="","",C197+(G197+H197)/1440)</x:f>
        <x:v>0.7916666666666666</x:v>
      </x:c>
      <x:c r="K197" s="27" t="n">
        <x:f>IF(A197="","",IF(E197&lt;&gt;"sim",0,COUNTIFS($B$2:$B$501,B197,$F$2:$F$501,F197,$E$2:$E$501,"sim",$C$2:$C$501,"&lt;"&amp;J197,$J$2:$J$501,"&gt;"&amp;C197)-1))</x:f>
        <x:v>0</x:v>
      </x:c>
      <x:c r="L197" s="27" t="n">
        <x:f>IF(A197="","",IF(E197&lt;&gt;"sim",0,COUNTIFS($B$2:$B$501,B197,$A$2:$A$501,A197,$E$2:$E$501,"sim",$C$2:$C$501,"&lt;"&amp;J197,$J$2:$J$501,"&gt;"&amp;C197)-1))</x:f>
        <x:v>0</x:v>
      </x:c>
      <x:c r="M197" s="2" t="str">
        <x:f>IF(A197="","",IF(E197&lt;&gt;"sim","Revisar escala",IF(OR(K197&gt;0,L197&gt;0),"Conflito de escala",IF(COUNTIFS('Solicitacoes'!$F$2:$F$501,B197,'Solicitacoes'!$K$2:$K$501,F197,'Solicitacoes'!$I$2:$I$501,"pendente",'Solicitacoes'!$G$2:$G$501,"&lt;"&amp;J197,'Solicitacoes'!$N$2:$N$501,"&gt;"&amp;C197)+COUNTIFS('Solicitacoes'!$F$2:$F$501,B197,'Solicitacoes'!$E$2:$E$501,A197,'Solicitacoes'!$I$2:$I$501,"pendente",'Solicitacoes'!$G$2:$G$501,"&lt;"&amp;J197,'Solicitacoes'!$N$2:$N$501,"&gt;"&amp;C197)+COUNTIFS('Solicitacoes'!$F$2:$F$501,B197,'Solicitacoes'!$K$2:$K$501,F197,'Solicitacoes'!$I$2:$I$501,"confirmado",'Solicitacoes'!$G$2:$G$501,"&lt;"&amp;J197,'Solicitacoes'!$N$2:$N$501,"&gt;"&amp;C197)+COUNTIFS('Solicitacoes'!$F$2:$F$501,B197,'Solicitacoes'!$E$2:$E$501,A197,'Solicitacoes'!$I$2:$I$501,"confirmado",'Solicitacoes'!$G$2:$G$501,"&lt;"&amp;J197,'Solicitacoes'!$N$2:$N$501,"&gt;"&amp;C197)&gt;0,"Ocupado","Disponível"))))</x:f>
        <x:v>Revisar escala</x:v>
      </x:c>
      <x:c r="N197" s="2" t="n">
        <x:f>IF(A197="","",ROW()-1)</x:f>
        <x:v>196</x:v>
      </x:c>
    </x:row>
    <x:row r="198" ht="24" customHeight="1">
      <x:c r="A198" s="13" t="str">
        <x:v>Géssyca Martins</x:v>
      </x:c>
      <x:c r="B198" s="14" t="d">
        <x:v>2026-10-15T00:00:00.000Z</x:v>
      </x:c>
      <x:c r="C198" s="26" t="n">
        <x:v>0.7916666666666666</x:v>
      </x:c>
      <x:c r="D198" s="13" t="str">
        <x:v>presencial</x:v>
      </x:c>
      <x:c r="E198" s="13" t="str">
        <x:v>não</x:v>
      </x:c>
      <x:c r="F198" s="13" t="str">
        <x:v>Sala 1</x:v>
      </x:c>
      <x:c r="G198" s="12" t="n">
        <x:f>IF(A198="","",'Agenda'!$B$5)</x:f>
        <x:v>50</x:v>
      </x:c>
      <x:c r="H198" s="12" t="n">
        <x:f>IF(A198="","",'Agenda'!$B$6)</x:f>
        <x:v>10</x:v>
      </x:c>
      <x:c r="I198" s="24" t="n">
        <x:f>IF(A198="","",C198+G198/1440)</x:f>
        <x:v>0.8263888888888888</x:v>
      </x:c>
      <x:c r="J198" s="24" t="n">
        <x:f>IF(A198="","",C198+(G198+H198)/1440)</x:f>
        <x:v>0.8333333333333333</x:v>
      </x:c>
      <x:c r="K198" s="27" t="n">
        <x:f>IF(A198="","",IF(E198&lt;&gt;"sim",0,COUNTIFS($B$2:$B$501,B198,$F$2:$F$501,F198,$E$2:$E$501,"sim",$C$2:$C$501,"&lt;"&amp;J198,$J$2:$J$501,"&gt;"&amp;C198)-1))</x:f>
        <x:v>0</x:v>
      </x:c>
      <x:c r="L198" s="27" t="n">
        <x:f>IF(A198="","",IF(E198&lt;&gt;"sim",0,COUNTIFS($B$2:$B$501,B198,$A$2:$A$501,A198,$E$2:$E$501,"sim",$C$2:$C$501,"&lt;"&amp;J198,$J$2:$J$501,"&gt;"&amp;C198)-1))</x:f>
        <x:v>0</x:v>
      </x:c>
      <x:c r="M198" s="2" t="str">
        <x:f>IF(A198="","",IF(E198&lt;&gt;"sim","Revisar escala",IF(OR(K198&gt;0,L198&gt;0),"Conflito de escala",IF(COUNTIFS('Solicitacoes'!$F$2:$F$501,B198,'Solicitacoes'!$K$2:$K$501,F198,'Solicitacoes'!$I$2:$I$501,"pendente",'Solicitacoes'!$G$2:$G$501,"&lt;"&amp;J198,'Solicitacoes'!$N$2:$N$501,"&gt;"&amp;C198)+COUNTIFS('Solicitacoes'!$F$2:$F$501,B198,'Solicitacoes'!$E$2:$E$501,A198,'Solicitacoes'!$I$2:$I$501,"pendente",'Solicitacoes'!$G$2:$G$501,"&lt;"&amp;J198,'Solicitacoes'!$N$2:$N$501,"&gt;"&amp;C198)+COUNTIFS('Solicitacoes'!$F$2:$F$501,B198,'Solicitacoes'!$K$2:$K$501,F198,'Solicitacoes'!$I$2:$I$501,"confirmado",'Solicitacoes'!$G$2:$G$501,"&lt;"&amp;J198,'Solicitacoes'!$N$2:$N$501,"&gt;"&amp;C198)+COUNTIFS('Solicitacoes'!$F$2:$F$501,B198,'Solicitacoes'!$E$2:$E$501,A198,'Solicitacoes'!$I$2:$I$501,"confirmado",'Solicitacoes'!$G$2:$G$501,"&lt;"&amp;J198,'Solicitacoes'!$N$2:$N$501,"&gt;"&amp;C198)&gt;0,"Ocupado","Disponível"))))</x:f>
        <x:v>Revisar escala</x:v>
      </x:c>
      <x:c r="N198" s="2" t="n">
        <x:f>IF(A198="","",ROW()-1)</x:f>
        <x:v>197</x:v>
      </x:c>
    </x:row>
    <x:row r="199" ht="24" customHeight="1">
      <x:c r="A199" s="13" t="str">
        <x:v>Laura Casanova</x:v>
      </x:c>
      <x:c r="B199" s="14" t="d">
        <x:v>2026-10-15T00:00:00.000Z</x:v>
      </x:c>
      <x:c r="C199" s="26" t="n">
        <x:v>0.7916666666666666</x:v>
      </x:c>
      <x:c r="D199" s="13" t="str">
        <x:v>presencial</x:v>
      </x:c>
      <x:c r="E199" s="13" t="str">
        <x:v>não</x:v>
      </x:c>
      <x:c r="F199" s="13" t="str">
        <x:v>Sala 2</x:v>
      </x:c>
      <x:c r="G199" s="12" t="n">
        <x:f>IF(A199="","",'Agenda'!$B$5)</x:f>
        <x:v>50</x:v>
      </x:c>
      <x:c r="H199" s="12" t="n">
        <x:f>IF(A199="","",'Agenda'!$B$6)</x:f>
        <x:v>10</x:v>
      </x:c>
      <x:c r="I199" s="24" t="n">
        <x:f>IF(A199="","",C199+G199/1440)</x:f>
        <x:v>0.8263888888888888</x:v>
      </x:c>
      <x:c r="J199" s="24" t="n">
        <x:f>IF(A199="","",C199+(G199+H199)/1440)</x:f>
        <x:v>0.8333333333333333</x:v>
      </x:c>
      <x:c r="K199" s="27" t="n">
        <x:f>IF(A199="","",IF(E199&lt;&gt;"sim",0,COUNTIFS($B$2:$B$501,B199,$F$2:$F$501,F199,$E$2:$E$501,"sim",$C$2:$C$501,"&lt;"&amp;J199,$J$2:$J$501,"&gt;"&amp;C199)-1))</x:f>
        <x:v>0</x:v>
      </x:c>
      <x:c r="L199" s="27" t="n">
        <x:f>IF(A199="","",IF(E199&lt;&gt;"sim",0,COUNTIFS($B$2:$B$501,B199,$A$2:$A$501,A199,$E$2:$E$501,"sim",$C$2:$C$501,"&lt;"&amp;J199,$J$2:$J$501,"&gt;"&amp;C199)-1))</x:f>
        <x:v>0</x:v>
      </x:c>
      <x:c r="M199" s="2" t="str">
        <x:f>IF(A199="","",IF(E199&lt;&gt;"sim","Revisar escala",IF(OR(K199&gt;0,L199&gt;0),"Conflito de escala",IF(COUNTIFS('Solicitacoes'!$F$2:$F$501,B199,'Solicitacoes'!$K$2:$K$501,F199,'Solicitacoes'!$I$2:$I$501,"pendente",'Solicitacoes'!$G$2:$G$501,"&lt;"&amp;J199,'Solicitacoes'!$N$2:$N$501,"&gt;"&amp;C199)+COUNTIFS('Solicitacoes'!$F$2:$F$501,B199,'Solicitacoes'!$E$2:$E$501,A199,'Solicitacoes'!$I$2:$I$501,"pendente",'Solicitacoes'!$G$2:$G$501,"&lt;"&amp;J199,'Solicitacoes'!$N$2:$N$501,"&gt;"&amp;C199)+COUNTIFS('Solicitacoes'!$F$2:$F$501,B199,'Solicitacoes'!$K$2:$K$501,F199,'Solicitacoes'!$I$2:$I$501,"confirmado",'Solicitacoes'!$G$2:$G$501,"&lt;"&amp;J199,'Solicitacoes'!$N$2:$N$501,"&gt;"&amp;C199)+COUNTIFS('Solicitacoes'!$F$2:$F$501,B199,'Solicitacoes'!$E$2:$E$501,A199,'Solicitacoes'!$I$2:$I$501,"confirmado",'Solicitacoes'!$G$2:$G$501,"&lt;"&amp;J199,'Solicitacoes'!$N$2:$N$501,"&gt;"&amp;C199)&gt;0,"Ocupado","Disponível"))))</x:f>
        <x:v>Revisar escala</x:v>
      </x:c>
      <x:c r="N199" s="2" t="n">
        <x:f>IF(A199="","",ROW()-1)</x:f>
        <x:v>198</x:v>
      </x:c>
    </x:row>
    <x:row r="200" ht="24" customHeight="1">
      <x:c r="A200" s="13" t="str">
        <x:v>Aline Reis</x:v>
      </x:c>
      <x:c r="B200" s="14" t="d">
        <x:v>2026-10-16T00:00:00.000Z</x:v>
      </x:c>
      <x:c r="C200" s="26" t="n">
        <x:v>0.375</x:v>
      </x:c>
      <x:c r="D200" s="13" t="str">
        <x:v>presencial</x:v>
      </x:c>
      <x:c r="E200" s="13" t="str">
        <x:v>não</x:v>
      </x:c>
      <x:c r="F200" s="13" t="str">
        <x:v>Sala 1</x:v>
      </x:c>
      <x:c r="G200" s="12" t="n">
        <x:f>IF(A200="","",'Agenda'!$B$5)</x:f>
        <x:v>50</x:v>
      </x:c>
      <x:c r="H200" s="12" t="n">
        <x:f>IF(A200="","",'Agenda'!$B$6)</x:f>
        <x:v>10</x:v>
      </x:c>
      <x:c r="I200" s="24" t="n">
        <x:f>IF(A200="","",C200+G200/1440)</x:f>
        <x:v>0.4097222222222222</x:v>
      </x:c>
      <x:c r="J200" s="24" t="n">
        <x:f>IF(A200="","",C200+(G200+H200)/1440)</x:f>
        <x:v>0.4166666666666667</x:v>
      </x:c>
      <x:c r="K200" s="27" t="n">
        <x:f>IF(A200="","",IF(E200&lt;&gt;"sim",0,COUNTIFS($B$2:$B$501,B200,$F$2:$F$501,F200,$E$2:$E$501,"sim",$C$2:$C$501,"&lt;"&amp;J200,$J$2:$J$501,"&gt;"&amp;C200)-1))</x:f>
        <x:v>0</x:v>
      </x:c>
      <x:c r="L200" s="27" t="n">
        <x:f>IF(A200="","",IF(E200&lt;&gt;"sim",0,COUNTIFS($B$2:$B$501,B200,$A$2:$A$501,A200,$E$2:$E$501,"sim",$C$2:$C$501,"&lt;"&amp;J200,$J$2:$J$501,"&gt;"&amp;C200)-1))</x:f>
        <x:v>0</x:v>
      </x:c>
      <x:c r="M200" s="2" t="str">
        <x:f>IF(A200="","",IF(E200&lt;&gt;"sim","Revisar escala",IF(OR(K200&gt;0,L200&gt;0),"Conflito de escala",IF(COUNTIFS('Solicitacoes'!$F$2:$F$501,B200,'Solicitacoes'!$K$2:$K$501,F200,'Solicitacoes'!$I$2:$I$501,"pendente",'Solicitacoes'!$G$2:$G$501,"&lt;"&amp;J200,'Solicitacoes'!$N$2:$N$501,"&gt;"&amp;C200)+COUNTIFS('Solicitacoes'!$F$2:$F$501,B200,'Solicitacoes'!$E$2:$E$501,A200,'Solicitacoes'!$I$2:$I$501,"pendente",'Solicitacoes'!$G$2:$G$501,"&lt;"&amp;J200,'Solicitacoes'!$N$2:$N$501,"&gt;"&amp;C200)+COUNTIFS('Solicitacoes'!$F$2:$F$501,B200,'Solicitacoes'!$K$2:$K$501,F200,'Solicitacoes'!$I$2:$I$501,"confirmado",'Solicitacoes'!$G$2:$G$501,"&lt;"&amp;J200,'Solicitacoes'!$N$2:$N$501,"&gt;"&amp;C200)+COUNTIFS('Solicitacoes'!$F$2:$F$501,B200,'Solicitacoes'!$E$2:$E$501,A200,'Solicitacoes'!$I$2:$I$501,"confirmado",'Solicitacoes'!$G$2:$G$501,"&lt;"&amp;J200,'Solicitacoes'!$N$2:$N$501,"&gt;"&amp;C200)&gt;0,"Ocupado","Disponível"))))</x:f>
        <x:v>Revisar escala</x:v>
      </x:c>
      <x:c r="N200" s="2" t="n">
        <x:f>IF(A200="","",ROW()-1)</x:f>
        <x:v>199</x:v>
      </x:c>
    </x:row>
    <x:row r="201" ht="24" customHeight="1">
      <x:c r="A201" s="13" t="str">
        <x:v>Géssyca Martins</x:v>
      </x:c>
      <x:c r="B201" s="14" t="d">
        <x:v>2026-10-16T00:00:00.000Z</x:v>
      </x:c>
      <x:c r="C201" s="26" t="n">
        <x:v>0.375</x:v>
      </x:c>
      <x:c r="D201" s="13" t="str">
        <x:v>presencial</x:v>
      </x:c>
      <x:c r="E201" s="13" t="str">
        <x:v>não</x:v>
      </x:c>
      <x:c r="F201" s="13" t="str">
        <x:v>Sala 2</x:v>
      </x:c>
      <x:c r="G201" s="12" t="n">
        <x:f>IF(A201="","",'Agenda'!$B$5)</x:f>
        <x:v>50</x:v>
      </x:c>
      <x:c r="H201" s="12" t="n">
        <x:f>IF(A201="","",'Agenda'!$B$6)</x:f>
        <x:v>10</x:v>
      </x:c>
      <x:c r="I201" s="24" t="n">
        <x:f>IF(A201="","",C201+G201/1440)</x:f>
        <x:v>0.4097222222222222</x:v>
      </x:c>
      <x:c r="J201" s="24" t="n">
        <x:f>IF(A201="","",C201+(G201+H201)/1440)</x:f>
        <x:v>0.4166666666666667</x:v>
      </x:c>
      <x:c r="K201" s="27" t="n">
        <x:f>IF(A201="","",IF(E201&lt;&gt;"sim",0,COUNTIFS($B$2:$B$501,B201,$F$2:$F$501,F201,$E$2:$E$501,"sim",$C$2:$C$501,"&lt;"&amp;J201,$J$2:$J$501,"&gt;"&amp;C201)-1))</x:f>
        <x:v>0</x:v>
      </x:c>
      <x:c r="L201" s="27" t="n">
        <x:f>IF(A201="","",IF(E201&lt;&gt;"sim",0,COUNTIFS($B$2:$B$501,B201,$A$2:$A$501,A201,$E$2:$E$501,"sim",$C$2:$C$501,"&lt;"&amp;J201,$J$2:$J$501,"&gt;"&amp;C201)-1))</x:f>
        <x:v>0</x:v>
      </x:c>
      <x:c r="M201" s="2" t="str">
        <x:f>IF(A201="","",IF(E201&lt;&gt;"sim","Revisar escala",IF(OR(K201&gt;0,L201&gt;0),"Conflito de escala",IF(COUNTIFS('Solicitacoes'!$F$2:$F$501,B201,'Solicitacoes'!$K$2:$K$501,F201,'Solicitacoes'!$I$2:$I$501,"pendente",'Solicitacoes'!$G$2:$G$501,"&lt;"&amp;J201,'Solicitacoes'!$N$2:$N$501,"&gt;"&amp;C201)+COUNTIFS('Solicitacoes'!$F$2:$F$501,B201,'Solicitacoes'!$E$2:$E$501,A201,'Solicitacoes'!$I$2:$I$501,"pendente",'Solicitacoes'!$G$2:$G$501,"&lt;"&amp;J201,'Solicitacoes'!$N$2:$N$501,"&gt;"&amp;C201)+COUNTIFS('Solicitacoes'!$F$2:$F$501,B201,'Solicitacoes'!$K$2:$K$501,F201,'Solicitacoes'!$I$2:$I$501,"confirmado",'Solicitacoes'!$G$2:$G$501,"&lt;"&amp;J201,'Solicitacoes'!$N$2:$N$501,"&gt;"&amp;C201)+COUNTIFS('Solicitacoes'!$F$2:$F$501,B201,'Solicitacoes'!$E$2:$E$501,A201,'Solicitacoes'!$I$2:$I$501,"confirmado",'Solicitacoes'!$G$2:$G$501,"&lt;"&amp;J201,'Solicitacoes'!$N$2:$N$501,"&gt;"&amp;C201)&gt;0,"Ocupado","Disponível"))))</x:f>
        <x:v>Revisar escala</x:v>
      </x:c>
      <x:c r="N201" s="2" t="n">
        <x:f>IF(A201="","",ROW()-1)</x:f>
        <x:v>200</x:v>
      </x:c>
    </x:row>
    <x:row r="202" ht="24" customHeight="1">
      <x:c r="A202" s="13" t="str">
        <x:v>Aline Reis</x:v>
      </x:c>
      <x:c r="B202" s="14" t="d">
        <x:v>2026-10-16T00:00:00.000Z</x:v>
      </x:c>
      <x:c r="C202" s="26" t="n">
        <x:v>0.4166666666666667</x:v>
      </x:c>
      <x:c r="D202" s="13" t="str">
        <x:v>presencial</x:v>
      </x:c>
      <x:c r="E202" s="13" t="str">
        <x:v>não</x:v>
      </x:c>
      <x:c r="F202" s="13" t="str">
        <x:v>Sala 1</x:v>
      </x:c>
      <x:c r="G202" s="12" t="n">
        <x:f>IF(A202="","",'Agenda'!$B$5)</x:f>
        <x:v>50</x:v>
      </x:c>
      <x:c r="H202" s="12" t="n">
        <x:f>IF(A202="","",'Agenda'!$B$6)</x:f>
        <x:v>10</x:v>
      </x:c>
      <x:c r="I202" s="24" t="n">
        <x:f>IF(A202="","",C202+G202/1440)</x:f>
        <x:v>0.4513888888888889</x:v>
      </x:c>
      <x:c r="J202" s="24" t="n">
        <x:f>IF(A202="","",C202+(G202+H202)/1440)</x:f>
        <x:v>0.45833333333333337</x:v>
      </x:c>
      <x:c r="K202" s="27" t="n">
        <x:f>IF(A202="","",IF(E202&lt;&gt;"sim",0,COUNTIFS($B$2:$B$501,B202,$F$2:$F$501,F202,$E$2:$E$501,"sim",$C$2:$C$501,"&lt;"&amp;J202,$J$2:$J$501,"&gt;"&amp;C202)-1))</x:f>
        <x:v>0</x:v>
      </x:c>
      <x:c r="L202" s="27" t="n">
        <x:f>IF(A202="","",IF(E202&lt;&gt;"sim",0,COUNTIFS($B$2:$B$501,B202,$A$2:$A$501,A202,$E$2:$E$501,"sim",$C$2:$C$501,"&lt;"&amp;J202,$J$2:$J$501,"&gt;"&amp;C202)-1))</x:f>
        <x:v>0</x:v>
      </x:c>
      <x:c r="M202" s="2" t="str">
        <x:f>IF(A202="","",IF(E202&lt;&gt;"sim","Revisar escala",IF(OR(K202&gt;0,L202&gt;0),"Conflito de escala",IF(COUNTIFS('Solicitacoes'!$F$2:$F$501,B202,'Solicitacoes'!$K$2:$K$501,F202,'Solicitacoes'!$I$2:$I$501,"pendente",'Solicitacoes'!$G$2:$G$501,"&lt;"&amp;J202,'Solicitacoes'!$N$2:$N$501,"&gt;"&amp;C202)+COUNTIFS('Solicitacoes'!$F$2:$F$501,B202,'Solicitacoes'!$E$2:$E$501,A202,'Solicitacoes'!$I$2:$I$501,"pendente",'Solicitacoes'!$G$2:$G$501,"&lt;"&amp;J202,'Solicitacoes'!$N$2:$N$501,"&gt;"&amp;C202)+COUNTIFS('Solicitacoes'!$F$2:$F$501,B202,'Solicitacoes'!$K$2:$K$501,F202,'Solicitacoes'!$I$2:$I$501,"confirmado",'Solicitacoes'!$G$2:$G$501,"&lt;"&amp;J202,'Solicitacoes'!$N$2:$N$501,"&gt;"&amp;C202)+COUNTIFS('Solicitacoes'!$F$2:$F$501,B202,'Solicitacoes'!$E$2:$E$501,A202,'Solicitacoes'!$I$2:$I$501,"confirmado",'Solicitacoes'!$G$2:$G$501,"&lt;"&amp;J202,'Solicitacoes'!$N$2:$N$501,"&gt;"&amp;C202)&gt;0,"Ocupado","Disponível"))))</x:f>
        <x:v>Revisar escala</x:v>
      </x:c>
      <x:c r="N202" s="2" t="n">
        <x:f>IF(A202="","",ROW()-1)</x:f>
        <x:v>201</x:v>
      </x:c>
    </x:row>
    <x:row r="203" ht="24" customHeight="1">
      <x:c r="A203" s="13" t="str">
        <x:v>Géssyca Martins</x:v>
      </x:c>
      <x:c r="B203" s="14" t="d">
        <x:v>2026-10-16T00:00:00.000Z</x:v>
      </x:c>
      <x:c r="C203" s="26" t="n">
        <x:v>0.4166666666666667</x:v>
      </x:c>
      <x:c r="D203" s="13" t="str">
        <x:v>presencial</x:v>
      </x:c>
      <x:c r="E203" s="13" t="str">
        <x:v>não</x:v>
      </x:c>
      <x:c r="F203" s="13" t="str">
        <x:v>Sala 2</x:v>
      </x:c>
      <x:c r="G203" s="12" t="n">
        <x:f>IF(A203="","",'Agenda'!$B$5)</x:f>
        <x:v>50</x:v>
      </x:c>
      <x:c r="H203" s="12" t="n">
        <x:f>IF(A203="","",'Agenda'!$B$6)</x:f>
        <x:v>10</x:v>
      </x:c>
      <x:c r="I203" s="24" t="n">
        <x:f>IF(A203="","",C203+G203/1440)</x:f>
        <x:v>0.4513888888888889</x:v>
      </x:c>
      <x:c r="J203" s="24" t="n">
        <x:f>IF(A203="","",C203+(G203+H203)/1440)</x:f>
        <x:v>0.45833333333333337</x:v>
      </x:c>
      <x:c r="K203" s="27" t="n">
        <x:f>IF(A203="","",IF(E203&lt;&gt;"sim",0,COUNTIFS($B$2:$B$501,B203,$F$2:$F$501,F203,$E$2:$E$501,"sim",$C$2:$C$501,"&lt;"&amp;J203,$J$2:$J$501,"&gt;"&amp;C203)-1))</x:f>
        <x:v>0</x:v>
      </x:c>
      <x:c r="L203" s="27" t="n">
        <x:f>IF(A203="","",IF(E203&lt;&gt;"sim",0,COUNTIFS($B$2:$B$501,B203,$A$2:$A$501,A203,$E$2:$E$501,"sim",$C$2:$C$501,"&lt;"&amp;J203,$J$2:$J$501,"&gt;"&amp;C203)-1))</x:f>
        <x:v>0</x:v>
      </x:c>
      <x:c r="M203" s="2" t="str">
        <x:f>IF(A203="","",IF(E203&lt;&gt;"sim","Revisar escala",IF(OR(K203&gt;0,L203&gt;0),"Conflito de escala",IF(COUNTIFS('Solicitacoes'!$F$2:$F$501,B203,'Solicitacoes'!$K$2:$K$501,F203,'Solicitacoes'!$I$2:$I$501,"pendente",'Solicitacoes'!$G$2:$G$501,"&lt;"&amp;J203,'Solicitacoes'!$N$2:$N$501,"&gt;"&amp;C203)+COUNTIFS('Solicitacoes'!$F$2:$F$501,B203,'Solicitacoes'!$E$2:$E$501,A203,'Solicitacoes'!$I$2:$I$501,"pendente",'Solicitacoes'!$G$2:$G$501,"&lt;"&amp;J203,'Solicitacoes'!$N$2:$N$501,"&gt;"&amp;C203)+COUNTIFS('Solicitacoes'!$F$2:$F$501,B203,'Solicitacoes'!$K$2:$K$501,F203,'Solicitacoes'!$I$2:$I$501,"confirmado",'Solicitacoes'!$G$2:$G$501,"&lt;"&amp;J203,'Solicitacoes'!$N$2:$N$501,"&gt;"&amp;C203)+COUNTIFS('Solicitacoes'!$F$2:$F$501,B203,'Solicitacoes'!$E$2:$E$501,A203,'Solicitacoes'!$I$2:$I$501,"confirmado",'Solicitacoes'!$G$2:$G$501,"&lt;"&amp;J203,'Solicitacoes'!$N$2:$N$501,"&gt;"&amp;C203)&gt;0,"Ocupado","Disponível"))))</x:f>
        <x:v>Revisar escala</x:v>
      </x:c>
      <x:c r="N203" s="2" t="n">
        <x:f>IF(A203="","",ROW()-1)</x:f>
        <x:v>202</x:v>
      </x:c>
    </x:row>
    <x:row r="204" ht="24" customHeight="1">
      <x:c r="A204" s="13" t="str">
        <x:v>Aline Reis</x:v>
      </x:c>
      <x:c r="B204" s="14" t="d">
        <x:v>2026-10-16T00:00:00.000Z</x:v>
      </x:c>
      <x:c r="C204" s="26" t="n">
        <x:v>0.4583333333333333</x:v>
      </x:c>
      <x:c r="D204" s="13" t="str">
        <x:v>presencial</x:v>
      </x:c>
      <x:c r="E204" s="13" t="str">
        <x:v>não</x:v>
      </x:c>
      <x:c r="F204" s="13" t="str">
        <x:v>Sala 1</x:v>
      </x:c>
      <x:c r="G204" s="12" t="n">
        <x:f>IF(A204="","",'Agenda'!$B$5)</x:f>
        <x:v>50</x:v>
      </x:c>
      <x:c r="H204" s="12" t="n">
        <x:f>IF(A204="","",'Agenda'!$B$6)</x:f>
        <x:v>10</x:v>
      </x:c>
      <x:c r="I204" s="24" t="n">
        <x:f>IF(A204="","",C204+G204/1440)</x:f>
        <x:v>0.4930555555555555</x:v>
      </x:c>
      <x:c r="J204" s="24" t="n">
        <x:f>IF(A204="","",C204+(G204+H204)/1440)</x:f>
        <x:v>0.5</x:v>
      </x:c>
      <x:c r="K204" s="27" t="n">
        <x:f>IF(A204="","",IF(E204&lt;&gt;"sim",0,COUNTIFS($B$2:$B$501,B204,$F$2:$F$501,F204,$E$2:$E$501,"sim",$C$2:$C$501,"&lt;"&amp;J204,$J$2:$J$501,"&gt;"&amp;C204)-1))</x:f>
        <x:v>0</x:v>
      </x:c>
      <x:c r="L204" s="27" t="n">
        <x:f>IF(A204="","",IF(E204&lt;&gt;"sim",0,COUNTIFS($B$2:$B$501,B204,$A$2:$A$501,A204,$E$2:$E$501,"sim",$C$2:$C$501,"&lt;"&amp;J204,$J$2:$J$501,"&gt;"&amp;C204)-1))</x:f>
        <x:v>0</x:v>
      </x:c>
      <x:c r="M204" s="2" t="str">
        <x:f>IF(A204="","",IF(E204&lt;&gt;"sim","Revisar escala",IF(OR(K204&gt;0,L204&gt;0),"Conflito de escala",IF(COUNTIFS('Solicitacoes'!$F$2:$F$501,B204,'Solicitacoes'!$K$2:$K$501,F204,'Solicitacoes'!$I$2:$I$501,"pendente",'Solicitacoes'!$G$2:$G$501,"&lt;"&amp;J204,'Solicitacoes'!$N$2:$N$501,"&gt;"&amp;C204)+COUNTIFS('Solicitacoes'!$F$2:$F$501,B204,'Solicitacoes'!$E$2:$E$501,A204,'Solicitacoes'!$I$2:$I$501,"pendente",'Solicitacoes'!$G$2:$G$501,"&lt;"&amp;J204,'Solicitacoes'!$N$2:$N$501,"&gt;"&amp;C204)+COUNTIFS('Solicitacoes'!$F$2:$F$501,B204,'Solicitacoes'!$K$2:$K$501,F204,'Solicitacoes'!$I$2:$I$501,"confirmado",'Solicitacoes'!$G$2:$G$501,"&lt;"&amp;J204,'Solicitacoes'!$N$2:$N$501,"&gt;"&amp;C204)+COUNTIFS('Solicitacoes'!$F$2:$F$501,B204,'Solicitacoes'!$E$2:$E$501,A204,'Solicitacoes'!$I$2:$I$501,"confirmado",'Solicitacoes'!$G$2:$G$501,"&lt;"&amp;J204,'Solicitacoes'!$N$2:$N$501,"&gt;"&amp;C204)&gt;0,"Ocupado","Disponível"))))</x:f>
        <x:v>Revisar escala</x:v>
      </x:c>
      <x:c r="N204" s="2" t="n">
        <x:f>IF(A204="","",ROW()-1)</x:f>
        <x:v>203</x:v>
      </x:c>
    </x:row>
    <x:row r="205" ht="24" customHeight="1">
      <x:c r="A205" s="13" t="str">
        <x:v>Géssyca Martins</x:v>
      </x:c>
      <x:c r="B205" s="14" t="d">
        <x:v>2026-10-16T00:00:00.000Z</x:v>
      </x:c>
      <x:c r="C205" s="26" t="n">
        <x:v>0.4583333333333333</x:v>
      </x:c>
      <x:c r="D205" s="13" t="str">
        <x:v>presencial</x:v>
      </x:c>
      <x:c r="E205" s="13" t="str">
        <x:v>não</x:v>
      </x:c>
      <x:c r="F205" s="13" t="str">
        <x:v>Sala 2</x:v>
      </x:c>
      <x:c r="G205" s="12" t="n">
        <x:f>IF(A205="","",'Agenda'!$B$5)</x:f>
        <x:v>50</x:v>
      </x:c>
      <x:c r="H205" s="12" t="n">
        <x:f>IF(A205="","",'Agenda'!$B$6)</x:f>
        <x:v>10</x:v>
      </x:c>
      <x:c r="I205" s="24" t="n">
        <x:f>IF(A205="","",C205+G205/1440)</x:f>
        <x:v>0.4930555555555555</x:v>
      </x:c>
      <x:c r="J205" s="24" t="n">
        <x:f>IF(A205="","",C205+(G205+H205)/1440)</x:f>
        <x:v>0.5</x:v>
      </x:c>
      <x:c r="K205" s="27" t="n">
        <x:f>IF(A205="","",IF(E205&lt;&gt;"sim",0,COUNTIFS($B$2:$B$501,B205,$F$2:$F$501,F205,$E$2:$E$501,"sim",$C$2:$C$501,"&lt;"&amp;J205,$J$2:$J$501,"&gt;"&amp;C205)-1))</x:f>
        <x:v>0</x:v>
      </x:c>
      <x:c r="L205" s="27" t="n">
        <x:f>IF(A205="","",IF(E205&lt;&gt;"sim",0,COUNTIFS($B$2:$B$501,B205,$A$2:$A$501,A205,$E$2:$E$501,"sim",$C$2:$C$501,"&lt;"&amp;J205,$J$2:$J$501,"&gt;"&amp;C205)-1))</x:f>
        <x:v>0</x:v>
      </x:c>
      <x:c r="M205" s="2" t="str">
        <x:f>IF(A205="","",IF(E205&lt;&gt;"sim","Revisar escala",IF(OR(K205&gt;0,L205&gt;0),"Conflito de escala",IF(COUNTIFS('Solicitacoes'!$F$2:$F$501,B205,'Solicitacoes'!$K$2:$K$501,F205,'Solicitacoes'!$I$2:$I$501,"pendente",'Solicitacoes'!$G$2:$G$501,"&lt;"&amp;J205,'Solicitacoes'!$N$2:$N$501,"&gt;"&amp;C205)+COUNTIFS('Solicitacoes'!$F$2:$F$501,B205,'Solicitacoes'!$E$2:$E$501,A205,'Solicitacoes'!$I$2:$I$501,"pendente",'Solicitacoes'!$G$2:$G$501,"&lt;"&amp;J205,'Solicitacoes'!$N$2:$N$501,"&gt;"&amp;C205)+COUNTIFS('Solicitacoes'!$F$2:$F$501,B205,'Solicitacoes'!$K$2:$K$501,F205,'Solicitacoes'!$I$2:$I$501,"confirmado",'Solicitacoes'!$G$2:$G$501,"&lt;"&amp;J205,'Solicitacoes'!$N$2:$N$501,"&gt;"&amp;C205)+COUNTIFS('Solicitacoes'!$F$2:$F$501,B205,'Solicitacoes'!$E$2:$E$501,A205,'Solicitacoes'!$I$2:$I$501,"confirmado",'Solicitacoes'!$G$2:$G$501,"&lt;"&amp;J205,'Solicitacoes'!$N$2:$N$501,"&gt;"&amp;C205)&gt;0,"Ocupado","Disponível"))))</x:f>
        <x:v>Revisar escala</x:v>
      </x:c>
      <x:c r="N205" s="2" t="n">
        <x:f>IF(A205="","",ROW()-1)</x:f>
        <x:v>204</x:v>
      </x:c>
    </x:row>
    <x:row r="206" ht="24" customHeight="1">
      <x:c r="A206" s="13" t="str">
        <x:v>Aline Reis</x:v>
      </x:c>
      <x:c r="B206" s="14" t="d">
        <x:v>2026-10-16T00:00:00.000Z</x:v>
      </x:c>
      <x:c r="C206" s="26" t="n">
        <x:v>0.5</x:v>
      </x:c>
      <x:c r="D206" s="13" t="str">
        <x:v>presencial</x:v>
      </x:c>
      <x:c r="E206" s="13" t="str">
        <x:v>não</x:v>
      </x:c>
      <x:c r="F206" s="13" t="str">
        <x:v>Sala 1</x:v>
      </x:c>
      <x:c r="G206" s="12" t="n">
        <x:f>IF(A206="","",'Agenda'!$B$5)</x:f>
        <x:v>50</x:v>
      </x:c>
      <x:c r="H206" s="12" t="n">
        <x:f>IF(A206="","",'Agenda'!$B$6)</x:f>
        <x:v>10</x:v>
      </x:c>
      <x:c r="I206" s="24" t="n">
        <x:f>IF(A206="","",C206+G206/1440)</x:f>
        <x:v>0.5347222222222222</x:v>
      </x:c>
      <x:c r="J206" s="24" t="n">
        <x:f>IF(A206="","",C206+(G206+H206)/1440)</x:f>
        <x:v>0.5416666666666666</x:v>
      </x:c>
      <x:c r="K206" s="27" t="n">
        <x:f>IF(A206="","",IF(E206&lt;&gt;"sim",0,COUNTIFS($B$2:$B$501,B206,$F$2:$F$501,F206,$E$2:$E$501,"sim",$C$2:$C$501,"&lt;"&amp;J206,$J$2:$J$501,"&gt;"&amp;C206)-1))</x:f>
        <x:v>0</x:v>
      </x:c>
      <x:c r="L206" s="27" t="n">
        <x:f>IF(A206="","",IF(E206&lt;&gt;"sim",0,COUNTIFS($B$2:$B$501,B206,$A$2:$A$501,A206,$E$2:$E$501,"sim",$C$2:$C$501,"&lt;"&amp;J206,$J$2:$J$501,"&gt;"&amp;C206)-1))</x:f>
        <x:v>0</x:v>
      </x:c>
      <x:c r="M206" s="2" t="str">
        <x:f>IF(A206="","",IF(E206&lt;&gt;"sim","Revisar escala",IF(OR(K206&gt;0,L206&gt;0),"Conflito de escala",IF(COUNTIFS('Solicitacoes'!$F$2:$F$501,B206,'Solicitacoes'!$K$2:$K$501,F206,'Solicitacoes'!$I$2:$I$501,"pendente",'Solicitacoes'!$G$2:$G$501,"&lt;"&amp;J206,'Solicitacoes'!$N$2:$N$501,"&gt;"&amp;C206)+COUNTIFS('Solicitacoes'!$F$2:$F$501,B206,'Solicitacoes'!$E$2:$E$501,A206,'Solicitacoes'!$I$2:$I$501,"pendente",'Solicitacoes'!$G$2:$G$501,"&lt;"&amp;J206,'Solicitacoes'!$N$2:$N$501,"&gt;"&amp;C206)+COUNTIFS('Solicitacoes'!$F$2:$F$501,B206,'Solicitacoes'!$K$2:$K$501,F206,'Solicitacoes'!$I$2:$I$501,"confirmado",'Solicitacoes'!$G$2:$G$501,"&lt;"&amp;J206,'Solicitacoes'!$N$2:$N$501,"&gt;"&amp;C206)+COUNTIFS('Solicitacoes'!$F$2:$F$501,B206,'Solicitacoes'!$E$2:$E$501,A206,'Solicitacoes'!$I$2:$I$501,"confirmado",'Solicitacoes'!$G$2:$G$501,"&lt;"&amp;J206,'Solicitacoes'!$N$2:$N$501,"&gt;"&amp;C206)&gt;0,"Ocupado","Disponível"))))</x:f>
        <x:v>Revisar escala</x:v>
      </x:c>
      <x:c r="N206" s="2" t="n">
        <x:f>IF(A206="","",ROW()-1)</x:f>
        <x:v>205</x:v>
      </x:c>
    </x:row>
    <x:row r="207" ht="24" customHeight="1">
      <x:c r="A207" s="13" t="str">
        <x:v>Géssyca Martins</x:v>
      </x:c>
      <x:c r="B207" s="14" t="d">
        <x:v>2026-10-16T00:00:00.000Z</x:v>
      </x:c>
      <x:c r="C207" s="26" t="n">
        <x:v>0.5</x:v>
      </x:c>
      <x:c r="D207" s="13" t="str">
        <x:v>presencial</x:v>
      </x:c>
      <x:c r="E207" s="13" t="str">
        <x:v>não</x:v>
      </x:c>
      <x:c r="F207" s="13" t="str">
        <x:v>Sala 2</x:v>
      </x:c>
      <x:c r="G207" s="12" t="n">
        <x:f>IF(A207="","",'Agenda'!$B$5)</x:f>
        <x:v>50</x:v>
      </x:c>
      <x:c r="H207" s="12" t="n">
        <x:f>IF(A207="","",'Agenda'!$B$6)</x:f>
        <x:v>10</x:v>
      </x:c>
      <x:c r="I207" s="24" t="n">
        <x:f>IF(A207="","",C207+G207/1440)</x:f>
        <x:v>0.5347222222222222</x:v>
      </x:c>
      <x:c r="J207" s="24" t="n">
        <x:f>IF(A207="","",C207+(G207+H207)/1440)</x:f>
        <x:v>0.5416666666666666</x:v>
      </x:c>
      <x:c r="K207" s="27" t="n">
        <x:f>IF(A207="","",IF(E207&lt;&gt;"sim",0,COUNTIFS($B$2:$B$501,B207,$F$2:$F$501,F207,$E$2:$E$501,"sim",$C$2:$C$501,"&lt;"&amp;J207,$J$2:$J$501,"&gt;"&amp;C207)-1))</x:f>
        <x:v>0</x:v>
      </x:c>
      <x:c r="L207" s="27" t="n">
        <x:f>IF(A207="","",IF(E207&lt;&gt;"sim",0,COUNTIFS($B$2:$B$501,B207,$A$2:$A$501,A207,$E$2:$E$501,"sim",$C$2:$C$501,"&lt;"&amp;J207,$J$2:$J$501,"&gt;"&amp;C207)-1))</x:f>
        <x:v>0</x:v>
      </x:c>
      <x:c r="M207" s="2" t="str">
        <x:f>IF(A207="","",IF(E207&lt;&gt;"sim","Revisar escala",IF(OR(K207&gt;0,L207&gt;0),"Conflito de escala",IF(COUNTIFS('Solicitacoes'!$F$2:$F$501,B207,'Solicitacoes'!$K$2:$K$501,F207,'Solicitacoes'!$I$2:$I$501,"pendente",'Solicitacoes'!$G$2:$G$501,"&lt;"&amp;J207,'Solicitacoes'!$N$2:$N$501,"&gt;"&amp;C207)+COUNTIFS('Solicitacoes'!$F$2:$F$501,B207,'Solicitacoes'!$E$2:$E$501,A207,'Solicitacoes'!$I$2:$I$501,"pendente",'Solicitacoes'!$G$2:$G$501,"&lt;"&amp;J207,'Solicitacoes'!$N$2:$N$501,"&gt;"&amp;C207)+COUNTIFS('Solicitacoes'!$F$2:$F$501,B207,'Solicitacoes'!$K$2:$K$501,F207,'Solicitacoes'!$I$2:$I$501,"confirmado",'Solicitacoes'!$G$2:$G$501,"&lt;"&amp;J207,'Solicitacoes'!$N$2:$N$501,"&gt;"&amp;C207)+COUNTIFS('Solicitacoes'!$F$2:$F$501,B207,'Solicitacoes'!$E$2:$E$501,A207,'Solicitacoes'!$I$2:$I$501,"confirmado",'Solicitacoes'!$G$2:$G$501,"&lt;"&amp;J207,'Solicitacoes'!$N$2:$N$501,"&gt;"&amp;C207)&gt;0,"Ocupado","Disponível"))))</x:f>
        <x:v>Revisar escala</x:v>
      </x:c>
      <x:c r="N207" s="2" t="n">
        <x:f>IF(A207="","",ROW()-1)</x:f>
        <x:v>206</x:v>
      </x:c>
    </x:row>
    <x:row r="208" ht="24" customHeight="1">
      <x:c r="A208" s="13" t="str">
        <x:v>Aline Reis</x:v>
      </x:c>
      <x:c r="B208" s="14" t="d">
        <x:v>2026-10-16T00:00:00.000Z</x:v>
      </x:c>
      <x:c r="C208" s="26" t="n">
        <x:v>0.5416666666666666</x:v>
      </x:c>
      <x:c r="D208" s="13" t="str">
        <x:v>presencial</x:v>
      </x:c>
      <x:c r="E208" s="13" t="str">
        <x:v>não</x:v>
      </x:c>
      <x:c r="F208" s="13" t="str">
        <x:v>Sala 1</x:v>
      </x:c>
      <x:c r="G208" s="12" t="n">
        <x:f>IF(A208="","",'Agenda'!$B$5)</x:f>
        <x:v>50</x:v>
      </x:c>
      <x:c r="H208" s="12" t="n">
        <x:f>IF(A208="","",'Agenda'!$B$6)</x:f>
        <x:v>10</x:v>
      </x:c>
      <x:c r="I208" s="24" t="n">
        <x:f>IF(A208="","",C208+G208/1440)</x:f>
        <x:v>0.5763888888888888</x:v>
      </x:c>
      <x:c r="J208" s="24" t="n">
        <x:f>IF(A208="","",C208+(G208+H208)/1440)</x:f>
        <x:v>0.5833333333333333</x:v>
      </x:c>
      <x:c r="K208" s="27" t="n">
        <x:f>IF(A208="","",IF(E208&lt;&gt;"sim",0,COUNTIFS($B$2:$B$501,B208,$F$2:$F$501,F208,$E$2:$E$501,"sim",$C$2:$C$501,"&lt;"&amp;J208,$J$2:$J$501,"&gt;"&amp;C208)-1))</x:f>
        <x:v>0</x:v>
      </x:c>
      <x:c r="L208" s="27" t="n">
        <x:f>IF(A208="","",IF(E208&lt;&gt;"sim",0,COUNTIFS($B$2:$B$501,B208,$A$2:$A$501,A208,$E$2:$E$501,"sim",$C$2:$C$501,"&lt;"&amp;J208,$J$2:$J$501,"&gt;"&amp;C208)-1))</x:f>
        <x:v>0</x:v>
      </x:c>
      <x:c r="M208" s="2" t="str">
        <x:f>IF(A208="","",IF(E208&lt;&gt;"sim","Revisar escala",IF(OR(K208&gt;0,L208&gt;0),"Conflito de escala",IF(COUNTIFS('Solicitacoes'!$F$2:$F$501,B208,'Solicitacoes'!$K$2:$K$501,F208,'Solicitacoes'!$I$2:$I$501,"pendente",'Solicitacoes'!$G$2:$G$501,"&lt;"&amp;J208,'Solicitacoes'!$N$2:$N$501,"&gt;"&amp;C208)+COUNTIFS('Solicitacoes'!$F$2:$F$501,B208,'Solicitacoes'!$E$2:$E$501,A208,'Solicitacoes'!$I$2:$I$501,"pendente",'Solicitacoes'!$G$2:$G$501,"&lt;"&amp;J208,'Solicitacoes'!$N$2:$N$501,"&gt;"&amp;C208)+COUNTIFS('Solicitacoes'!$F$2:$F$501,B208,'Solicitacoes'!$K$2:$K$501,F208,'Solicitacoes'!$I$2:$I$501,"confirmado",'Solicitacoes'!$G$2:$G$501,"&lt;"&amp;J208,'Solicitacoes'!$N$2:$N$501,"&gt;"&amp;C208)+COUNTIFS('Solicitacoes'!$F$2:$F$501,B208,'Solicitacoes'!$E$2:$E$501,A208,'Solicitacoes'!$I$2:$I$501,"confirmado",'Solicitacoes'!$G$2:$G$501,"&lt;"&amp;J208,'Solicitacoes'!$N$2:$N$501,"&gt;"&amp;C208)&gt;0,"Ocupado","Disponível"))))</x:f>
        <x:v>Revisar escala</x:v>
      </x:c>
      <x:c r="N208" s="2" t="n">
        <x:f>IF(A208="","",ROW()-1)</x:f>
        <x:v>207</x:v>
      </x:c>
    </x:row>
    <x:row r="209" ht="24" customHeight="1">
      <x:c r="A209" s="13" t="str">
        <x:v>Géssyca Martins</x:v>
      </x:c>
      <x:c r="B209" s="14" t="d">
        <x:v>2026-10-16T00:00:00.000Z</x:v>
      </x:c>
      <x:c r="C209" s="26" t="n">
        <x:v>0.5416666666666666</x:v>
      </x:c>
      <x:c r="D209" s="13" t="str">
        <x:v>presencial</x:v>
      </x:c>
      <x:c r="E209" s="13" t="str">
        <x:v>não</x:v>
      </x:c>
      <x:c r="F209" s="13" t="str">
        <x:v>Sala 2</x:v>
      </x:c>
      <x:c r="G209" s="12" t="n">
        <x:f>IF(A209="","",'Agenda'!$B$5)</x:f>
        <x:v>50</x:v>
      </x:c>
      <x:c r="H209" s="12" t="n">
        <x:f>IF(A209="","",'Agenda'!$B$6)</x:f>
        <x:v>10</x:v>
      </x:c>
      <x:c r="I209" s="24" t="n">
        <x:f>IF(A209="","",C209+G209/1440)</x:f>
        <x:v>0.5763888888888888</x:v>
      </x:c>
      <x:c r="J209" s="24" t="n">
        <x:f>IF(A209="","",C209+(G209+H209)/1440)</x:f>
        <x:v>0.5833333333333333</x:v>
      </x:c>
      <x:c r="K209" s="27" t="n">
        <x:f>IF(A209="","",IF(E209&lt;&gt;"sim",0,COUNTIFS($B$2:$B$501,B209,$F$2:$F$501,F209,$E$2:$E$501,"sim",$C$2:$C$501,"&lt;"&amp;J209,$J$2:$J$501,"&gt;"&amp;C209)-1))</x:f>
        <x:v>0</x:v>
      </x:c>
      <x:c r="L209" s="27" t="n">
        <x:f>IF(A209="","",IF(E209&lt;&gt;"sim",0,COUNTIFS($B$2:$B$501,B209,$A$2:$A$501,A209,$E$2:$E$501,"sim",$C$2:$C$501,"&lt;"&amp;J209,$J$2:$J$501,"&gt;"&amp;C209)-1))</x:f>
        <x:v>0</x:v>
      </x:c>
      <x:c r="M209" s="2" t="str">
        <x:f>IF(A209="","",IF(E209&lt;&gt;"sim","Revisar escala",IF(OR(K209&gt;0,L209&gt;0),"Conflito de escala",IF(COUNTIFS('Solicitacoes'!$F$2:$F$501,B209,'Solicitacoes'!$K$2:$K$501,F209,'Solicitacoes'!$I$2:$I$501,"pendente",'Solicitacoes'!$G$2:$G$501,"&lt;"&amp;J209,'Solicitacoes'!$N$2:$N$501,"&gt;"&amp;C209)+COUNTIFS('Solicitacoes'!$F$2:$F$501,B209,'Solicitacoes'!$E$2:$E$501,A209,'Solicitacoes'!$I$2:$I$501,"pendente",'Solicitacoes'!$G$2:$G$501,"&lt;"&amp;J209,'Solicitacoes'!$N$2:$N$501,"&gt;"&amp;C209)+COUNTIFS('Solicitacoes'!$F$2:$F$501,B209,'Solicitacoes'!$K$2:$K$501,F209,'Solicitacoes'!$I$2:$I$501,"confirmado",'Solicitacoes'!$G$2:$G$501,"&lt;"&amp;J209,'Solicitacoes'!$N$2:$N$501,"&gt;"&amp;C209)+COUNTIFS('Solicitacoes'!$F$2:$F$501,B209,'Solicitacoes'!$E$2:$E$501,A209,'Solicitacoes'!$I$2:$I$501,"confirmado",'Solicitacoes'!$G$2:$G$501,"&lt;"&amp;J209,'Solicitacoes'!$N$2:$N$501,"&gt;"&amp;C209)&gt;0,"Ocupado","Disponível"))))</x:f>
        <x:v>Revisar escala</x:v>
      </x:c>
      <x:c r="N209" s="2" t="n">
        <x:f>IF(A209="","",ROW()-1)</x:f>
        <x:v>208</x:v>
      </x:c>
    </x:row>
    <x:row r="210" ht="24" customHeight="1">
      <x:c r="A210" s="13" t="str">
        <x:v>Laura Casanova</x:v>
      </x:c>
      <x:c r="B210" s="14" t="d">
        <x:v>2026-10-16T00:00:00.000Z</x:v>
      </x:c>
      <x:c r="C210" s="26" t="n">
        <x:v>0.5833333333333334</x:v>
      </x:c>
      <x:c r="D210" s="13" t="str">
        <x:v>presencial</x:v>
      </x:c>
      <x:c r="E210" s="13" t="str">
        <x:v>não</x:v>
      </x:c>
      <x:c r="F210" s="13" t="str">
        <x:v>Sala 1</x:v>
      </x:c>
      <x:c r="G210" s="12" t="n">
        <x:f>IF(A210="","",'Agenda'!$B$5)</x:f>
        <x:v>50</x:v>
      </x:c>
      <x:c r="H210" s="12" t="n">
        <x:f>IF(A210="","",'Agenda'!$B$6)</x:f>
        <x:v>10</x:v>
      </x:c>
      <x:c r="I210" s="24" t="n">
        <x:f>IF(A210="","",C210+G210/1440)</x:f>
        <x:v>0.6180555555555556</x:v>
      </x:c>
      <x:c r="J210" s="24" t="n">
        <x:f>IF(A210="","",C210+(G210+H210)/1440)</x:f>
        <x:v>0.625</x:v>
      </x:c>
      <x:c r="K210" s="27" t="n">
        <x:f>IF(A210="","",IF(E210&lt;&gt;"sim",0,COUNTIFS($B$2:$B$501,B210,$F$2:$F$501,F210,$E$2:$E$501,"sim",$C$2:$C$501,"&lt;"&amp;J210,$J$2:$J$501,"&gt;"&amp;C210)-1))</x:f>
        <x:v>0</x:v>
      </x:c>
      <x:c r="L210" s="27" t="n">
        <x:f>IF(A210="","",IF(E210&lt;&gt;"sim",0,COUNTIFS($B$2:$B$501,B210,$A$2:$A$501,A210,$E$2:$E$501,"sim",$C$2:$C$501,"&lt;"&amp;J210,$J$2:$J$501,"&gt;"&amp;C210)-1))</x:f>
        <x:v>0</x:v>
      </x:c>
      <x:c r="M210" s="2" t="str">
        <x:f>IF(A210="","",IF(E210&lt;&gt;"sim","Revisar escala",IF(OR(K210&gt;0,L210&gt;0),"Conflito de escala",IF(COUNTIFS('Solicitacoes'!$F$2:$F$501,B210,'Solicitacoes'!$K$2:$K$501,F210,'Solicitacoes'!$I$2:$I$501,"pendente",'Solicitacoes'!$G$2:$G$501,"&lt;"&amp;J210,'Solicitacoes'!$N$2:$N$501,"&gt;"&amp;C210)+COUNTIFS('Solicitacoes'!$F$2:$F$501,B210,'Solicitacoes'!$E$2:$E$501,A210,'Solicitacoes'!$I$2:$I$501,"pendente",'Solicitacoes'!$G$2:$G$501,"&lt;"&amp;J210,'Solicitacoes'!$N$2:$N$501,"&gt;"&amp;C210)+COUNTIFS('Solicitacoes'!$F$2:$F$501,B210,'Solicitacoes'!$K$2:$K$501,F210,'Solicitacoes'!$I$2:$I$501,"confirmado",'Solicitacoes'!$G$2:$G$501,"&lt;"&amp;J210,'Solicitacoes'!$N$2:$N$501,"&gt;"&amp;C210)+COUNTIFS('Solicitacoes'!$F$2:$F$501,B210,'Solicitacoes'!$E$2:$E$501,A210,'Solicitacoes'!$I$2:$I$501,"confirmado",'Solicitacoes'!$G$2:$G$501,"&lt;"&amp;J210,'Solicitacoes'!$N$2:$N$501,"&gt;"&amp;C210)&gt;0,"Ocupado","Disponível"))))</x:f>
        <x:v>Revisar escala</x:v>
      </x:c>
      <x:c r="N210" s="2" t="n">
        <x:f>IF(A210="","",ROW()-1)</x:f>
        <x:v>209</x:v>
      </x:c>
    </x:row>
    <x:row r="211" ht="24" customHeight="1">
      <x:c r="A211" s="13" t="str">
        <x:v>Aline Reis</x:v>
      </x:c>
      <x:c r="B211" s="14" t="d">
        <x:v>2026-10-16T00:00:00.000Z</x:v>
      </x:c>
      <x:c r="C211" s="26" t="n">
        <x:v>0.5833333333333334</x:v>
      </x:c>
      <x:c r="D211" s="13" t="str">
        <x:v>presencial</x:v>
      </x:c>
      <x:c r="E211" s="13" t="str">
        <x:v>não</x:v>
      </x:c>
      <x:c r="F211" s="13" t="str">
        <x:v>Sala 2</x:v>
      </x:c>
      <x:c r="G211" s="12" t="n">
        <x:f>IF(A211="","",'Agenda'!$B$5)</x:f>
        <x:v>50</x:v>
      </x:c>
      <x:c r="H211" s="12" t="n">
        <x:f>IF(A211="","",'Agenda'!$B$6)</x:f>
        <x:v>10</x:v>
      </x:c>
      <x:c r="I211" s="24" t="n">
        <x:f>IF(A211="","",C211+G211/1440)</x:f>
        <x:v>0.6180555555555556</x:v>
      </x:c>
      <x:c r="J211" s="24" t="n">
        <x:f>IF(A211="","",C211+(G211+H211)/1440)</x:f>
        <x:v>0.625</x:v>
      </x:c>
      <x:c r="K211" s="27" t="n">
        <x:f>IF(A211="","",IF(E211&lt;&gt;"sim",0,COUNTIFS($B$2:$B$501,B211,$F$2:$F$501,F211,$E$2:$E$501,"sim",$C$2:$C$501,"&lt;"&amp;J211,$J$2:$J$501,"&gt;"&amp;C211)-1))</x:f>
        <x:v>0</x:v>
      </x:c>
      <x:c r="L211" s="27" t="n">
        <x:f>IF(A211="","",IF(E211&lt;&gt;"sim",0,COUNTIFS($B$2:$B$501,B211,$A$2:$A$501,A211,$E$2:$E$501,"sim",$C$2:$C$501,"&lt;"&amp;J211,$J$2:$J$501,"&gt;"&amp;C211)-1))</x:f>
        <x:v>0</x:v>
      </x:c>
      <x:c r="M211" s="2" t="str">
        <x:f>IF(A211="","",IF(E211&lt;&gt;"sim","Revisar escala",IF(OR(K211&gt;0,L211&gt;0),"Conflito de escala",IF(COUNTIFS('Solicitacoes'!$F$2:$F$501,B211,'Solicitacoes'!$K$2:$K$501,F211,'Solicitacoes'!$I$2:$I$501,"pendente",'Solicitacoes'!$G$2:$G$501,"&lt;"&amp;J211,'Solicitacoes'!$N$2:$N$501,"&gt;"&amp;C211)+COUNTIFS('Solicitacoes'!$F$2:$F$501,B211,'Solicitacoes'!$E$2:$E$501,A211,'Solicitacoes'!$I$2:$I$501,"pendente",'Solicitacoes'!$G$2:$G$501,"&lt;"&amp;J211,'Solicitacoes'!$N$2:$N$501,"&gt;"&amp;C211)+COUNTIFS('Solicitacoes'!$F$2:$F$501,B211,'Solicitacoes'!$K$2:$K$501,F211,'Solicitacoes'!$I$2:$I$501,"confirmado",'Solicitacoes'!$G$2:$G$501,"&lt;"&amp;J211,'Solicitacoes'!$N$2:$N$501,"&gt;"&amp;C211)+COUNTIFS('Solicitacoes'!$F$2:$F$501,B211,'Solicitacoes'!$E$2:$E$501,A211,'Solicitacoes'!$I$2:$I$501,"confirmado",'Solicitacoes'!$G$2:$G$501,"&lt;"&amp;J211,'Solicitacoes'!$N$2:$N$501,"&gt;"&amp;C211)&gt;0,"Ocupado","Disponível"))))</x:f>
        <x:v>Revisar escala</x:v>
      </x:c>
      <x:c r="N211" s="2" t="n">
        <x:f>IF(A211="","",ROW()-1)</x:f>
        <x:v>210</x:v>
      </x:c>
    </x:row>
    <x:row r="212" ht="24" customHeight="1">
      <x:c r="A212" s="13" t="str">
        <x:v>Laura Casanova</x:v>
      </x:c>
      <x:c r="B212" s="14" t="d">
        <x:v>2026-10-16T00:00:00.000Z</x:v>
      </x:c>
      <x:c r="C212" s="26" t="n">
        <x:v>0.625</x:v>
      </x:c>
      <x:c r="D212" s="13" t="str">
        <x:v>presencial</x:v>
      </x:c>
      <x:c r="E212" s="13" t="str">
        <x:v>não</x:v>
      </x:c>
      <x:c r="F212" s="13" t="str">
        <x:v>Sala 1</x:v>
      </x:c>
      <x:c r="G212" s="12" t="n">
        <x:f>IF(A212="","",'Agenda'!$B$5)</x:f>
        <x:v>50</x:v>
      </x:c>
      <x:c r="H212" s="12" t="n">
        <x:f>IF(A212="","",'Agenda'!$B$6)</x:f>
        <x:v>10</x:v>
      </x:c>
      <x:c r="I212" s="24" t="n">
        <x:f>IF(A212="","",C212+G212/1440)</x:f>
        <x:v>0.6597222222222222</x:v>
      </x:c>
      <x:c r="J212" s="24" t="n">
        <x:f>IF(A212="","",C212+(G212+H212)/1440)</x:f>
        <x:v>0.6666666666666666</x:v>
      </x:c>
      <x:c r="K212" s="27" t="n">
        <x:f>IF(A212="","",IF(E212&lt;&gt;"sim",0,COUNTIFS($B$2:$B$501,B212,$F$2:$F$501,F212,$E$2:$E$501,"sim",$C$2:$C$501,"&lt;"&amp;J212,$J$2:$J$501,"&gt;"&amp;C212)-1))</x:f>
        <x:v>0</x:v>
      </x:c>
      <x:c r="L212" s="27" t="n">
        <x:f>IF(A212="","",IF(E212&lt;&gt;"sim",0,COUNTIFS($B$2:$B$501,B212,$A$2:$A$501,A212,$E$2:$E$501,"sim",$C$2:$C$501,"&lt;"&amp;J212,$J$2:$J$501,"&gt;"&amp;C212)-1))</x:f>
        <x:v>0</x:v>
      </x:c>
      <x:c r="M212" s="2" t="str">
        <x:f>IF(A212="","",IF(E212&lt;&gt;"sim","Revisar escala",IF(OR(K212&gt;0,L212&gt;0),"Conflito de escala",IF(COUNTIFS('Solicitacoes'!$F$2:$F$501,B212,'Solicitacoes'!$K$2:$K$501,F212,'Solicitacoes'!$I$2:$I$501,"pendente",'Solicitacoes'!$G$2:$G$501,"&lt;"&amp;J212,'Solicitacoes'!$N$2:$N$501,"&gt;"&amp;C212)+COUNTIFS('Solicitacoes'!$F$2:$F$501,B212,'Solicitacoes'!$E$2:$E$501,A212,'Solicitacoes'!$I$2:$I$501,"pendente",'Solicitacoes'!$G$2:$G$501,"&lt;"&amp;J212,'Solicitacoes'!$N$2:$N$501,"&gt;"&amp;C212)+COUNTIFS('Solicitacoes'!$F$2:$F$501,B212,'Solicitacoes'!$K$2:$K$501,F212,'Solicitacoes'!$I$2:$I$501,"confirmado",'Solicitacoes'!$G$2:$G$501,"&lt;"&amp;J212,'Solicitacoes'!$N$2:$N$501,"&gt;"&amp;C212)+COUNTIFS('Solicitacoes'!$F$2:$F$501,B212,'Solicitacoes'!$E$2:$E$501,A212,'Solicitacoes'!$I$2:$I$501,"confirmado",'Solicitacoes'!$G$2:$G$501,"&lt;"&amp;J212,'Solicitacoes'!$N$2:$N$501,"&gt;"&amp;C212)&gt;0,"Ocupado","Disponível"))))</x:f>
        <x:v>Revisar escala</x:v>
      </x:c>
      <x:c r="N212" s="2" t="n">
        <x:f>IF(A212="","",ROW()-1)</x:f>
        <x:v>211</x:v>
      </x:c>
    </x:row>
    <x:row r="213" ht="24" customHeight="1">
      <x:c r="A213" s="13" t="str">
        <x:v>Aline Reis</x:v>
      </x:c>
      <x:c r="B213" s="14" t="d">
        <x:v>2026-10-16T00:00:00.000Z</x:v>
      </x:c>
      <x:c r="C213" s="26" t="n">
        <x:v>0.625</x:v>
      </x:c>
      <x:c r="D213" s="13" t="str">
        <x:v>presencial</x:v>
      </x:c>
      <x:c r="E213" s="13" t="str">
        <x:v>não</x:v>
      </x:c>
      <x:c r="F213" s="13" t="str">
        <x:v>Sala 2</x:v>
      </x:c>
      <x:c r="G213" s="12" t="n">
        <x:f>IF(A213="","",'Agenda'!$B$5)</x:f>
        <x:v>50</x:v>
      </x:c>
      <x:c r="H213" s="12" t="n">
        <x:f>IF(A213="","",'Agenda'!$B$6)</x:f>
        <x:v>10</x:v>
      </x:c>
      <x:c r="I213" s="24" t="n">
        <x:f>IF(A213="","",C213+G213/1440)</x:f>
        <x:v>0.6597222222222222</x:v>
      </x:c>
      <x:c r="J213" s="24" t="n">
        <x:f>IF(A213="","",C213+(G213+H213)/1440)</x:f>
        <x:v>0.6666666666666666</x:v>
      </x:c>
      <x:c r="K213" s="27" t="n">
        <x:f>IF(A213="","",IF(E213&lt;&gt;"sim",0,COUNTIFS($B$2:$B$501,B213,$F$2:$F$501,F213,$E$2:$E$501,"sim",$C$2:$C$501,"&lt;"&amp;J213,$J$2:$J$501,"&gt;"&amp;C213)-1))</x:f>
        <x:v>0</x:v>
      </x:c>
      <x:c r="L213" s="27" t="n">
        <x:f>IF(A213="","",IF(E213&lt;&gt;"sim",0,COUNTIFS($B$2:$B$501,B213,$A$2:$A$501,A213,$E$2:$E$501,"sim",$C$2:$C$501,"&lt;"&amp;J213,$J$2:$J$501,"&gt;"&amp;C213)-1))</x:f>
        <x:v>0</x:v>
      </x:c>
      <x:c r="M213" s="2" t="str">
        <x:f>IF(A213="","",IF(E213&lt;&gt;"sim","Revisar escala",IF(OR(K213&gt;0,L213&gt;0),"Conflito de escala",IF(COUNTIFS('Solicitacoes'!$F$2:$F$501,B213,'Solicitacoes'!$K$2:$K$501,F213,'Solicitacoes'!$I$2:$I$501,"pendente",'Solicitacoes'!$G$2:$G$501,"&lt;"&amp;J213,'Solicitacoes'!$N$2:$N$501,"&gt;"&amp;C213)+COUNTIFS('Solicitacoes'!$F$2:$F$501,B213,'Solicitacoes'!$E$2:$E$501,A213,'Solicitacoes'!$I$2:$I$501,"pendente",'Solicitacoes'!$G$2:$G$501,"&lt;"&amp;J213,'Solicitacoes'!$N$2:$N$501,"&gt;"&amp;C213)+COUNTIFS('Solicitacoes'!$F$2:$F$501,B213,'Solicitacoes'!$K$2:$K$501,F213,'Solicitacoes'!$I$2:$I$501,"confirmado",'Solicitacoes'!$G$2:$G$501,"&lt;"&amp;J213,'Solicitacoes'!$N$2:$N$501,"&gt;"&amp;C213)+COUNTIFS('Solicitacoes'!$F$2:$F$501,B213,'Solicitacoes'!$E$2:$E$501,A213,'Solicitacoes'!$I$2:$I$501,"confirmado",'Solicitacoes'!$G$2:$G$501,"&lt;"&amp;J213,'Solicitacoes'!$N$2:$N$501,"&gt;"&amp;C213)&gt;0,"Ocupado","Disponível"))))</x:f>
        <x:v>Revisar escala</x:v>
      </x:c>
      <x:c r="N213" s="2" t="n">
        <x:f>IF(A213="","",ROW()-1)</x:f>
        <x:v>212</x:v>
      </x:c>
    </x:row>
    <x:row r="214" ht="24" customHeight="1">
      <x:c r="A214" s="13" t="str">
        <x:v>Laura Casanova</x:v>
      </x:c>
      <x:c r="B214" s="14" t="d">
        <x:v>2026-10-16T00:00:00.000Z</x:v>
      </x:c>
      <x:c r="C214" s="26" t="n">
        <x:v>0.6666666666666666</x:v>
      </x:c>
      <x:c r="D214" s="13" t="str">
        <x:v>presencial</x:v>
      </x:c>
      <x:c r="E214" s="13" t="str">
        <x:v>não</x:v>
      </x:c>
      <x:c r="F214" s="13" t="str">
        <x:v>Sala 1</x:v>
      </x:c>
      <x:c r="G214" s="12" t="n">
        <x:f>IF(A214="","",'Agenda'!$B$5)</x:f>
        <x:v>50</x:v>
      </x:c>
      <x:c r="H214" s="12" t="n">
        <x:f>IF(A214="","",'Agenda'!$B$6)</x:f>
        <x:v>10</x:v>
      </x:c>
      <x:c r="I214" s="24" t="n">
        <x:f>IF(A214="","",C214+G214/1440)</x:f>
        <x:v>0.7013888888888888</x:v>
      </x:c>
      <x:c r="J214" s="24" t="n">
        <x:f>IF(A214="","",C214+(G214+H214)/1440)</x:f>
        <x:v>0.7083333333333333</x:v>
      </x:c>
      <x:c r="K214" s="27" t="n">
        <x:f>IF(A214="","",IF(E214&lt;&gt;"sim",0,COUNTIFS($B$2:$B$501,B214,$F$2:$F$501,F214,$E$2:$E$501,"sim",$C$2:$C$501,"&lt;"&amp;J214,$J$2:$J$501,"&gt;"&amp;C214)-1))</x:f>
        <x:v>0</x:v>
      </x:c>
      <x:c r="L214" s="27" t="n">
        <x:f>IF(A214="","",IF(E214&lt;&gt;"sim",0,COUNTIFS($B$2:$B$501,B214,$A$2:$A$501,A214,$E$2:$E$501,"sim",$C$2:$C$501,"&lt;"&amp;J214,$J$2:$J$501,"&gt;"&amp;C214)-1))</x:f>
        <x:v>0</x:v>
      </x:c>
      <x:c r="M214" s="2" t="str">
        <x:f>IF(A214="","",IF(E214&lt;&gt;"sim","Revisar escala",IF(OR(K214&gt;0,L214&gt;0),"Conflito de escala",IF(COUNTIFS('Solicitacoes'!$F$2:$F$501,B214,'Solicitacoes'!$K$2:$K$501,F214,'Solicitacoes'!$I$2:$I$501,"pendente",'Solicitacoes'!$G$2:$G$501,"&lt;"&amp;J214,'Solicitacoes'!$N$2:$N$501,"&gt;"&amp;C214)+COUNTIFS('Solicitacoes'!$F$2:$F$501,B214,'Solicitacoes'!$E$2:$E$501,A214,'Solicitacoes'!$I$2:$I$501,"pendente",'Solicitacoes'!$G$2:$G$501,"&lt;"&amp;J214,'Solicitacoes'!$N$2:$N$501,"&gt;"&amp;C214)+COUNTIFS('Solicitacoes'!$F$2:$F$501,B214,'Solicitacoes'!$K$2:$K$501,F214,'Solicitacoes'!$I$2:$I$501,"confirmado",'Solicitacoes'!$G$2:$G$501,"&lt;"&amp;J214,'Solicitacoes'!$N$2:$N$501,"&gt;"&amp;C214)+COUNTIFS('Solicitacoes'!$F$2:$F$501,B214,'Solicitacoes'!$E$2:$E$501,A214,'Solicitacoes'!$I$2:$I$501,"confirmado",'Solicitacoes'!$G$2:$G$501,"&lt;"&amp;J214,'Solicitacoes'!$N$2:$N$501,"&gt;"&amp;C214)&gt;0,"Ocupado","Disponível"))))</x:f>
        <x:v>Revisar escala</x:v>
      </x:c>
      <x:c r="N214" s="2" t="n">
        <x:f>IF(A214="","",ROW()-1)</x:f>
        <x:v>213</x:v>
      </x:c>
    </x:row>
    <x:row r="215" ht="24" customHeight="1">
      <x:c r="A215" s="13" t="str">
        <x:v>Aline Reis</x:v>
      </x:c>
      <x:c r="B215" s="14" t="d">
        <x:v>2026-10-16T00:00:00.000Z</x:v>
      </x:c>
      <x:c r="C215" s="26" t="n">
        <x:v>0.6666666666666666</x:v>
      </x:c>
      <x:c r="D215" s="13" t="str">
        <x:v>presencial</x:v>
      </x:c>
      <x:c r="E215" s="13" t="str">
        <x:v>não</x:v>
      </x:c>
      <x:c r="F215" s="13" t="str">
        <x:v>Sala 2</x:v>
      </x:c>
      <x:c r="G215" s="12" t="n">
        <x:f>IF(A215="","",'Agenda'!$B$5)</x:f>
        <x:v>50</x:v>
      </x:c>
      <x:c r="H215" s="12" t="n">
        <x:f>IF(A215="","",'Agenda'!$B$6)</x:f>
        <x:v>10</x:v>
      </x:c>
      <x:c r="I215" s="24" t="n">
        <x:f>IF(A215="","",C215+G215/1440)</x:f>
        <x:v>0.7013888888888888</x:v>
      </x:c>
      <x:c r="J215" s="24" t="n">
        <x:f>IF(A215="","",C215+(G215+H215)/1440)</x:f>
        <x:v>0.7083333333333333</x:v>
      </x:c>
      <x:c r="K215" s="27" t="n">
        <x:f>IF(A215="","",IF(E215&lt;&gt;"sim",0,COUNTIFS($B$2:$B$501,B215,$F$2:$F$501,F215,$E$2:$E$501,"sim",$C$2:$C$501,"&lt;"&amp;J215,$J$2:$J$501,"&gt;"&amp;C215)-1))</x:f>
        <x:v>0</x:v>
      </x:c>
      <x:c r="L215" s="27" t="n">
        <x:f>IF(A215="","",IF(E215&lt;&gt;"sim",0,COUNTIFS($B$2:$B$501,B215,$A$2:$A$501,A215,$E$2:$E$501,"sim",$C$2:$C$501,"&lt;"&amp;J215,$J$2:$J$501,"&gt;"&amp;C215)-1))</x:f>
        <x:v>0</x:v>
      </x:c>
      <x:c r="M215" s="2" t="str">
        <x:f>IF(A215="","",IF(E215&lt;&gt;"sim","Revisar escala",IF(OR(K215&gt;0,L215&gt;0),"Conflito de escala",IF(COUNTIFS('Solicitacoes'!$F$2:$F$501,B215,'Solicitacoes'!$K$2:$K$501,F215,'Solicitacoes'!$I$2:$I$501,"pendente",'Solicitacoes'!$G$2:$G$501,"&lt;"&amp;J215,'Solicitacoes'!$N$2:$N$501,"&gt;"&amp;C215)+COUNTIFS('Solicitacoes'!$F$2:$F$501,B215,'Solicitacoes'!$E$2:$E$501,A215,'Solicitacoes'!$I$2:$I$501,"pendente",'Solicitacoes'!$G$2:$G$501,"&lt;"&amp;J215,'Solicitacoes'!$N$2:$N$501,"&gt;"&amp;C215)+COUNTIFS('Solicitacoes'!$F$2:$F$501,B215,'Solicitacoes'!$K$2:$K$501,F215,'Solicitacoes'!$I$2:$I$501,"confirmado",'Solicitacoes'!$G$2:$G$501,"&lt;"&amp;J215,'Solicitacoes'!$N$2:$N$501,"&gt;"&amp;C215)+COUNTIFS('Solicitacoes'!$F$2:$F$501,B215,'Solicitacoes'!$E$2:$E$501,A215,'Solicitacoes'!$I$2:$I$501,"confirmado",'Solicitacoes'!$G$2:$G$501,"&lt;"&amp;J215,'Solicitacoes'!$N$2:$N$501,"&gt;"&amp;C215)&gt;0,"Ocupado","Disponível"))))</x:f>
        <x:v>Revisar escala</x:v>
      </x:c>
      <x:c r="N215" s="2" t="n">
        <x:f>IF(A215="","",ROW()-1)</x:f>
        <x:v>214</x:v>
      </x:c>
    </x:row>
    <x:row r="216" ht="24" customHeight="1">
      <x:c r="A216" s="13" t="str">
        <x:v>Laura Casanova</x:v>
      </x:c>
      <x:c r="B216" s="14" t="d">
        <x:v>2026-10-16T00:00:00.000Z</x:v>
      </x:c>
      <x:c r="C216" s="26" t="n">
        <x:v>0.7083333333333334</x:v>
      </x:c>
      <x:c r="D216" s="13" t="str">
        <x:v>presencial</x:v>
      </x:c>
      <x:c r="E216" s="13" t="str">
        <x:v>não</x:v>
      </x:c>
      <x:c r="F216" s="13" t="str">
        <x:v>Sala 1</x:v>
      </x:c>
      <x:c r="G216" s="12" t="n">
        <x:f>IF(A216="","",'Agenda'!$B$5)</x:f>
        <x:v>50</x:v>
      </x:c>
      <x:c r="H216" s="12" t="n">
        <x:f>IF(A216="","",'Agenda'!$B$6)</x:f>
        <x:v>10</x:v>
      </x:c>
      <x:c r="I216" s="24" t="n">
        <x:f>IF(A216="","",C216+G216/1440)</x:f>
        <x:v>0.7430555555555556</x:v>
      </x:c>
      <x:c r="J216" s="24" t="n">
        <x:f>IF(A216="","",C216+(G216+H216)/1440)</x:f>
        <x:v>0.75</x:v>
      </x:c>
      <x:c r="K216" s="27" t="n">
        <x:f>IF(A216="","",IF(E216&lt;&gt;"sim",0,COUNTIFS($B$2:$B$501,B216,$F$2:$F$501,F216,$E$2:$E$501,"sim",$C$2:$C$501,"&lt;"&amp;J216,$J$2:$J$501,"&gt;"&amp;C216)-1))</x:f>
        <x:v>0</x:v>
      </x:c>
      <x:c r="L216" s="27" t="n">
        <x:f>IF(A216="","",IF(E216&lt;&gt;"sim",0,COUNTIFS($B$2:$B$501,B216,$A$2:$A$501,A216,$E$2:$E$501,"sim",$C$2:$C$501,"&lt;"&amp;J216,$J$2:$J$501,"&gt;"&amp;C216)-1))</x:f>
        <x:v>0</x:v>
      </x:c>
      <x:c r="M216" s="2" t="str">
        <x:f>IF(A216="","",IF(E216&lt;&gt;"sim","Revisar escala",IF(OR(K216&gt;0,L216&gt;0),"Conflito de escala",IF(COUNTIFS('Solicitacoes'!$F$2:$F$501,B216,'Solicitacoes'!$K$2:$K$501,F216,'Solicitacoes'!$I$2:$I$501,"pendente",'Solicitacoes'!$G$2:$G$501,"&lt;"&amp;J216,'Solicitacoes'!$N$2:$N$501,"&gt;"&amp;C216)+COUNTIFS('Solicitacoes'!$F$2:$F$501,B216,'Solicitacoes'!$E$2:$E$501,A216,'Solicitacoes'!$I$2:$I$501,"pendente",'Solicitacoes'!$G$2:$G$501,"&lt;"&amp;J216,'Solicitacoes'!$N$2:$N$501,"&gt;"&amp;C216)+COUNTIFS('Solicitacoes'!$F$2:$F$501,B216,'Solicitacoes'!$K$2:$K$501,F216,'Solicitacoes'!$I$2:$I$501,"confirmado",'Solicitacoes'!$G$2:$G$501,"&lt;"&amp;J216,'Solicitacoes'!$N$2:$N$501,"&gt;"&amp;C216)+COUNTIFS('Solicitacoes'!$F$2:$F$501,B216,'Solicitacoes'!$E$2:$E$501,A216,'Solicitacoes'!$I$2:$I$501,"confirmado",'Solicitacoes'!$G$2:$G$501,"&lt;"&amp;J216,'Solicitacoes'!$N$2:$N$501,"&gt;"&amp;C216)&gt;0,"Ocupado","Disponível"))))</x:f>
        <x:v>Revisar escala</x:v>
      </x:c>
      <x:c r="N216" s="2" t="n">
        <x:f>IF(A216="","",ROW()-1)</x:f>
        <x:v>215</x:v>
      </x:c>
    </x:row>
    <x:row r="217" ht="24" customHeight="1">
      <x:c r="A217" s="13" t="str">
        <x:v>Aline Reis</x:v>
      </x:c>
      <x:c r="B217" s="14" t="d">
        <x:v>2026-10-16T00:00:00.000Z</x:v>
      </x:c>
      <x:c r="C217" s="26" t="n">
        <x:v>0.7083333333333334</x:v>
      </x:c>
      <x:c r="D217" s="13" t="str">
        <x:v>presencial</x:v>
      </x:c>
      <x:c r="E217" s="13" t="str">
        <x:v>não</x:v>
      </x:c>
      <x:c r="F217" s="13" t="str">
        <x:v>Sala 2</x:v>
      </x:c>
      <x:c r="G217" s="12" t="n">
        <x:f>IF(A217="","",'Agenda'!$B$5)</x:f>
        <x:v>50</x:v>
      </x:c>
      <x:c r="H217" s="12" t="n">
        <x:f>IF(A217="","",'Agenda'!$B$6)</x:f>
        <x:v>10</x:v>
      </x:c>
      <x:c r="I217" s="24" t="n">
        <x:f>IF(A217="","",C217+G217/1440)</x:f>
        <x:v>0.7430555555555556</x:v>
      </x:c>
      <x:c r="J217" s="24" t="n">
        <x:f>IF(A217="","",C217+(G217+H217)/1440)</x:f>
        <x:v>0.75</x:v>
      </x:c>
      <x:c r="K217" s="27" t="n">
        <x:f>IF(A217="","",IF(E217&lt;&gt;"sim",0,COUNTIFS($B$2:$B$501,B217,$F$2:$F$501,F217,$E$2:$E$501,"sim",$C$2:$C$501,"&lt;"&amp;J217,$J$2:$J$501,"&gt;"&amp;C217)-1))</x:f>
        <x:v>0</x:v>
      </x:c>
      <x:c r="L217" s="27" t="n">
        <x:f>IF(A217="","",IF(E217&lt;&gt;"sim",0,COUNTIFS($B$2:$B$501,B217,$A$2:$A$501,A217,$E$2:$E$501,"sim",$C$2:$C$501,"&lt;"&amp;J217,$J$2:$J$501,"&gt;"&amp;C217)-1))</x:f>
        <x:v>0</x:v>
      </x:c>
      <x:c r="M217" s="2" t="str">
        <x:f>IF(A217="","",IF(E217&lt;&gt;"sim","Revisar escala",IF(OR(K217&gt;0,L217&gt;0),"Conflito de escala",IF(COUNTIFS('Solicitacoes'!$F$2:$F$501,B217,'Solicitacoes'!$K$2:$K$501,F217,'Solicitacoes'!$I$2:$I$501,"pendente",'Solicitacoes'!$G$2:$G$501,"&lt;"&amp;J217,'Solicitacoes'!$N$2:$N$501,"&gt;"&amp;C217)+COUNTIFS('Solicitacoes'!$F$2:$F$501,B217,'Solicitacoes'!$E$2:$E$501,A217,'Solicitacoes'!$I$2:$I$501,"pendente",'Solicitacoes'!$G$2:$G$501,"&lt;"&amp;J217,'Solicitacoes'!$N$2:$N$501,"&gt;"&amp;C217)+COUNTIFS('Solicitacoes'!$F$2:$F$501,B217,'Solicitacoes'!$K$2:$K$501,F217,'Solicitacoes'!$I$2:$I$501,"confirmado",'Solicitacoes'!$G$2:$G$501,"&lt;"&amp;J217,'Solicitacoes'!$N$2:$N$501,"&gt;"&amp;C217)+COUNTIFS('Solicitacoes'!$F$2:$F$501,B217,'Solicitacoes'!$E$2:$E$501,A217,'Solicitacoes'!$I$2:$I$501,"confirmado",'Solicitacoes'!$G$2:$G$501,"&lt;"&amp;J217,'Solicitacoes'!$N$2:$N$501,"&gt;"&amp;C217)&gt;0,"Ocupado","Disponível"))))</x:f>
        <x:v>Revisar escala</x:v>
      </x:c>
      <x:c r="N217" s="2" t="n">
        <x:f>IF(A217="","",ROW()-1)</x:f>
        <x:v>216</x:v>
      </x:c>
    </x:row>
    <x:row r="218" ht="24" customHeight="1">
      <x:c r="A218" s="13" t="str">
        <x:v>Laura Casanova</x:v>
      </x:c>
      <x:c r="B218" s="14" t="d">
        <x:v>2026-10-16T00:00:00.000Z</x:v>
      </x:c>
      <x:c r="C218" s="26" t="n">
        <x:v>0.75</x:v>
      </x:c>
      <x:c r="D218" s="13" t="str">
        <x:v>presencial</x:v>
      </x:c>
      <x:c r="E218" s="13" t="str">
        <x:v>não</x:v>
      </x:c>
      <x:c r="F218" s="13" t="str">
        <x:v>Sala 1</x:v>
      </x:c>
      <x:c r="G218" s="12" t="n">
        <x:f>IF(A218="","",'Agenda'!$B$5)</x:f>
        <x:v>50</x:v>
      </x:c>
      <x:c r="H218" s="12" t="n">
        <x:f>IF(A218="","",'Agenda'!$B$6)</x:f>
        <x:v>10</x:v>
      </x:c>
      <x:c r="I218" s="24" t="n">
        <x:f>IF(A218="","",C218+G218/1440)</x:f>
        <x:v>0.7847222222222222</x:v>
      </x:c>
      <x:c r="J218" s="24" t="n">
        <x:f>IF(A218="","",C218+(G218+H218)/1440)</x:f>
        <x:v>0.7916666666666666</x:v>
      </x:c>
      <x:c r="K218" s="27" t="n">
        <x:f>IF(A218="","",IF(E218&lt;&gt;"sim",0,COUNTIFS($B$2:$B$501,B218,$F$2:$F$501,F218,$E$2:$E$501,"sim",$C$2:$C$501,"&lt;"&amp;J218,$J$2:$J$501,"&gt;"&amp;C218)-1))</x:f>
        <x:v>0</x:v>
      </x:c>
      <x:c r="L218" s="27" t="n">
        <x:f>IF(A218="","",IF(E218&lt;&gt;"sim",0,COUNTIFS($B$2:$B$501,B218,$A$2:$A$501,A218,$E$2:$E$501,"sim",$C$2:$C$501,"&lt;"&amp;J218,$J$2:$J$501,"&gt;"&amp;C218)-1))</x:f>
        <x:v>0</x:v>
      </x:c>
      <x:c r="M218" s="2" t="str">
        <x:f>IF(A218="","",IF(E218&lt;&gt;"sim","Revisar escala",IF(OR(K218&gt;0,L218&gt;0),"Conflito de escala",IF(COUNTIFS('Solicitacoes'!$F$2:$F$501,B218,'Solicitacoes'!$K$2:$K$501,F218,'Solicitacoes'!$I$2:$I$501,"pendente",'Solicitacoes'!$G$2:$G$501,"&lt;"&amp;J218,'Solicitacoes'!$N$2:$N$501,"&gt;"&amp;C218)+COUNTIFS('Solicitacoes'!$F$2:$F$501,B218,'Solicitacoes'!$E$2:$E$501,A218,'Solicitacoes'!$I$2:$I$501,"pendente",'Solicitacoes'!$G$2:$G$501,"&lt;"&amp;J218,'Solicitacoes'!$N$2:$N$501,"&gt;"&amp;C218)+COUNTIFS('Solicitacoes'!$F$2:$F$501,B218,'Solicitacoes'!$K$2:$K$501,F218,'Solicitacoes'!$I$2:$I$501,"confirmado",'Solicitacoes'!$G$2:$G$501,"&lt;"&amp;J218,'Solicitacoes'!$N$2:$N$501,"&gt;"&amp;C218)+COUNTIFS('Solicitacoes'!$F$2:$F$501,B218,'Solicitacoes'!$E$2:$E$501,A218,'Solicitacoes'!$I$2:$I$501,"confirmado",'Solicitacoes'!$G$2:$G$501,"&lt;"&amp;J218,'Solicitacoes'!$N$2:$N$501,"&gt;"&amp;C218)&gt;0,"Ocupado","Disponível"))))</x:f>
        <x:v>Revisar escala</x:v>
      </x:c>
      <x:c r="N218" s="2" t="n">
        <x:f>IF(A218="","",ROW()-1)</x:f>
        <x:v>217</x:v>
      </x:c>
    </x:row>
    <x:row r="219" ht="24" customHeight="1">
      <x:c r="A219" s="13" t="str">
        <x:v>Aline Reis</x:v>
      </x:c>
      <x:c r="B219" s="14" t="d">
        <x:v>2026-10-16T00:00:00.000Z</x:v>
      </x:c>
      <x:c r="C219" s="26" t="n">
        <x:v>0.75</x:v>
      </x:c>
      <x:c r="D219" s="13" t="str">
        <x:v>presencial</x:v>
      </x:c>
      <x:c r="E219" s="13" t="str">
        <x:v>não</x:v>
      </x:c>
      <x:c r="F219" s="13" t="str">
        <x:v>Sala 2</x:v>
      </x:c>
      <x:c r="G219" s="12" t="n">
        <x:f>IF(A219="","",'Agenda'!$B$5)</x:f>
        <x:v>50</x:v>
      </x:c>
      <x:c r="H219" s="12" t="n">
        <x:f>IF(A219="","",'Agenda'!$B$6)</x:f>
        <x:v>10</x:v>
      </x:c>
      <x:c r="I219" s="24" t="n">
        <x:f>IF(A219="","",C219+G219/1440)</x:f>
        <x:v>0.7847222222222222</x:v>
      </x:c>
      <x:c r="J219" s="24" t="n">
        <x:f>IF(A219="","",C219+(G219+H219)/1440)</x:f>
        <x:v>0.7916666666666666</x:v>
      </x:c>
      <x:c r="K219" s="27" t="n">
        <x:f>IF(A219="","",IF(E219&lt;&gt;"sim",0,COUNTIFS($B$2:$B$501,B219,$F$2:$F$501,F219,$E$2:$E$501,"sim",$C$2:$C$501,"&lt;"&amp;J219,$J$2:$J$501,"&gt;"&amp;C219)-1))</x:f>
        <x:v>0</x:v>
      </x:c>
      <x:c r="L219" s="27" t="n">
        <x:f>IF(A219="","",IF(E219&lt;&gt;"sim",0,COUNTIFS($B$2:$B$501,B219,$A$2:$A$501,A219,$E$2:$E$501,"sim",$C$2:$C$501,"&lt;"&amp;J219,$J$2:$J$501,"&gt;"&amp;C219)-1))</x:f>
        <x:v>0</x:v>
      </x:c>
      <x:c r="M219" s="2" t="str">
        <x:f>IF(A219="","",IF(E219&lt;&gt;"sim","Revisar escala",IF(OR(K219&gt;0,L219&gt;0),"Conflito de escala",IF(COUNTIFS('Solicitacoes'!$F$2:$F$501,B219,'Solicitacoes'!$K$2:$K$501,F219,'Solicitacoes'!$I$2:$I$501,"pendente",'Solicitacoes'!$G$2:$G$501,"&lt;"&amp;J219,'Solicitacoes'!$N$2:$N$501,"&gt;"&amp;C219)+COUNTIFS('Solicitacoes'!$F$2:$F$501,B219,'Solicitacoes'!$E$2:$E$501,A219,'Solicitacoes'!$I$2:$I$501,"pendente",'Solicitacoes'!$G$2:$G$501,"&lt;"&amp;J219,'Solicitacoes'!$N$2:$N$501,"&gt;"&amp;C219)+COUNTIFS('Solicitacoes'!$F$2:$F$501,B219,'Solicitacoes'!$K$2:$K$501,F219,'Solicitacoes'!$I$2:$I$501,"confirmado",'Solicitacoes'!$G$2:$G$501,"&lt;"&amp;J219,'Solicitacoes'!$N$2:$N$501,"&gt;"&amp;C219)+COUNTIFS('Solicitacoes'!$F$2:$F$501,B219,'Solicitacoes'!$E$2:$E$501,A219,'Solicitacoes'!$I$2:$I$501,"confirmado",'Solicitacoes'!$G$2:$G$501,"&lt;"&amp;J219,'Solicitacoes'!$N$2:$N$501,"&gt;"&amp;C219)&gt;0,"Ocupado","Disponível"))))</x:f>
        <x:v>Revisar escala</x:v>
      </x:c>
      <x:c r="N219" s="2" t="n">
        <x:f>IF(A219="","",ROW()-1)</x:f>
        <x:v>218</x:v>
      </x:c>
    </x:row>
    <x:row r="220" ht="24" customHeight="1">
      <x:c r="A220" s="13" t="str">
        <x:v>Laura Casanova</x:v>
      </x:c>
      <x:c r="B220" s="14" t="d">
        <x:v>2026-10-16T00:00:00.000Z</x:v>
      </x:c>
      <x:c r="C220" s="26" t="n">
        <x:v>0.7916666666666666</x:v>
      </x:c>
      <x:c r="D220" s="13" t="str">
        <x:v>presencial</x:v>
      </x:c>
      <x:c r="E220" s="13" t="str">
        <x:v>não</x:v>
      </x:c>
      <x:c r="F220" s="13" t="str">
        <x:v>Sala 1</x:v>
      </x:c>
      <x:c r="G220" s="12" t="n">
        <x:f>IF(A220="","",'Agenda'!$B$5)</x:f>
        <x:v>50</x:v>
      </x:c>
      <x:c r="H220" s="12" t="n">
        <x:f>IF(A220="","",'Agenda'!$B$6)</x:f>
        <x:v>10</x:v>
      </x:c>
      <x:c r="I220" s="24" t="n">
        <x:f>IF(A220="","",C220+G220/1440)</x:f>
        <x:v>0.8263888888888888</x:v>
      </x:c>
      <x:c r="J220" s="24" t="n">
        <x:f>IF(A220="","",C220+(G220+H220)/1440)</x:f>
        <x:v>0.8333333333333333</x:v>
      </x:c>
      <x:c r="K220" s="27" t="n">
        <x:f>IF(A220="","",IF(E220&lt;&gt;"sim",0,COUNTIFS($B$2:$B$501,B220,$F$2:$F$501,F220,$E$2:$E$501,"sim",$C$2:$C$501,"&lt;"&amp;J220,$J$2:$J$501,"&gt;"&amp;C220)-1))</x:f>
        <x:v>0</x:v>
      </x:c>
      <x:c r="L220" s="27" t="n">
        <x:f>IF(A220="","",IF(E220&lt;&gt;"sim",0,COUNTIFS($B$2:$B$501,B220,$A$2:$A$501,A220,$E$2:$E$501,"sim",$C$2:$C$501,"&lt;"&amp;J220,$J$2:$J$501,"&gt;"&amp;C220)-1))</x:f>
        <x:v>0</x:v>
      </x:c>
      <x:c r="M220" s="2" t="str">
        <x:f>IF(A220="","",IF(E220&lt;&gt;"sim","Revisar escala",IF(OR(K220&gt;0,L220&gt;0),"Conflito de escala",IF(COUNTIFS('Solicitacoes'!$F$2:$F$501,B220,'Solicitacoes'!$K$2:$K$501,F220,'Solicitacoes'!$I$2:$I$501,"pendente",'Solicitacoes'!$G$2:$G$501,"&lt;"&amp;J220,'Solicitacoes'!$N$2:$N$501,"&gt;"&amp;C220)+COUNTIFS('Solicitacoes'!$F$2:$F$501,B220,'Solicitacoes'!$E$2:$E$501,A220,'Solicitacoes'!$I$2:$I$501,"pendente",'Solicitacoes'!$G$2:$G$501,"&lt;"&amp;J220,'Solicitacoes'!$N$2:$N$501,"&gt;"&amp;C220)+COUNTIFS('Solicitacoes'!$F$2:$F$501,B220,'Solicitacoes'!$K$2:$K$501,F220,'Solicitacoes'!$I$2:$I$501,"confirmado",'Solicitacoes'!$G$2:$G$501,"&lt;"&amp;J220,'Solicitacoes'!$N$2:$N$501,"&gt;"&amp;C220)+COUNTIFS('Solicitacoes'!$F$2:$F$501,B220,'Solicitacoes'!$E$2:$E$501,A220,'Solicitacoes'!$I$2:$I$501,"confirmado",'Solicitacoes'!$G$2:$G$501,"&lt;"&amp;J220,'Solicitacoes'!$N$2:$N$501,"&gt;"&amp;C220)&gt;0,"Ocupado","Disponível"))))</x:f>
        <x:v>Revisar escala</x:v>
      </x:c>
      <x:c r="N220" s="2" t="n">
        <x:f>IF(A220="","",ROW()-1)</x:f>
        <x:v>219</x:v>
      </x:c>
    </x:row>
    <x:row r="221" ht="24" customHeight="1">
      <x:c r="A221" s="13" t="str">
        <x:v>Aline Reis</x:v>
      </x:c>
      <x:c r="B221" s="14" t="d">
        <x:v>2026-10-16T00:00:00.000Z</x:v>
      </x:c>
      <x:c r="C221" s="26" t="n">
        <x:v>0.7916666666666666</x:v>
      </x:c>
      <x:c r="D221" s="13" t="str">
        <x:v>presencial</x:v>
      </x:c>
      <x:c r="E221" s="13" t="str">
        <x:v>não</x:v>
      </x:c>
      <x:c r="F221" s="13" t="str">
        <x:v>Sala 2</x:v>
      </x:c>
      <x:c r="G221" s="12" t="n">
        <x:f>IF(A221="","",'Agenda'!$B$5)</x:f>
        <x:v>50</x:v>
      </x:c>
      <x:c r="H221" s="12" t="n">
        <x:f>IF(A221="","",'Agenda'!$B$6)</x:f>
        <x:v>10</x:v>
      </x:c>
      <x:c r="I221" s="24" t="n">
        <x:f>IF(A221="","",C221+G221/1440)</x:f>
        <x:v>0.8263888888888888</x:v>
      </x:c>
      <x:c r="J221" s="24" t="n">
        <x:f>IF(A221="","",C221+(G221+H221)/1440)</x:f>
        <x:v>0.8333333333333333</x:v>
      </x:c>
      <x:c r="K221" s="27" t="n">
        <x:f>IF(A221="","",IF(E221&lt;&gt;"sim",0,COUNTIFS($B$2:$B$501,B221,$F$2:$F$501,F221,$E$2:$E$501,"sim",$C$2:$C$501,"&lt;"&amp;J221,$J$2:$J$501,"&gt;"&amp;C221)-1))</x:f>
        <x:v>0</x:v>
      </x:c>
      <x:c r="L221" s="27" t="n">
        <x:f>IF(A221="","",IF(E221&lt;&gt;"sim",0,COUNTIFS($B$2:$B$501,B221,$A$2:$A$501,A221,$E$2:$E$501,"sim",$C$2:$C$501,"&lt;"&amp;J221,$J$2:$J$501,"&gt;"&amp;C221)-1))</x:f>
        <x:v>0</x:v>
      </x:c>
      <x:c r="M221" s="2" t="str">
        <x:f>IF(A221="","",IF(E221&lt;&gt;"sim","Revisar escala",IF(OR(K221&gt;0,L221&gt;0),"Conflito de escala",IF(COUNTIFS('Solicitacoes'!$F$2:$F$501,B221,'Solicitacoes'!$K$2:$K$501,F221,'Solicitacoes'!$I$2:$I$501,"pendente",'Solicitacoes'!$G$2:$G$501,"&lt;"&amp;J221,'Solicitacoes'!$N$2:$N$501,"&gt;"&amp;C221)+COUNTIFS('Solicitacoes'!$F$2:$F$501,B221,'Solicitacoes'!$E$2:$E$501,A221,'Solicitacoes'!$I$2:$I$501,"pendente",'Solicitacoes'!$G$2:$G$501,"&lt;"&amp;J221,'Solicitacoes'!$N$2:$N$501,"&gt;"&amp;C221)+COUNTIFS('Solicitacoes'!$F$2:$F$501,B221,'Solicitacoes'!$K$2:$K$501,F221,'Solicitacoes'!$I$2:$I$501,"confirmado",'Solicitacoes'!$G$2:$G$501,"&lt;"&amp;J221,'Solicitacoes'!$N$2:$N$501,"&gt;"&amp;C221)+COUNTIFS('Solicitacoes'!$F$2:$F$501,B221,'Solicitacoes'!$E$2:$E$501,A221,'Solicitacoes'!$I$2:$I$501,"confirmado",'Solicitacoes'!$G$2:$G$501,"&lt;"&amp;J221,'Solicitacoes'!$N$2:$N$501,"&gt;"&amp;C221)&gt;0,"Ocupado","Disponível"))))</x:f>
        <x:v>Revisar escala</x:v>
      </x:c>
      <x:c r="N221" s="2" t="n">
        <x:f>IF(A221="","",ROW()-1)</x:f>
        <x:v>220</x:v>
      </x:c>
    </x:row>
    <x:row r="222" ht="24" customHeight="1">
      <x:c r="A222" s="13" t="str">
        <x:v>Géssyca Martins</x:v>
      </x:c>
      <x:c r="B222" s="14" t="d">
        <x:v>2026-10-19T00:00:00.000Z</x:v>
      </x:c>
      <x:c r="C222" s="26" t="n">
        <x:v>0.375</x:v>
      </x:c>
      <x:c r="D222" s="13" t="str">
        <x:v>presencial</x:v>
      </x:c>
      <x:c r="E222" s="13" t="str">
        <x:v>não</x:v>
      </x:c>
      <x:c r="F222" s="13" t="str">
        <x:v>Sala 1</x:v>
      </x:c>
      <x:c r="G222" s="12" t="n">
        <x:f>IF(A222="","",'Agenda'!$B$5)</x:f>
        <x:v>50</x:v>
      </x:c>
      <x:c r="H222" s="12" t="n">
        <x:f>IF(A222="","",'Agenda'!$B$6)</x:f>
        <x:v>10</x:v>
      </x:c>
      <x:c r="I222" s="24" t="n">
        <x:f>IF(A222="","",C222+G222/1440)</x:f>
        <x:v>0.4097222222222222</x:v>
      </x:c>
      <x:c r="J222" s="24" t="n">
        <x:f>IF(A222="","",C222+(G222+H222)/1440)</x:f>
        <x:v>0.4166666666666667</x:v>
      </x:c>
      <x:c r="K222" s="27" t="n">
        <x:f>IF(A222="","",IF(E222&lt;&gt;"sim",0,COUNTIFS($B$2:$B$501,B222,$F$2:$F$501,F222,$E$2:$E$501,"sim",$C$2:$C$501,"&lt;"&amp;J222,$J$2:$J$501,"&gt;"&amp;C222)-1))</x:f>
        <x:v>0</x:v>
      </x:c>
      <x:c r="L222" s="27" t="n">
        <x:f>IF(A222="","",IF(E222&lt;&gt;"sim",0,COUNTIFS($B$2:$B$501,B222,$A$2:$A$501,A222,$E$2:$E$501,"sim",$C$2:$C$501,"&lt;"&amp;J222,$J$2:$J$501,"&gt;"&amp;C222)-1))</x:f>
        <x:v>0</x:v>
      </x:c>
      <x:c r="M222" s="2" t="str">
        <x:f>IF(A222="","",IF(E222&lt;&gt;"sim","Revisar escala",IF(OR(K222&gt;0,L222&gt;0),"Conflito de escala",IF(COUNTIFS('Solicitacoes'!$F$2:$F$501,B222,'Solicitacoes'!$K$2:$K$501,F222,'Solicitacoes'!$I$2:$I$501,"pendente",'Solicitacoes'!$G$2:$G$501,"&lt;"&amp;J222,'Solicitacoes'!$N$2:$N$501,"&gt;"&amp;C222)+COUNTIFS('Solicitacoes'!$F$2:$F$501,B222,'Solicitacoes'!$E$2:$E$501,A222,'Solicitacoes'!$I$2:$I$501,"pendente",'Solicitacoes'!$G$2:$G$501,"&lt;"&amp;J222,'Solicitacoes'!$N$2:$N$501,"&gt;"&amp;C222)+COUNTIFS('Solicitacoes'!$F$2:$F$501,B222,'Solicitacoes'!$K$2:$K$501,F222,'Solicitacoes'!$I$2:$I$501,"confirmado",'Solicitacoes'!$G$2:$G$501,"&lt;"&amp;J222,'Solicitacoes'!$N$2:$N$501,"&gt;"&amp;C222)+COUNTIFS('Solicitacoes'!$F$2:$F$501,B222,'Solicitacoes'!$E$2:$E$501,A222,'Solicitacoes'!$I$2:$I$501,"confirmado",'Solicitacoes'!$G$2:$G$501,"&lt;"&amp;J222,'Solicitacoes'!$N$2:$N$501,"&gt;"&amp;C222)&gt;0,"Ocupado","Disponível"))))</x:f>
        <x:v>Revisar escala</x:v>
      </x:c>
      <x:c r="N222" s="2" t="n">
        <x:f>IF(A222="","",ROW()-1)</x:f>
        <x:v>221</x:v>
      </x:c>
    </x:row>
    <x:row r="223" ht="24" customHeight="1">
      <x:c r="A223" s="13" t="str">
        <x:v>Laura Casanova</x:v>
      </x:c>
      <x:c r="B223" s="14" t="d">
        <x:v>2026-10-19T00:00:00.000Z</x:v>
      </x:c>
      <x:c r="C223" s="26" t="n">
        <x:v>0.375</x:v>
      </x:c>
      <x:c r="D223" s="13" t="str">
        <x:v>presencial</x:v>
      </x:c>
      <x:c r="E223" s="13" t="str">
        <x:v>não</x:v>
      </x:c>
      <x:c r="F223" s="13" t="str">
        <x:v>Sala 2</x:v>
      </x:c>
      <x:c r="G223" s="12" t="n">
        <x:f>IF(A223="","",'Agenda'!$B$5)</x:f>
        <x:v>50</x:v>
      </x:c>
      <x:c r="H223" s="12" t="n">
        <x:f>IF(A223="","",'Agenda'!$B$6)</x:f>
        <x:v>10</x:v>
      </x:c>
      <x:c r="I223" s="24" t="n">
        <x:f>IF(A223="","",C223+G223/1440)</x:f>
        <x:v>0.4097222222222222</x:v>
      </x:c>
      <x:c r="J223" s="24" t="n">
        <x:f>IF(A223="","",C223+(G223+H223)/1440)</x:f>
        <x:v>0.4166666666666667</x:v>
      </x:c>
      <x:c r="K223" s="27" t="n">
        <x:f>IF(A223="","",IF(E223&lt;&gt;"sim",0,COUNTIFS($B$2:$B$501,B223,$F$2:$F$501,F223,$E$2:$E$501,"sim",$C$2:$C$501,"&lt;"&amp;J223,$J$2:$J$501,"&gt;"&amp;C223)-1))</x:f>
        <x:v>0</x:v>
      </x:c>
      <x:c r="L223" s="27" t="n">
        <x:f>IF(A223="","",IF(E223&lt;&gt;"sim",0,COUNTIFS($B$2:$B$501,B223,$A$2:$A$501,A223,$E$2:$E$501,"sim",$C$2:$C$501,"&lt;"&amp;J223,$J$2:$J$501,"&gt;"&amp;C223)-1))</x:f>
        <x:v>0</x:v>
      </x:c>
      <x:c r="M223" s="2" t="str">
        <x:f>IF(A223="","",IF(E223&lt;&gt;"sim","Revisar escala",IF(OR(K223&gt;0,L223&gt;0),"Conflito de escala",IF(COUNTIFS('Solicitacoes'!$F$2:$F$501,B223,'Solicitacoes'!$K$2:$K$501,F223,'Solicitacoes'!$I$2:$I$501,"pendente",'Solicitacoes'!$G$2:$G$501,"&lt;"&amp;J223,'Solicitacoes'!$N$2:$N$501,"&gt;"&amp;C223)+COUNTIFS('Solicitacoes'!$F$2:$F$501,B223,'Solicitacoes'!$E$2:$E$501,A223,'Solicitacoes'!$I$2:$I$501,"pendente",'Solicitacoes'!$G$2:$G$501,"&lt;"&amp;J223,'Solicitacoes'!$N$2:$N$501,"&gt;"&amp;C223)+COUNTIFS('Solicitacoes'!$F$2:$F$501,B223,'Solicitacoes'!$K$2:$K$501,F223,'Solicitacoes'!$I$2:$I$501,"confirmado",'Solicitacoes'!$G$2:$G$501,"&lt;"&amp;J223,'Solicitacoes'!$N$2:$N$501,"&gt;"&amp;C223)+COUNTIFS('Solicitacoes'!$F$2:$F$501,B223,'Solicitacoes'!$E$2:$E$501,A223,'Solicitacoes'!$I$2:$I$501,"confirmado",'Solicitacoes'!$G$2:$G$501,"&lt;"&amp;J223,'Solicitacoes'!$N$2:$N$501,"&gt;"&amp;C223)&gt;0,"Ocupado","Disponível"))))</x:f>
        <x:v>Revisar escala</x:v>
      </x:c>
      <x:c r="N223" s="2" t="n">
        <x:f>IF(A223="","",ROW()-1)</x:f>
        <x:v>222</x:v>
      </x:c>
    </x:row>
    <x:row r="224" ht="24" customHeight="1">
      <x:c r="A224" s="13" t="str">
        <x:v>Géssyca Martins</x:v>
      </x:c>
      <x:c r="B224" s="14" t="d">
        <x:v>2026-10-19T00:00:00.000Z</x:v>
      </x:c>
      <x:c r="C224" s="26" t="n">
        <x:v>0.4166666666666667</x:v>
      </x:c>
      <x:c r="D224" s="13" t="str">
        <x:v>presencial</x:v>
      </x:c>
      <x:c r="E224" s="13" t="str">
        <x:v>não</x:v>
      </x:c>
      <x:c r="F224" s="13" t="str">
        <x:v>Sala 1</x:v>
      </x:c>
      <x:c r="G224" s="12" t="n">
        <x:f>IF(A224="","",'Agenda'!$B$5)</x:f>
        <x:v>50</x:v>
      </x:c>
      <x:c r="H224" s="12" t="n">
        <x:f>IF(A224="","",'Agenda'!$B$6)</x:f>
        <x:v>10</x:v>
      </x:c>
      <x:c r="I224" s="24" t="n">
        <x:f>IF(A224="","",C224+G224/1440)</x:f>
        <x:v>0.4513888888888889</x:v>
      </x:c>
      <x:c r="J224" s="24" t="n">
        <x:f>IF(A224="","",C224+(G224+H224)/1440)</x:f>
        <x:v>0.45833333333333337</x:v>
      </x:c>
      <x:c r="K224" s="27" t="n">
        <x:f>IF(A224="","",IF(E224&lt;&gt;"sim",0,COUNTIFS($B$2:$B$501,B224,$F$2:$F$501,F224,$E$2:$E$501,"sim",$C$2:$C$501,"&lt;"&amp;J224,$J$2:$J$501,"&gt;"&amp;C224)-1))</x:f>
        <x:v>0</x:v>
      </x:c>
      <x:c r="L224" s="27" t="n">
        <x:f>IF(A224="","",IF(E224&lt;&gt;"sim",0,COUNTIFS($B$2:$B$501,B224,$A$2:$A$501,A224,$E$2:$E$501,"sim",$C$2:$C$501,"&lt;"&amp;J224,$J$2:$J$501,"&gt;"&amp;C224)-1))</x:f>
        <x:v>0</x:v>
      </x:c>
      <x:c r="M224" s="2" t="str">
        <x:f>IF(A224="","",IF(E224&lt;&gt;"sim","Revisar escala",IF(OR(K224&gt;0,L224&gt;0),"Conflito de escala",IF(COUNTIFS('Solicitacoes'!$F$2:$F$501,B224,'Solicitacoes'!$K$2:$K$501,F224,'Solicitacoes'!$I$2:$I$501,"pendente",'Solicitacoes'!$G$2:$G$501,"&lt;"&amp;J224,'Solicitacoes'!$N$2:$N$501,"&gt;"&amp;C224)+COUNTIFS('Solicitacoes'!$F$2:$F$501,B224,'Solicitacoes'!$E$2:$E$501,A224,'Solicitacoes'!$I$2:$I$501,"pendente",'Solicitacoes'!$G$2:$G$501,"&lt;"&amp;J224,'Solicitacoes'!$N$2:$N$501,"&gt;"&amp;C224)+COUNTIFS('Solicitacoes'!$F$2:$F$501,B224,'Solicitacoes'!$K$2:$K$501,F224,'Solicitacoes'!$I$2:$I$501,"confirmado",'Solicitacoes'!$G$2:$G$501,"&lt;"&amp;J224,'Solicitacoes'!$N$2:$N$501,"&gt;"&amp;C224)+COUNTIFS('Solicitacoes'!$F$2:$F$501,B224,'Solicitacoes'!$E$2:$E$501,A224,'Solicitacoes'!$I$2:$I$501,"confirmado",'Solicitacoes'!$G$2:$G$501,"&lt;"&amp;J224,'Solicitacoes'!$N$2:$N$501,"&gt;"&amp;C224)&gt;0,"Ocupado","Disponível"))))</x:f>
        <x:v>Revisar escala</x:v>
      </x:c>
      <x:c r="N224" s="2" t="n">
        <x:f>IF(A224="","",ROW()-1)</x:f>
        <x:v>223</x:v>
      </x:c>
    </x:row>
    <x:row r="225" ht="24" customHeight="1">
      <x:c r="A225" s="13" t="str">
        <x:v>Laura Casanova</x:v>
      </x:c>
      <x:c r="B225" s="14" t="d">
        <x:v>2026-10-19T00:00:00.000Z</x:v>
      </x:c>
      <x:c r="C225" s="26" t="n">
        <x:v>0.4166666666666667</x:v>
      </x:c>
      <x:c r="D225" s="13" t="str">
        <x:v>presencial</x:v>
      </x:c>
      <x:c r="E225" s="13" t="str">
        <x:v>não</x:v>
      </x:c>
      <x:c r="F225" s="13" t="str">
        <x:v>Sala 2</x:v>
      </x:c>
      <x:c r="G225" s="12" t="n">
        <x:f>IF(A225="","",'Agenda'!$B$5)</x:f>
        <x:v>50</x:v>
      </x:c>
      <x:c r="H225" s="12" t="n">
        <x:f>IF(A225="","",'Agenda'!$B$6)</x:f>
        <x:v>10</x:v>
      </x:c>
      <x:c r="I225" s="24" t="n">
        <x:f>IF(A225="","",C225+G225/1440)</x:f>
        <x:v>0.4513888888888889</x:v>
      </x:c>
      <x:c r="J225" s="24" t="n">
        <x:f>IF(A225="","",C225+(G225+H225)/1440)</x:f>
        <x:v>0.45833333333333337</x:v>
      </x:c>
      <x:c r="K225" s="27" t="n">
        <x:f>IF(A225="","",IF(E225&lt;&gt;"sim",0,COUNTIFS($B$2:$B$501,B225,$F$2:$F$501,F225,$E$2:$E$501,"sim",$C$2:$C$501,"&lt;"&amp;J225,$J$2:$J$501,"&gt;"&amp;C225)-1))</x:f>
        <x:v>0</x:v>
      </x:c>
      <x:c r="L225" s="27" t="n">
        <x:f>IF(A225="","",IF(E225&lt;&gt;"sim",0,COUNTIFS($B$2:$B$501,B225,$A$2:$A$501,A225,$E$2:$E$501,"sim",$C$2:$C$501,"&lt;"&amp;J225,$J$2:$J$501,"&gt;"&amp;C225)-1))</x:f>
        <x:v>0</x:v>
      </x:c>
      <x:c r="M225" s="2" t="str">
        <x:f>IF(A225="","",IF(E225&lt;&gt;"sim","Revisar escala",IF(OR(K225&gt;0,L225&gt;0),"Conflito de escala",IF(COUNTIFS('Solicitacoes'!$F$2:$F$501,B225,'Solicitacoes'!$K$2:$K$501,F225,'Solicitacoes'!$I$2:$I$501,"pendente",'Solicitacoes'!$G$2:$G$501,"&lt;"&amp;J225,'Solicitacoes'!$N$2:$N$501,"&gt;"&amp;C225)+COUNTIFS('Solicitacoes'!$F$2:$F$501,B225,'Solicitacoes'!$E$2:$E$501,A225,'Solicitacoes'!$I$2:$I$501,"pendente",'Solicitacoes'!$G$2:$G$501,"&lt;"&amp;J225,'Solicitacoes'!$N$2:$N$501,"&gt;"&amp;C225)+COUNTIFS('Solicitacoes'!$F$2:$F$501,B225,'Solicitacoes'!$K$2:$K$501,F225,'Solicitacoes'!$I$2:$I$501,"confirmado",'Solicitacoes'!$G$2:$G$501,"&lt;"&amp;J225,'Solicitacoes'!$N$2:$N$501,"&gt;"&amp;C225)+COUNTIFS('Solicitacoes'!$F$2:$F$501,B225,'Solicitacoes'!$E$2:$E$501,A225,'Solicitacoes'!$I$2:$I$501,"confirmado",'Solicitacoes'!$G$2:$G$501,"&lt;"&amp;J225,'Solicitacoes'!$N$2:$N$501,"&gt;"&amp;C225)&gt;0,"Ocupado","Disponível"))))</x:f>
        <x:v>Revisar escala</x:v>
      </x:c>
      <x:c r="N225" s="2" t="n">
        <x:f>IF(A225="","",ROW()-1)</x:f>
        <x:v>224</x:v>
      </x:c>
    </x:row>
    <x:row r="226" ht="24" customHeight="1">
      <x:c r="A226" s="13" t="str">
        <x:v>Géssyca Martins</x:v>
      </x:c>
      <x:c r="B226" s="14" t="d">
        <x:v>2026-10-19T00:00:00.000Z</x:v>
      </x:c>
      <x:c r="C226" s="26" t="n">
        <x:v>0.4583333333333333</x:v>
      </x:c>
      <x:c r="D226" s="13" t="str">
        <x:v>presencial</x:v>
      </x:c>
      <x:c r="E226" s="13" t="str">
        <x:v>não</x:v>
      </x:c>
      <x:c r="F226" s="13" t="str">
        <x:v>Sala 1</x:v>
      </x:c>
      <x:c r="G226" s="12" t="n">
        <x:f>IF(A226="","",'Agenda'!$B$5)</x:f>
        <x:v>50</x:v>
      </x:c>
      <x:c r="H226" s="12" t="n">
        <x:f>IF(A226="","",'Agenda'!$B$6)</x:f>
        <x:v>10</x:v>
      </x:c>
      <x:c r="I226" s="24" t="n">
        <x:f>IF(A226="","",C226+G226/1440)</x:f>
        <x:v>0.4930555555555555</x:v>
      </x:c>
      <x:c r="J226" s="24" t="n">
        <x:f>IF(A226="","",C226+(G226+H226)/1440)</x:f>
        <x:v>0.5</x:v>
      </x:c>
      <x:c r="K226" s="27" t="n">
        <x:f>IF(A226="","",IF(E226&lt;&gt;"sim",0,COUNTIFS($B$2:$B$501,B226,$F$2:$F$501,F226,$E$2:$E$501,"sim",$C$2:$C$501,"&lt;"&amp;J226,$J$2:$J$501,"&gt;"&amp;C226)-1))</x:f>
        <x:v>0</x:v>
      </x:c>
      <x:c r="L226" s="27" t="n">
        <x:f>IF(A226="","",IF(E226&lt;&gt;"sim",0,COUNTIFS($B$2:$B$501,B226,$A$2:$A$501,A226,$E$2:$E$501,"sim",$C$2:$C$501,"&lt;"&amp;J226,$J$2:$J$501,"&gt;"&amp;C226)-1))</x:f>
        <x:v>0</x:v>
      </x:c>
      <x:c r="M226" s="2" t="str">
        <x:f>IF(A226="","",IF(E226&lt;&gt;"sim","Revisar escala",IF(OR(K226&gt;0,L226&gt;0),"Conflito de escala",IF(COUNTIFS('Solicitacoes'!$F$2:$F$501,B226,'Solicitacoes'!$K$2:$K$501,F226,'Solicitacoes'!$I$2:$I$501,"pendente",'Solicitacoes'!$G$2:$G$501,"&lt;"&amp;J226,'Solicitacoes'!$N$2:$N$501,"&gt;"&amp;C226)+COUNTIFS('Solicitacoes'!$F$2:$F$501,B226,'Solicitacoes'!$E$2:$E$501,A226,'Solicitacoes'!$I$2:$I$501,"pendente",'Solicitacoes'!$G$2:$G$501,"&lt;"&amp;J226,'Solicitacoes'!$N$2:$N$501,"&gt;"&amp;C226)+COUNTIFS('Solicitacoes'!$F$2:$F$501,B226,'Solicitacoes'!$K$2:$K$501,F226,'Solicitacoes'!$I$2:$I$501,"confirmado",'Solicitacoes'!$G$2:$G$501,"&lt;"&amp;J226,'Solicitacoes'!$N$2:$N$501,"&gt;"&amp;C226)+COUNTIFS('Solicitacoes'!$F$2:$F$501,B226,'Solicitacoes'!$E$2:$E$501,A226,'Solicitacoes'!$I$2:$I$501,"confirmado",'Solicitacoes'!$G$2:$G$501,"&lt;"&amp;J226,'Solicitacoes'!$N$2:$N$501,"&gt;"&amp;C226)&gt;0,"Ocupado","Disponível"))))</x:f>
        <x:v>Revisar escala</x:v>
      </x:c>
      <x:c r="N226" s="2" t="n">
        <x:f>IF(A226="","",ROW()-1)</x:f>
        <x:v>225</x:v>
      </x:c>
    </x:row>
    <x:row r="227" ht="24" customHeight="1">
      <x:c r="A227" s="13" t="str">
        <x:v>Laura Casanova</x:v>
      </x:c>
      <x:c r="B227" s="14" t="d">
        <x:v>2026-10-19T00:00:00.000Z</x:v>
      </x:c>
      <x:c r="C227" s="26" t="n">
        <x:v>0.4583333333333333</x:v>
      </x:c>
      <x:c r="D227" s="13" t="str">
        <x:v>presencial</x:v>
      </x:c>
      <x:c r="E227" s="13" t="str">
        <x:v>não</x:v>
      </x:c>
      <x:c r="F227" s="13" t="str">
        <x:v>Sala 2</x:v>
      </x:c>
      <x:c r="G227" s="12" t="n">
        <x:f>IF(A227="","",'Agenda'!$B$5)</x:f>
        <x:v>50</x:v>
      </x:c>
      <x:c r="H227" s="12" t="n">
        <x:f>IF(A227="","",'Agenda'!$B$6)</x:f>
        <x:v>10</x:v>
      </x:c>
      <x:c r="I227" s="24" t="n">
        <x:f>IF(A227="","",C227+G227/1440)</x:f>
        <x:v>0.4930555555555555</x:v>
      </x:c>
      <x:c r="J227" s="24" t="n">
        <x:f>IF(A227="","",C227+(G227+H227)/1440)</x:f>
        <x:v>0.5</x:v>
      </x:c>
      <x:c r="K227" s="27" t="n">
        <x:f>IF(A227="","",IF(E227&lt;&gt;"sim",0,COUNTIFS($B$2:$B$501,B227,$F$2:$F$501,F227,$E$2:$E$501,"sim",$C$2:$C$501,"&lt;"&amp;J227,$J$2:$J$501,"&gt;"&amp;C227)-1))</x:f>
        <x:v>0</x:v>
      </x:c>
      <x:c r="L227" s="27" t="n">
        <x:f>IF(A227="","",IF(E227&lt;&gt;"sim",0,COUNTIFS($B$2:$B$501,B227,$A$2:$A$501,A227,$E$2:$E$501,"sim",$C$2:$C$501,"&lt;"&amp;J227,$J$2:$J$501,"&gt;"&amp;C227)-1))</x:f>
        <x:v>0</x:v>
      </x:c>
      <x:c r="M227" s="2" t="str">
        <x:f>IF(A227="","",IF(E227&lt;&gt;"sim","Revisar escala",IF(OR(K227&gt;0,L227&gt;0),"Conflito de escala",IF(COUNTIFS('Solicitacoes'!$F$2:$F$501,B227,'Solicitacoes'!$K$2:$K$501,F227,'Solicitacoes'!$I$2:$I$501,"pendente",'Solicitacoes'!$G$2:$G$501,"&lt;"&amp;J227,'Solicitacoes'!$N$2:$N$501,"&gt;"&amp;C227)+COUNTIFS('Solicitacoes'!$F$2:$F$501,B227,'Solicitacoes'!$E$2:$E$501,A227,'Solicitacoes'!$I$2:$I$501,"pendente",'Solicitacoes'!$G$2:$G$501,"&lt;"&amp;J227,'Solicitacoes'!$N$2:$N$501,"&gt;"&amp;C227)+COUNTIFS('Solicitacoes'!$F$2:$F$501,B227,'Solicitacoes'!$K$2:$K$501,F227,'Solicitacoes'!$I$2:$I$501,"confirmado",'Solicitacoes'!$G$2:$G$501,"&lt;"&amp;J227,'Solicitacoes'!$N$2:$N$501,"&gt;"&amp;C227)+COUNTIFS('Solicitacoes'!$F$2:$F$501,B227,'Solicitacoes'!$E$2:$E$501,A227,'Solicitacoes'!$I$2:$I$501,"confirmado",'Solicitacoes'!$G$2:$G$501,"&lt;"&amp;J227,'Solicitacoes'!$N$2:$N$501,"&gt;"&amp;C227)&gt;0,"Ocupado","Disponível"))))</x:f>
        <x:v>Revisar escala</x:v>
      </x:c>
      <x:c r="N227" s="2" t="n">
        <x:f>IF(A227="","",ROW()-1)</x:f>
        <x:v>226</x:v>
      </x:c>
    </x:row>
    <x:row r="228" ht="24" customHeight="1">
      <x:c r="A228" s="13" t="str">
        <x:v>Géssyca Martins</x:v>
      </x:c>
      <x:c r="B228" s="14" t="d">
        <x:v>2026-10-19T00:00:00.000Z</x:v>
      </x:c>
      <x:c r="C228" s="26" t="n">
        <x:v>0.5</x:v>
      </x:c>
      <x:c r="D228" s="13" t="str">
        <x:v>presencial</x:v>
      </x:c>
      <x:c r="E228" s="13" t="str">
        <x:v>não</x:v>
      </x:c>
      <x:c r="F228" s="13" t="str">
        <x:v>Sala 1</x:v>
      </x:c>
      <x:c r="G228" s="12" t="n">
        <x:f>IF(A228="","",'Agenda'!$B$5)</x:f>
        <x:v>50</x:v>
      </x:c>
      <x:c r="H228" s="12" t="n">
        <x:f>IF(A228="","",'Agenda'!$B$6)</x:f>
        <x:v>10</x:v>
      </x:c>
      <x:c r="I228" s="24" t="n">
        <x:f>IF(A228="","",C228+G228/1440)</x:f>
        <x:v>0.5347222222222222</x:v>
      </x:c>
      <x:c r="J228" s="24" t="n">
        <x:f>IF(A228="","",C228+(G228+H228)/1440)</x:f>
        <x:v>0.5416666666666666</x:v>
      </x:c>
      <x:c r="K228" s="27" t="n">
        <x:f>IF(A228="","",IF(E228&lt;&gt;"sim",0,COUNTIFS($B$2:$B$501,B228,$F$2:$F$501,F228,$E$2:$E$501,"sim",$C$2:$C$501,"&lt;"&amp;J228,$J$2:$J$501,"&gt;"&amp;C228)-1))</x:f>
        <x:v>0</x:v>
      </x:c>
      <x:c r="L228" s="27" t="n">
        <x:f>IF(A228="","",IF(E228&lt;&gt;"sim",0,COUNTIFS($B$2:$B$501,B228,$A$2:$A$501,A228,$E$2:$E$501,"sim",$C$2:$C$501,"&lt;"&amp;J228,$J$2:$J$501,"&gt;"&amp;C228)-1))</x:f>
        <x:v>0</x:v>
      </x:c>
      <x:c r="M228" s="2" t="str">
        <x:f>IF(A228="","",IF(E228&lt;&gt;"sim","Revisar escala",IF(OR(K228&gt;0,L228&gt;0),"Conflito de escala",IF(COUNTIFS('Solicitacoes'!$F$2:$F$501,B228,'Solicitacoes'!$K$2:$K$501,F228,'Solicitacoes'!$I$2:$I$501,"pendente",'Solicitacoes'!$G$2:$G$501,"&lt;"&amp;J228,'Solicitacoes'!$N$2:$N$501,"&gt;"&amp;C228)+COUNTIFS('Solicitacoes'!$F$2:$F$501,B228,'Solicitacoes'!$E$2:$E$501,A228,'Solicitacoes'!$I$2:$I$501,"pendente",'Solicitacoes'!$G$2:$G$501,"&lt;"&amp;J228,'Solicitacoes'!$N$2:$N$501,"&gt;"&amp;C228)+COUNTIFS('Solicitacoes'!$F$2:$F$501,B228,'Solicitacoes'!$K$2:$K$501,F228,'Solicitacoes'!$I$2:$I$501,"confirmado",'Solicitacoes'!$G$2:$G$501,"&lt;"&amp;J228,'Solicitacoes'!$N$2:$N$501,"&gt;"&amp;C228)+COUNTIFS('Solicitacoes'!$F$2:$F$501,B228,'Solicitacoes'!$E$2:$E$501,A228,'Solicitacoes'!$I$2:$I$501,"confirmado",'Solicitacoes'!$G$2:$G$501,"&lt;"&amp;J228,'Solicitacoes'!$N$2:$N$501,"&gt;"&amp;C228)&gt;0,"Ocupado","Disponível"))))</x:f>
        <x:v>Revisar escala</x:v>
      </x:c>
      <x:c r="N228" s="2" t="n">
        <x:f>IF(A228="","",ROW()-1)</x:f>
        <x:v>227</x:v>
      </x:c>
    </x:row>
    <x:row r="229" ht="24" customHeight="1">
      <x:c r="A229" s="13" t="str">
        <x:v>Laura Casanova</x:v>
      </x:c>
      <x:c r="B229" s="14" t="d">
        <x:v>2026-10-19T00:00:00.000Z</x:v>
      </x:c>
      <x:c r="C229" s="26" t="n">
        <x:v>0.5</x:v>
      </x:c>
      <x:c r="D229" s="13" t="str">
        <x:v>presencial</x:v>
      </x:c>
      <x:c r="E229" s="13" t="str">
        <x:v>não</x:v>
      </x:c>
      <x:c r="F229" s="13" t="str">
        <x:v>Sala 2</x:v>
      </x:c>
      <x:c r="G229" s="12" t="n">
        <x:f>IF(A229="","",'Agenda'!$B$5)</x:f>
        <x:v>50</x:v>
      </x:c>
      <x:c r="H229" s="12" t="n">
        <x:f>IF(A229="","",'Agenda'!$B$6)</x:f>
        <x:v>10</x:v>
      </x:c>
      <x:c r="I229" s="24" t="n">
        <x:f>IF(A229="","",C229+G229/1440)</x:f>
        <x:v>0.5347222222222222</x:v>
      </x:c>
      <x:c r="J229" s="24" t="n">
        <x:f>IF(A229="","",C229+(G229+H229)/1440)</x:f>
        <x:v>0.5416666666666666</x:v>
      </x:c>
      <x:c r="K229" s="27" t="n">
        <x:f>IF(A229="","",IF(E229&lt;&gt;"sim",0,COUNTIFS($B$2:$B$501,B229,$F$2:$F$501,F229,$E$2:$E$501,"sim",$C$2:$C$501,"&lt;"&amp;J229,$J$2:$J$501,"&gt;"&amp;C229)-1))</x:f>
        <x:v>0</x:v>
      </x:c>
      <x:c r="L229" s="27" t="n">
        <x:f>IF(A229="","",IF(E229&lt;&gt;"sim",0,COUNTIFS($B$2:$B$501,B229,$A$2:$A$501,A229,$E$2:$E$501,"sim",$C$2:$C$501,"&lt;"&amp;J229,$J$2:$J$501,"&gt;"&amp;C229)-1))</x:f>
        <x:v>0</x:v>
      </x:c>
      <x:c r="M229" s="2" t="str">
        <x:f>IF(A229="","",IF(E229&lt;&gt;"sim","Revisar escala",IF(OR(K229&gt;0,L229&gt;0),"Conflito de escala",IF(COUNTIFS('Solicitacoes'!$F$2:$F$501,B229,'Solicitacoes'!$K$2:$K$501,F229,'Solicitacoes'!$I$2:$I$501,"pendente",'Solicitacoes'!$G$2:$G$501,"&lt;"&amp;J229,'Solicitacoes'!$N$2:$N$501,"&gt;"&amp;C229)+COUNTIFS('Solicitacoes'!$F$2:$F$501,B229,'Solicitacoes'!$E$2:$E$501,A229,'Solicitacoes'!$I$2:$I$501,"pendente",'Solicitacoes'!$G$2:$G$501,"&lt;"&amp;J229,'Solicitacoes'!$N$2:$N$501,"&gt;"&amp;C229)+COUNTIFS('Solicitacoes'!$F$2:$F$501,B229,'Solicitacoes'!$K$2:$K$501,F229,'Solicitacoes'!$I$2:$I$501,"confirmado",'Solicitacoes'!$G$2:$G$501,"&lt;"&amp;J229,'Solicitacoes'!$N$2:$N$501,"&gt;"&amp;C229)+COUNTIFS('Solicitacoes'!$F$2:$F$501,B229,'Solicitacoes'!$E$2:$E$501,A229,'Solicitacoes'!$I$2:$I$501,"confirmado",'Solicitacoes'!$G$2:$G$501,"&lt;"&amp;J229,'Solicitacoes'!$N$2:$N$501,"&gt;"&amp;C229)&gt;0,"Ocupado","Disponível"))))</x:f>
        <x:v>Revisar escala</x:v>
      </x:c>
      <x:c r="N229" s="2" t="n">
        <x:f>IF(A229="","",ROW()-1)</x:f>
        <x:v>228</x:v>
      </x:c>
    </x:row>
    <x:row r="230" ht="24" customHeight="1">
      <x:c r="A230" s="13" t="str">
        <x:v>Géssyca Martins</x:v>
      </x:c>
      <x:c r="B230" s="14" t="d">
        <x:v>2026-10-19T00:00:00.000Z</x:v>
      </x:c>
      <x:c r="C230" s="26" t="n">
        <x:v>0.5416666666666666</x:v>
      </x:c>
      <x:c r="D230" s="13" t="str">
        <x:v>presencial</x:v>
      </x:c>
      <x:c r="E230" s="13" t="str">
        <x:v>não</x:v>
      </x:c>
      <x:c r="F230" s="13" t="str">
        <x:v>Sala 1</x:v>
      </x:c>
      <x:c r="G230" s="12" t="n">
        <x:f>IF(A230="","",'Agenda'!$B$5)</x:f>
        <x:v>50</x:v>
      </x:c>
      <x:c r="H230" s="12" t="n">
        <x:f>IF(A230="","",'Agenda'!$B$6)</x:f>
        <x:v>10</x:v>
      </x:c>
      <x:c r="I230" s="24" t="n">
        <x:f>IF(A230="","",C230+G230/1440)</x:f>
        <x:v>0.5763888888888888</x:v>
      </x:c>
      <x:c r="J230" s="24" t="n">
        <x:f>IF(A230="","",C230+(G230+H230)/1440)</x:f>
        <x:v>0.5833333333333333</x:v>
      </x:c>
      <x:c r="K230" s="27" t="n">
        <x:f>IF(A230="","",IF(E230&lt;&gt;"sim",0,COUNTIFS($B$2:$B$501,B230,$F$2:$F$501,F230,$E$2:$E$501,"sim",$C$2:$C$501,"&lt;"&amp;J230,$J$2:$J$501,"&gt;"&amp;C230)-1))</x:f>
        <x:v>0</x:v>
      </x:c>
      <x:c r="L230" s="27" t="n">
        <x:f>IF(A230="","",IF(E230&lt;&gt;"sim",0,COUNTIFS($B$2:$B$501,B230,$A$2:$A$501,A230,$E$2:$E$501,"sim",$C$2:$C$501,"&lt;"&amp;J230,$J$2:$J$501,"&gt;"&amp;C230)-1))</x:f>
        <x:v>0</x:v>
      </x:c>
      <x:c r="M230" s="2" t="str">
        <x:f>IF(A230="","",IF(E230&lt;&gt;"sim","Revisar escala",IF(OR(K230&gt;0,L230&gt;0),"Conflito de escala",IF(COUNTIFS('Solicitacoes'!$F$2:$F$501,B230,'Solicitacoes'!$K$2:$K$501,F230,'Solicitacoes'!$I$2:$I$501,"pendente",'Solicitacoes'!$G$2:$G$501,"&lt;"&amp;J230,'Solicitacoes'!$N$2:$N$501,"&gt;"&amp;C230)+COUNTIFS('Solicitacoes'!$F$2:$F$501,B230,'Solicitacoes'!$E$2:$E$501,A230,'Solicitacoes'!$I$2:$I$501,"pendente",'Solicitacoes'!$G$2:$G$501,"&lt;"&amp;J230,'Solicitacoes'!$N$2:$N$501,"&gt;"&amp;C230)+COUNTIFS('Solicitacoes'!$F$2:$F$501,B230,'Solicitacoes'!$K$2:$K$501,F230,'Solicitacoes'!$I$2:$I$501,"confirmado",'Solicitacoes'!$G$2:$G$501,"&lt;"&amp;J230,'Solicitacoes'!$N$2:$N$501,"&gt;"&amp;C230)+COUNTIFS('Solicitacoes'!$F$2:$F$501,B230,'Solicitacoes'!$E$2:$E$501,A230,'Solicitacoes'!$I$2:$I$501,"confirmado",'Solicitacoes'!$G$2:$G$501,"&lt;"&amp;J230,'Solicitacoes'!$N$2:$N$501,"&gt;"&amp;C230)&gt;0,"Ocupado","Disponível"))))</x:f>
        <x:v>Revisar escala</x:v>
      </x:c>
      <x:c r="N230" s="2" t="n">
        <x:f>IF(A230="","",ROW()-1)</x:f>
        <x:v>229</x:v>
      </x:c>
    </x:row>
    <x:row r="231" ht="24" customHeight="1">
      <x:c r="A231" s="13" t="str">
        <x:v>Laura Casanova</x:v>
      </x:c>
      <x:c r="B231" s="14" t="d">
        <x:v>2026-10-19T00:00:00.000Z</x:v>
      </x:c>
      <x:c r="C231" s="26" t="n">
        <x:v>0.5416666666666666</x:v>
      </x:c>
      <x:c r="D231" s="13" t="str">
        <x:v>presencial</x:v>
      </x:c>
      <x:c r="E231" s="13" t="str">
        <x:v>não</x:v>
      </x:c>
      <x:c r="F231" s="13" t="str">
        <x:v>Sala 2</x:v>
      </x:c>
      <x:c r="G231" s="12" t="n">
        <x:f>IF(A231="","",'Agenda'!$B$5)</x:f>
        <x:v>50</x:v>
      </x:c>
      <x:c r="H231" s="12" t="n">
        <x:f>IF(A231="","",'Agenda'!$B$6)</x:f>
        <x:v>10</x:v>
      </x:c>
      <x:c r="I231" s="24" t="n">
        <x:f>IF(A231="","",C231+G231/1440)</x:f>
        <x:v>0.5763888888888888</x:v>
      </x:c>
      <x:c r="J231" s="24" t="n">
        <x:f>IF(A231="","",C231+(G231+H231)/1440)</x:f>
        <x:v>0.5833333333333333</x:v>
      </x:c>
      <x:c r="K231" s="27" t="n">
        <x:f>IF(A231="","",IF(E231&lt;&gt;"sim",0,COUNTIFS($B$2:$B$501,B231,$F$2:$F$501,F231,$E$2:$E$501,"sim",$C$2:$C$501,"&lt;"&amp;J231,$J$2:$J$501,"&gt;"&amp;C231)-1))</x:f>
        <x:v>0</x:v>
      </x:c>
      <x:c r="L231" s="27" t="n">
        <x:f>IF(A231="","",IF(E231&lt;&gt;"sim",0,COUNTIFS($B$2:$B$501,B231,$A$2:$A$501,A231,$E$2:$E$501,"sim",$C$2:$C$501,"&lt;"&amp;J231,$J$2:$J$501,"&gt;"&amp;C231)-1))</x:f>
        <x:v>0</x:v>
      </x:c>
      <x:c r="M231" s="2" t="str">
        <x:f>IF(A231="","",IF(E231&lt;&gt;"sim","Revisar escala",IF(OR(K231&gt;0,L231&gt;0),"Conflito de escala",IF(COUNTIFS('Solicitacoes'!$F$2:$F$501,B231,'Solicitacoes'!$K$2:$K$501,F231,'Solicitacoes'!$I$2:$I$501,"pendente",'Solicitacoes'!$G$2:$G$501,"&lt;"&amp;J231,'Solicitacoes'!$N$2:$N$501,"&gt;"&amp;C231)+COUNTIFS('Solicitacoes'!$F$2:$F$501,B231,'Solicitacoes'!$E$2:$E$501,A231,'Solicitacoes'!$I$2:$I$501,"pendente",'Solicitacoes'!$G$2:$G$501,"&lt;"&amp;J231,'Solicitacoes'!$N$2:$N$501,"&gt;"&amp;C231)+COUNTIFS('Solicitacoes'!$F$2:$F$501,B231,'Solicitacoes'!$K$2:$K$501,F231,'Solicitacoes'!$I$2:$I$501,"confirmado",'Solicitacoes'!$G$2:$G$501,"&lt;"&amp;J231,'Solicitacoes'!$N$2:$N$501,"&gt;"&amp;C231)+COUNTIFS('Solicitacoes'!$F$2:$F$501,B231,'Solicitacoes'!$E$2:$E$501,A231,'Solicitacoes'!$I$2:$I$501,"confirmado",'Solicitacoes'!$G$2:$G$501,"&lt;"&amp;J231,'Solicitacoes'!$N$2:$N$501,"&gt;"&amp;C231)&gt;0,"Ocupado","Disponível"))))</x:f>
        <x:v>Revisar escala</x:v>
      </x:c>
      <x:c r="N231" s="2" t="n">
        <x:f>IF(A231="","",ROW()-1)</x:f>
        <x:v>230</x:v>
      </x:c>
    </x:row>
    <x:row r="232" ht="24" customHeight="1">
      <x:c r="A232" s="13" t="str">
        <x:v>Aline Reis</x:v>
      </x:c>
      <x:c r="B232" s="14" t="d">
        <x:v>2026-10-19T00:00:00.000Z</x:v>
      </x:c>
      <x:c r="C232" s="26" t="n">
        <x:v>0.5833333333333334</x:v>
      </x:c>
      <x:c r="D232" s="13" t="str">
        <x:v>presencial</x:v>
      </x:c>
      <x:c r="E232" s="13" t="str">
        <x:v>não</x:v>
      </x:c>
      <x:c r="F232" s="13" t="str">
        <x:v>Sala 1</x:v>
      </x:c>
      <x:c r="G232" s="12" t="n">
        <x:f>IF(A232="","",'Agenda'!$B$5)</x:f>
        <x:v>50</x:v>
      </x:c>
      <x:c r="H232" s="12" t="n">
        <x:f>IF(A232="","",'Agenda'!$B$6)</x:f>
        <x:v>10</x:v>
      </x:c>
      <x:c r="I232" s="24" t="n">
        <x:f>IF(A232="","",C232+G232/1440)</x:f>
        <x:v>0.6180555555555556</x:v>
      </x:c>
      <x:c r="J232" s="24" t="n">
        <x:f>IF(A232="","",C232+(G232+H232)/1440)</x:f>
        <x:v>0.625</x:v>
      </x:c>
      <x:c r="K232" s="27" t="n">
        <x:f>IF(A232="","",IF(E232&lt;&gt;"sim",0,COUNTIFS($B$2:$B$501,B232,$F$2:$F$501,F232,$E$2:$E$501,"sim",$C$2:$C$501,"&lt;"&amp;J232,$J$2:$J$501,"&gt;"&amp;C232)-1))</x:f>
        <x:v>0</x:v>
      </x:c>
      <x:c r="L232" s="27" t="n">
        <x:f>IF(A232="","",IF(E232&lt;&gt;"sim",0,COUNTIFS($B$2:$B$501,B232,$A$2:$A$501,A232,$E$2:$E$501,"sim",$C$2:$C$501,"&lt;"&amp;J232,$J$2:$J$501,"&gt;"&amp;C232)-1))</x:f>
        <x:v>0</x:v>
      </x:c>
      <x:c r="M232" s="2" t="str">
        <x:f>IF(A232="","",IF(E232&lt;&gt;"sim","Revisar escala",IF(OR(K232&gt;0,L232&gt;0),"Conflito de escala",IF(COUNTIFS('Solicitacoes'!$F$2:$F$501,B232,'Solicitacoes'!$K$2:$K$501,F232,'Solicitacoes'!$I$2:$I$501,"pendente",'Solicitacoes'!$G$2:$G$501,"&lt;"&amp;J232,'Solicitacoes'!$N$2:$N$501,"&gt;"&amp;C232)+COUNTIFS('Solicitacoes'!$F$2:$F$501,B232,'Solicitacoes'!$E$2:$E$501,A232,'Solicitacoes'!$I$2:$I$501,"pendente",'Solicitacoes'!$G$2:$G$501,"&lt;"&amp;J232,'Solicitacoes'!$N$2:$N$501,"&gt;"&amp;C232)+COUNTIFS('Solicitacoes'!$F$2:$F$501,B232,'Solicitacoes'!$K$2:$K$501,F232,'Solicitacoes'!$I$2:$I$501,"confirmado",'Solicitacoes'!$G$2:$G$501,"&lt;"&amp;J232,'Solicitacoes'!$N$2:$N$501,"&gt;"&amp;C232)+COUNTIFS('Solicitacoes'!$F$2:$F$501,B232,'Solicitacoes'!$E$2:$E$501,A232,'Solicitacoes'!$I$2:$I$501,"confirmado",'Solicitacoes'!$G$2:$G$501,"&lt;"&amp;J232,'Solicitacoes'!$N$2:$N$501,"&gt;"&amp;C232)&gt;0,"Ocupado","Disponível"))))</x:f>
        <x:v>Revisar escala</x:v>
      </x:c>
      <x:c r="N232" s="2" t="n">
        <x:f>IF(A232="","",ROW()-1)</x:f>
        <x:v>231</x:v>
      </x:c>
    </x:row>
    <x:row r="233" ht="24" customHeight="1">
      <x:c r="A233" s="13" t="str">
        <x:v>Géssyca Martins</x:v>
      </x:c>
      <x:c r="B233" s="14" t="d">
        <x:v>2026-10-19T00:00:00.000Z</x:v>
      </x:c>
      <x:c r="C233" s="26" t="n">
        <x:v>0.5833333333333334</x:v>
      </x:c>
      <x:c r="D233" s="13" t="str">
        <x:v>presencial</x:v>
      </x:c>
      <x:c r="E233" s="13" t="str">
        <x:v>não</x:v>
      </x:c>
      <x:c r="F233" s="13" t="str">
        <x:v>Sala 2</x:v>
      </x:c>
      <x:c r="G233" s="12" t="n">
        <x:f>IF(A233="","",'Agenda'!$B$5)</x:f>
        <x:v>50</x:v>
      </x:c>
      <x:c r="H233" s="12" t="n">
        <x:f>IF(A233="","",'Agenda'!$B$6)</x:f>
        <x:v>10</x:v>
      </x:c>
      <x:c r="I233" s="24" t="n">
        <x:f>IF(A233="","",C233+G233/1440)</x:f>
        <x:v>0.6180555555555556</x:v>
      </x:c>
      <x:c r="J233" s="24" t="n">
        <x:f>IF(A233="","",C233+(G233+H233)/1440)</x:f>
        <x:v>0.625</x:v>
      </x:c>
      <x:c r="K233" s="27" t="n">
        <x:f>IF(A233="","",IF(E233&lt;&gt;"sim",0,COUNTIFS($B$2:$B$501,B233,$F$2:$F$501,F233,$E$2:$E$501,"sim",$C$2:$C$501,"&lt;"&amp;J233,$J$2:$J$501,"&gt;"&amp;C233)-1))</x:f>
        <x:v>0</x:v>
      </x:c>
      <x:c r="L233" s="27" t="n">
        <x:f>IF(A233="","",IF(E233&lt;&gt;"sim",0,COUNTIFS($B$2:$B$501,B233,$A$2:$A$501,A233,$E$2:$E$501,"sim",$C$2:$C$501,"&lt;"&amp;J233,$J$2:$J$501,"&gt;"&amp;C233)-1))</x:f>
        <x:v>0</x:v>
      </x:c>
      <x:c r="M233" s="2" t="str">
        <x:f>IF(A233="","",IF(E233&lt;&gt;"sim","Revisar escala",IF(OR(K233&gt;0,L233&gt;0),"Conflito de escala",IF(COUNTIFS('Solicitacoes'!$F$2:$F$501,B233,'Solicitacoes'!$K$2:$K$501,F233,'Solicitacoes'!$I$2:$I$501,"pendente",'Solicitacoes'!$G$2:$G$501,"&lt;"&amp;J233,'Solicitacoes'!$N$2:$N$501,"&gt;"&amp;C233)+COUNTIFS('Solicitacoes'!$F$2:$F$501,B233,'Solicitacoes'!$E$2:$E$501,A233,'Solicitacoes'!$I$2:$I$501,"pendente",'Solicitacoes'!$G$2:$G$501,"&lt;"&amp;J233,'Solicitacoes'!$N$2:$N$501,"&gt;"&amp;C233)+COUNTIFS('Solicitacoes'!$F$2:$F$501,B233,'Solicitacoes'!$K$2:$K$501,F233,'Solicitacoes'!$I$2:$I$501,"confirmado",'Solicitacoes'!$G$2:$G$501,"&lt;"&amp;J233,'Solicitacoes'!$N$2:$N$501,"&gt;"&amp;C233)+COUNTIFS('Solicitacoes'!$F$2:$F$501,B233,'Solicitacoes'!$E$2:$E$501,A233,'Solicitacoes'!$I$2:$I$501,"confirmado",'Solicitacoes'!$G$2:$G$501,"&lt;"&amp;J233,'Solicitacoes'!$N$2:$N$501,"&gt;"&amp;C233)&gt;0,"Ocupado","Disponível"))))</x:f>
        <x:v>Revisar escala</x:v>
      </x:c>
      <x:c r="N233" s="2" t="n">
        <x:f>IF(A233="","",ROW()-1)</x:f>
        <x:v>232</x:v>
      </x:c>
    </x:row>
    <x:row r="234" ht="24" customHeight="1">
      <x:c r="A234" s="13" t="str">
        <x:v>Aline Reis</x:v>
      </x:c>
      <x:c r="B234" s="14" t="d">
        <x:v>2026-10-19T00:00:00.000Z</x:v>
      </x:c>
      <x:c r="C234" s="26" t="n">
        <x:v>0.625</x:v>
      </x:c>
      <x:c r="D234" s="13" t="str">
        <x:v>presencial</x:v>
      </x:c>
      <x:c r="E234" s="13" t="str">
        <x:v>não</x:v>
      </x:c>
      <x:c r="F234" s="13" t="str">
        <x:v>Sala 1</x:v>
      </x:c>
      <x:c r="G234" s="12" t="n">
        <x:f>IF(A234="","",'Agenda'!$B$5)</x:f>
        <x:v>50</x:v>
      </x:c>
      <x:c r="H234" s="12" t="n">
        <x:f>IF(A234="","",'Agenda'!$B$6)</x:f>
        <x:v>10</x:v>
      </x:c>
      <x:c r="I234" s="24" t="n">
        <x:f>IF(A234="","",C234+G234/1440)</x:f>
        <x:v>0.6597222222222222</x:v>
      </x:c>
      <x:c r="J234" s="24" t="n">
        <x:f>IF(A234="","",C234+(G234+H234)/1440)</x:f>
        <x:v>0.6666666666666666</x:v>
      </x:c>
      <x:c r="K234" s="27" t="n">
        <x:f>IF(A234="","",IF(E234&lt;&gt;"sim",0,COUNTIFS($B$2:$B$501,B234,$F$2:$F$501,F234,$E$2:$E$501,"sim",$C$2:$C$501,"&lt;"&amp;J234,$J$2:$J$501,"&gt;"&amp;C234)-1))</x:f>
        <x:v>0</x:v>
      </x:c>
      <x:c r="L234" s="27" t="n">
        <x:f>IF(A234="","",IF(E234&lt;&gt;"sim",0,COUNTIFS($B$2:$B$501,B234,$A$2:$A$501,A234,$E$2:$E$501,"sim",$C$2:$C$501,"&lt;"&amp;J234,$J$2:$J$501,"&gt;"&amp;C234)-1))</x:f>
        <x:v>0</x:v>
      </x:c>
      <x:c r="M234" s="2" t="str">
        <x:f>IF(A234="","",IF(E234&lt;&gt;"sim","Revisar escala",IF(OR(K234&gt;0,L234&gt;0),"Conflito de escala",IF(COUNTIFS('Solicitacoes'!$F$2:$F$501,B234,'Solicitacoes'!$K$2:$K$501,F234,'Solicitacoes'!$I$2:$I$501,"pendente",'Solicitacoes'!$G$2:$G$501,"&lt;"&amp;J234,'Solicitacoes'!$N$2:$N$501,"&gt;"&amp;C234)+COUNTIFS('Solicitacoes'!$F$2:$F$501,B234,'Solicitacoes'!$E$2:$E$501,A234,'Solicitacoes'!$I$2:$I$501,"pendente",'Solicitacoes'!$G$2:$G$501,"&lt;"&amp;J234,'Solicitacoes'!$N$2:$N$501,"&gt;"&amp;C234)+COUNTIFS('Solicitacoes'!$F$2:$F$501,B234,'Solicitacoes'!$K$2:$K$501,F234,'Solicitacoes'!$I$2:$I$501,"confirmado",'Solicitacoes'!$G$2:$G$501,"&lt;"&amp;J234,'Solicitacoes'!$N$2:$N$501,"&gt;"&amp;C234)+COUNTIFS('Solicitacoes'!$F$2:$F$501,B234,'Solicitacoes'!$E$2:$E$501,A234,'Solicitacoes'!$I$2:$I$501,"confirmado",'Solicitacoes'!$G$2:$G$501,"&lt;"&amp;J234,'Solicitacoes'!$N$2:$N$501,"&gt;"&amp;C234)&gt;0,"Ocupado","Disponível"))))</x:f>
        <x:v>Revisar escala</x:v>
      </x:c>
      <x:c r="N234" s="2" t="n">
        <x:f>IF(A234="","",ROW()-1)</x:f>
        <x:v>233</x:v>
      </x:c>
    </x:row>
    <x:row r="235" ht="24" customHeight="1">
      <x:c r="A235" s="13" t="str">
        <x:v>Géssyca Martins</x:v>
      </x:c>
      <x:c r="B235" s="14" t="d">
        <x:v>2026-10-19T00:00:00.000Z</x:v>
      </x:c>
      <x:c r="C235" s="26" t="n">
        <x:v>0.625</x:v>
      </x:c>
      <x:c r="D235" s="13" t="str">
        <x:v>presencial</x:v>
      </x:c>
      <x:c r="E235" s="13" t="str">
        <x:v>não</x:v>
      </x:c>
      <x:c r="F235" s="13" t="str">
        <x:v>Sala 2</x:v>
      </x:c>
      <x:c r="G235" s="12" t="n">
        <x:f>IF(A235="","",'Agenda'!$B$5)</x:f>
        <x:v>50</x:v>
      </x:c>
      <x:c r="H235" s="12" t="n">
        <x:f>IF(A235="","",'Agenda'!$B$6)</x:f>
        <x:v>10</x:v>
      </x:c>
      <x:c r="I235" s="24" t="n">
        <x:f>IF(A235="","",C235+G235/1440)</x:f>
        <x:v>0.6597222222222222</x:v>
      </x:c>
      <x:c r="J235" s="24" t="n">
        <x:f>IF(A235="","",C235+(G235+H235)/1440)</x:f>
        <x:v>0.6666666666666666</x:v>
      </x:c>
      <x:c r="K235" s="27" t="n">
        <x:f>IF(A235="","",IF(E235&lt;&gt;"sim",0,COUNTIFS($B$2:$B$501,B235,$F$2:$F$501,F235,$E$2:$E$501,"sim",$C$2:$C$501,"&lt;"&amp;J235,$J$2:$J$501,"&gt;"&amp;C235)-1))</x:f>
        <x:v>0</x:v>
      </x:c>
      <x:c r="L235" s="27" t="n">
        <x:f>IF(A235="","",IF(E235&lt;&gt;"sim",0,COUNTIFS($B$2:$B$501,B235,$A$2:$A$501,A235,$E$2:$E$501,"sim",$C$2:$C$501,"&lt;"&amp;J235,$J$2:$J$501,"&gt;"&amp;C235)-1))</x:f>
        <x:v>0</x:v>
      </x:c>
      <x:c r="M235" s="2" t="str">
        <x:f>IF(A235="","",IF(E235&lt;&gt;"sim","Revisar escala",IF(OR(K235&gt;0,L235&gt;0),"Conflito de escala",IF(COUNTIFS('Solicitacoes'!$F$2:$F$501,B235,'Solicitacoes'!$K$2:$K$501,F235,'Solicitacoes'!$I$2:$I$501,"pendente",'Solicitacoes'!$G$2:$G$501,"&lt;"&amp;J235,'Solicitacoes'!$N$2:$N$501,"&gt;"&amp;C235)+COUNTIFS('Solicitacoes'!$F$2:$F$501,B235,'Solicitacoes'!$E$2:$E$501,A235,'Solicitacoes'!$I$2:$I$501,"pendente",'Solicitacoes'!$G$2:$G$501,"&lt;"&amp;J235,'Solicitacoes'!$N$2:$N$501,"&gt;"&amp;C235)+COUNTIFS('Solicitacoes'!$F$2:$F$501,B235,'Solicitacoes'!$K$2:$K$501,F235,'Solicitacoes'!$I$2:$I$501,"confirmado",'Solicitacoes'!$G$2:$G$501,"&lt;"&amp;J235,'Solicitacoes'!$N$2:$N$501,"&gt;"&amp;C235)+COUNTIFS('Solicitacoes'!$F$2:$F$501,B235,'Solicitacoes'!$E$2:$E$501,A235,'Solicitacoes'!$I$2:$I$501,"confirmado",'Solicitacoes'!$G$2:$G$501,"&lt;"&amp;J235,'Solicitacoes'!$N$2:$N$501,"&gt;"&amp;C235)&gt;0,"Ocupado","Disponível"))))</x:f>
        <x:v>Revisar escala</x:v>
      </x:c>
      <x:c r="N235" s="2" t="n">
        <x:f>IF(A235="","",ROW()-1)</x:f>
        <x:v>234</x:v>
      </x:c>
    </x:row>
    <x:row r="236" ht="24" customHeight="1">
      <x:c r="A236" s="13" t="str">
        <x:v>Aline Reis</x:v>
      </x:c>
      <x:c r="B236" s="14" t="d">
        <x:v>2026-10-19T00:00:00.000Z</x:v>
      </x:c>
      <x:c r="C236" s="26" t="n">
        <x:v>0.6666666666666666</x:v>
      </x:c>
      <x:c r="D236" s="13" t="str">
        <x:v>presencial</x:v>
      </x:c>
      <x:c r="E236" s="13" t="str">
        <x:v>não</x:v>
      </x:c>
      <x:c r="F236" s="13" t="str">
        <x:v>Sala 1</x:v>
      </x:c>
      <x:c r="G236" s="12" t="n">
        <x:f>IF(A236="","",'Agenda'!$B$5)</x:f>
        <x:v>50</x:v>
      </x:c>
      <x:c r="H236" s="12" t="n">
        <x:f>IF(A236="","",'Agenda'!$B$6)</x:f>
        <x:v>10</x:v>
      </x:c>
      <x:c r="I236" s="24" t="n">
        <x:f>IF(A236="","",C236+G236/1440)</x:f>
        <x:v>0.7013888888888888</x:v>
      </x:c>
      <x:c r="J236" s="24" t="n">
        <x:f>IF(A236="","",C236+(G236+H236)/1440)</x:f>
        <x:v>0.7083333333333333</x:v>
      </x:c>
      <x:c r="K236" s="27" t="n">
        <x:f>IF(A236="","",IF(E236&lt;&gt;"sim",0,COUNTIFS($B$2:$B$501,B236,$F$2:$F$501,F236,$E$2:$E$501,"sim",$C$2:$C$501,"&lt;"&amp;J236,$J$2:$J$501,"&gt;"&amp;C236)-1))</x:f>
        <x:v>0</x:v>
      </x:c>
      <x:c r="L236" s="27" t="n">
        <x:f>IF(A236="","",IF(E236&lt;&gt;"sim",0,COUNTIFS($B$2:$B$501,B236,$A$2:$A$501,A236,$E$2:$E$501,"sim",$C$2:$C$501,"&lt;"&amp;J236,$J$2:$J$501,"&gt;"&amp;C236)-1))</x:f>
        <x:v>0</x:v>
      </x:c>
      <x:c r="M236" s="2" t="str">
        <x:f>IF(A236="","",IF(E236&lt;&gt;"sim","Revisar escala",IF(OR(K236&gt;0,L236&gt;0),"Conflito de escala",IF(COUNTIFS('Solicitacoes'!$F$2:$F$501,B236,'Solicitacoes'!$K$2:$K$501,F236,'Solicitacoes'!$I$2:$I$501,"pendente",'Solicitacoes'!$G$2:$G$501,"&lt;"&amp;J236,'Solicitacoes'!$N$2:$N$501,"&gt;"&amp;C236)+COUNTIFS('Solicitacoes'!$F$2:$F$501,B236,'Solicitacoes'!$E$2:$E$501,A236,'Solicitacoes'!$I$2:$I$501,"pendente",'Solicitacoes'!$G$2:$G$501,"&lt;"&amp;J236,'Solicitacoes'!$N$2:$N$501,"&gt;"&amp;C236)+COUNTIFS('Solicitacoes'!$F$2:$F$501,B236,'Solicitacoes'!$K$2:$K$501,F236,'Solicitacoes'!$I$2:$I$501,"confirmado",'Solicitacoes'!$G$2:$G$501,"&lt;"&amp;J236,'Solicitacoes'!$N$2:$N$501,"&gt;"&amp;C236)+COUNTIFS('Solicitacoes'!$F$2:$F$501,B236,'Solicitacoes'!$E$2:$E$501,A236,'Solicitacoes'!$I$2:$I$501,"confirmado",'Solicitacoes'!$G$2:$G$501,"&lt;"&amp;J236,'Solicitacoes'!$N$2:$N$501,"&gt;"&amp;C236)&gt;0,"Ocupado","Disponível"))))</x:f>
        <x:v>Revisar escala</x:v>
      </x:c>
      <x:c r="N236" s="2" t="n">
        <x:f>IF(A236="","",ROW()-1)</x:f>
        <x:v>235</x:v>
      </x:c>
    </x:row>
    <x:row r="237" ht="24" customHeight="1">
      <x:c r="A237" s="13" t="str">
        <x:v>Géssyca Martins</x:v>
      </x:c>
      <x:c r="B237" s="14" t="d">
        <x:v>2026-10-19T00:00:00.000Z</x:v>
      </x:c>
      <x:c r="C237" s="26" t="n">
        <x:v>0.6666666666666666</x:v>
      </x:c>
      <x:c r="D237" s="13" t="str">
        <x:v>presencial</x:v>
      </x:c>
      <x:c r="E237" s="13" t="str">
        <x:v>não</x:v>
      </x:c>
      <x:c r="F237" s="13" t="str">
        <x:v>Sala 2</x:v>
      </x:c>
      <x:c r="G237" s="12" t="n">
        <x:f>IF(A237="","",'Agenda'!$B$5)</x:f>
        <x:v>50</x:v>
      </x:c>
      <x:c r="H237" s="12" t="n">
        <x:f>IF(A237="","",'Agenda'!$B$6)</x:f>
        <x:v>10</x:v>
      </x:c>
      <x:c r="I237" s="24" t="n">
        <x:f>IF(A237="","",C237+G237/1440)</x:f>
        <x:v>0.7013888888888888</x:v>
      </x:c>
      <x:c r="J237" s="24" t="n">
        <x:f>IF(A237="","",C237+(G237+H237)/1440)</x:f>
        <x:v>0.7083333333333333</x:v>
      </x:c>
      <x:c r="K237" s="27" t="n">
        <x:f>IF(A237="","",IF(E237&lt;&gt;"sim",0,COUNTIFS($B$2:$B$501,B237,$F$2:$F$501,F237,$E$2:$E$501,"sim",$C$2:$C$501,"&lt;"&amp;J237,$J$2:$J$501,"&gt;"&amp;C237)-1))</x:f>
        <x:v>0</x:v>
      </x:c>
      <x:c r="L237" s="27" t="n">
        <x:f>IF(A237="","",IF(E237&lt;&gt;"sim",0,COUNTIFS($B$2:$B$501,B237,$A$2:$A$501,A237,$E$2:$E$501,"sim",$C$2:$C$501,"&lt;"&amp;J237,$J$2:$J$501,"&gt;"&amp;C237)-1))</x:f>
        <x:v>0</x:v>
      </x:c>
      <x:c r="M237" s="2" t="str">
        <x:f>IF(A237="","",IF(E237&lt;&gt;"sim","Revisar escala",IF(OR(K237&gt;0,L237&gt;0),"Conflito de escala",IF(COUNTIFS('Solicitacoes'!$F$2:$F$501,B237,'Solicitacoes'!$K$2:$K$501,F237,'Solicitacoes'!$I$2:$I$501,"pendente",'Solicitacoes'!$G$2:$G$501,"&lt;"&amp;J237,'Solicitacoes'!$N$2:$N$501,"&gt;"&amp;C237)+COUNTIFS('Solicitacoes'!$F$2:$F$501,B237,'Solicitacoes'!$E$2:$E$501,A237,'Solicitacoes'!$I$2:$I$501,"pendente",'Solicitacoes'!$G$2:$G$501,"&lt;"&amp;J237,'Solicitacoes'!$N$2:$N$501,"&gt;"&amp;C237)+COUNTIFS('Solicitacoes'!$F$2:$F$501,B237,'Solicitacoes'!$K$2:$K$501,F237,'Solicitacoes'!$I$2:$I$501,"confirmado",'Solicitacoes'!$G$2:$G$501,"&lt;"&amp;J237,'Solicitacoes'!$N$2:$N$501,"&gt;"&amp;C237)+COUNTIFS('Solicitacoes'!$F$2:$F$501,B237,'Solicitacoes'!$E$2:$E$501,A237,'Solicitacoes'!$I$2:$I$501,"confirmado",'Solicitacoes'!$G$2:$G$501,"&lt;"&amp;J237,'Solicitacoes'!$N$2:$N$501,"&gt;"&amp;C237)&gt;0,"Ocupado","Disponível"))))</x:f>
        <x:v>Revisar escala</x:v>
      </x:c>
      <x:c r="N237" s="2" t="n">
        <x:f>IF(A237="","",ROW()-1)</x:f>
        <x:v>236</x:v>
      </x:c>
    </x:row>
    <x:row r="238" ht="24" customHeight="1">
      <x:c r="A238" s="13" t="str">
        <x:v>Aline Reis</x:v>
      </x:c>
      <x:c r="B238" s="14" t="d">
        <x:v>2026-10-19T00:00:00.000Z</x:v>
      </x:c>
      <x:c r="C238" s="26" t="n">
        <x:v>0.7083333333333334</x:v>
      </x:c>
      <x:c r="D238" s="13" t="str">
        <x:v>presencial</x:v>
      </x:c>
      <x:c r="E238" s="13" t="str">
        <x:v>não</x:v>
      </x:c>
      <x:c r="F238" s="13" t="str">
        <x:v>Sala 1</x:v>
      </x:c>
      <x:c r="G238" s="12" t="n">
        <x:f>IF(A238="","",'Agenda'!$B$5)</x:f>
        <x:v>50</x:v>
      </x:c>
      <x:c r="H238" s="12" t="n">
        <x:f>IF(A238="","",'Agenda'!$B$6)</x:f>
        <x:v>10</x:v>
      </x:c>
      <x:c r="I238" s="24" t="n">
        <x:f>IF(A238="","",C238+G238/1440)</x:f>
        <x:v>0.7430555555555556</x:v>
      </x:c>
      <x:c r="J238" s="24" t="n">
        <x:f>IF(A238="","",C238+(G238+H238)/1440)</x:f>
        <x:v>0.75</x:v>
      </x:c>
      <x:c r="K238" s="27" t="n">
        <x:f>IF(A238="","",IF(E238&lt;&gt;"sim",0,COUNTIFS($B$2:$B$501,B238,$F$2:$F$501,F238,$E$2:$E$501,"sim",$C$2:$C$501,"&lt;"&amp;J238,$J$2:$J$501,"&gt;"&amp;C238)-1))</x:f>
        <x:v>0</x:v>
      </x:c>
      <x:c r="L238" s="27" t="n">
        <x:f>IF(A238="","",IF(E238&lt;&gt;"sim",0,COUNTIFS($B$2:$B$501,B238,$A$2:$A$501,A238,$E$2:$E$501,"sim",$C$2:$C$501,"&lt;"&amp;J238,$J$2:$J$501,"&gt;"&amp;C238)-1))</x:f>
        <x:v>0</x:v>
      </x:c>
      <x:c r="M238" s="2" t="str">
        <x:f>IF(A238="","",IF(E238&lt;&gt;"sim","Revisar escala",IF(OR(K238&gt;0,L238&gt;0),"Conflito de escala",IF(COUNTIFS('Solicitacoes'!$F$2:$F$501,B238,'Solicitacoes'!$K$2:$K$501,F238,'Solicitacoes'!$I$2:$I$501,"pendente",'Solicitacoes'!$G$2:$G$501,"&lt;"&amp;J238,'Solicitacoes'!$N$2:$N$501,"&gt;"&amp;C238)+COUNTIFS('Solicitacoes'!$F$2:$F$501,B238,'Solicitacoes'!$E$2:$E$501,A238,'Solicitacoes'!$I$2:$I$501,"pendente",'Solicitacoes'!$G$2:$G$501,"&lt;"&amp;J238,'Solicitacoes'!$N$2:$N$501,"&gt;"&amp;C238)+COUNTIFS('Solicitacoes'!$F$2:$F$501,B238,'Solicitacoes'!$K$2:$K$501,F238,'Solicitacoes'!$I$2:$I$501,"confirmado",'Solicitacoes'!$G$2:$G$501,"&lt;"&amp;J238,'Solicitacoes'!$N$2:$N$501,"&gt;"&amp;C238)+COUNTIFS('Solicitacoes'!$F$2:$F$501,B238,'Solicitacoes'!$E$2:$E$501,A238,'Solicitacoes'!$I$2:$I$501,"confirmado",'Solicitacoes'!$G$2:$G$501,"&lt;"&amp;J238,'Solicitacoes'!$N$2:$N$501,"&gt;"&amp;C238)&gt;0,"Ocupado","Disponível"))))</x:f>
        <x:v>Revisar escala</x:v>
      </x:c>
      <x:c r="N238" s="2" t="n">
        <x:f>IF(A238="","",ROW()-1)</x:f>
        <x:v>237</x:v>
      </x:c>
    </x:row>
    <x:row r="239" ht="24" customHeight="1">
      <x:c r="A239" s="13" t="str">
        <x:v>Géssyca Martins</x:v>
      </x:c>
      <x:c r="B239" s="14" t="d">
        <x:v>2026-10-19T00:00:00.000Z</x:v>
      </x:c>
      <x:c r="C239" s="26" t="n">
        <x:v>0.7083333333333334</x:v>
      </x:c>
      <x:c r="D239" s="13" t="str">
        <x:v>presencial</x:v>
      </x:c>
      <x:c r="E239" s="13" t="str">
        <x:v>não</x:v>
      </x:c>
      <x:c r="F239" s="13" t="str">
        <x:v>Sala 2</x:v>
      </x:c>
      <x:c r="G239" s="12" t="n">
        <x:f>IF(A239="","",'Agenda'!$B$5)</x:f>
        <x:v>50</x:v>
      </x:c>
      <x:c r="H239" s="12" t="n">
        <x:f>IF(A239="","",'Agenda'!$B$6)</x:f>
        <x:v>10</x:v>
      </x:c>
      <x:c r="I239" s="24" t="n">
        <x:f>IF(A239="","",C239+G239/1440)</x:f>
        <x:v>0.7430555555555556</x:v>
      </x:c>
      <x:c r="J239" s="24" t="n">
        <x:f>IF(A239="","",C239+(G239+H239)/1440)</x:f>
        <x:v>0.75</x:v>
      </x:c>
      <x:c r="K239" s="27" t="n">
        <x:f>IF(A239="","",IF(E239&lt;&gt;"sim",0,COUNTIFS($B$2:$B$501,B239,$F$2:$F$501,F239,$E$2:$E$501,"sim",$C$2:$C$501,"&lt;"&amp;J239,$J$2:$J$501,"&gt;"&amp;C239)-1))</x:f>
        <x:v>0</x:v>
      </x:c>
      <x:c r="L239" s="27" t="n">
        <x:f>IF(A239="","",IF(E239&lt;&gt;"sim",0,COUNTIFS($B$2:$B$501,B239,$A$2:$A$501,A239,$E$2:$E$501,"sim",$C$2:$C$501,"&lt;"&amp;J239,$J$2:$J$501,"&gt;"&amp;C239)-1))</x:f>
        <x:v>0</x:v>
      </x:c>
      <x:c r="M239" s="2" t="str">
        <x:f>IF(A239="","",IF(E239&lt;&gt;"sim","Revisar escala",IF(OR(K239&gt;0,L239&gt;0),"Conflito de escala",IF(COUNTIFS('Solicitacoes'!$F$2:$F$501,B239,'Solicitacoes'!$K$2:$K$501,F239,'Solicitacoes'!$I$2:$I$501,"pendente",'Solicitacoes'!$G$2:$G$501,"&lt;"&amp;J239,'Solicitacoes'!$N$2:$N$501,"&gt;"&amp;C239)+COUNTIFS('Solicitacoes'!$F$2:$F$501,B239,'Solicitacoes'!$E$2:$E$501,A239,'Solicitacoes'!$I$2:$I$501,"pendente",'Solicitacoes'!$G$2:$G$501,"&lt;"&amp;J239,'Solicitacoes'!$N$2:$N$501,"&gt;"&amp;C239)+COUNTIFS('Solicitacoes'!$F$2:$F$501,B239,'Solicitacoes'!$K$2:$K$501,F239,'Solicitacoes'!$I$2:$I$501,"confirmado",'Solicitacoes'!$G$2:$G$501,"&lt;"&amp;J239,'Solicitacoes'!$N$2:$N$501,"&gt;"&amp;C239)+COUNTIFS('Solicitacoes'!$F$2:$F$501,B239,'Solicitacoes'!$E$2:$E$501,A239,'Solicitacoes'!$I$2:$I$501,"confirmado",'Solicitacoes'!$G$2:$G$501,"&lt;"&amp;J239,'Solicitacoes'!$N$2:$N$501,"&gt;"&amp;C239)&gt;0,"Ocupado","Disponível"))))</x:f>
        <x:v>Revisar escala</x:v>
      </x:c>
      <x:c r="N239" s="2" t="n">
        <x:f>IF(A239="","",ROW()-1)</x:f>
        <x:v>238</x:v>
      </x:c>
    </x:row>
    <x:row r="240" ht="24" customHeight="1">
      <x:c r="A240" s="13" t="str">
        <x:v>Aline Reis</x:v>
      </x:c>
      <x:c r="B240" s="14" t="d">
        <x:v>2026-10-19T00:00:00.000Z</x:v>
      </x:c>
      <x:c r="C240" s="26" t="n">
        <x:v>0.75</x:v>
      </x:c>
      <x:c r="D240" s="13" t="str">
        <x:v>presencial</x:v>
      </x:c>
      <x:c r="E240" s="13" t="str">
        <x:v>não</x:v>
      </x:c>
      <x:c r="F240" s="13" t="str">
        <x:v>Sala 1</x:v>
      </x:c>
      <x:c r="G240" s="12" t="n">
        <x:f>IF(A240="","",'Agenda'!$B$5)</x:f>
        <x:v>50</x:v>
      </x:c>
      <x:c r="H240" s="12" t="n">
        <x:f>IF(A240="","",'Agenda'!$B$6)</x:f>
        <x:v>10</x:v>
      </x:c>
      <x:c r="I240" s="24" t="n">
        <x:f>IF(A240="","",C240+G240/1440)</x:f>
        <x:v>0.7847222222222222</x:v>
      </x:c>
      <x:c r="J240" s="24" t="n">
        <x:f>IF(A240="","",C240+(G240+H240)/1440)</x:f>
        <x:v>0.7916666666666666</x:v>
      </x:c>
      <x:c r="K240" s="27" t="n">
        <x:f>IF(A240="","",IF(E240&lt;&gt;"sim",0,COUNTIFS($B$2:$B$501,B240,$F$2:$F$501,F240,$E$2:$E$501,"sim",$C$2:$C$501,"&lt;"&amp;J240,$J$2:$J$501,"&gt;"&amp;C240)-1))</x:f>
        <x:v>0</x:v>
      </x:c>
      <x:c r="L240" s="27" t="n">
        <x:f>IF(A240="","",IF(E240&lt;&gt;"sim",0,COUNTIFS($B$2:$B$501,B240,$A$2:$A$501,A240,$E$2:$E$501,"sim",$C$2:$C$501,"&lt;"&amp;J240,$J$2:$J$501,"&gt;"&amp;C240)-1))</x:f>
        <x:v>0</x:v>
      </x:c>
      <x:c r="M240" s="2" t="str">
        <x:f>IF(A240="","",IF(E240&lt;&gt;"sim","Revisar escala",IF(OR(K240&gt;0,L240&gt;0),"Conflito de escala",IF(COUNTIFS('Solicitacoes'!$F$2:$F$501,B240,'Solicitacoes'!$K$2:$K$501,F240,'Solicitacoes'!$I$2:$I$501,"pendente",'Solicitacoes'!$G$2:$G$501,"&lt;"&amp;J240,'Solicitacoes'!$N$2:$N$501,"&gt;"&amp;C240)+COUNTIFS('Solicitacoes'!$F$2:$F$501,B240,'Solicitacoes'!$E$2:$E$501,A240,'Solicitacoes'!$I$2:$I$501,"pendente",'Solicitacoes'!$G$2:$G$501,"&lt;"&amp;J240,'Solicitacoes'!$N$2:$N$501,"&gt;"&amp;C240)+COUNTIFS('Solicitacoes'!$F$2:$F$501,B240,'Solicitacoes'!$K$2:$K$501,F240,'Solicitacoes'!$I$2:$I$501,"confirmado",'Solicitacoes'!$G$2:$G$501,"&lt;"&amp;J240,'Solicitacoes'!$N$2:$N$501,"&gt;"&amp;C240)+COUNTIFS('Solicitacoes'!$F$2:$F$501,B240,'Solicitacoes'!$E$2:$E$501,A240,'Solicitacoes'!$I$2:$I$501,"confirmado",'Solicitacoes'!$G$2:$G$501,"&lt;"&amp;J240,'Solicitacoes'!$N$2:$N$501,"&gt;"&amp;C240)&gt;0,"Ocupado","Disponível"))))</x:f>
        <x:v>Revisar escala</x:v>
      </x:c>
      <x:c r="N240" s="2" t="n">
        <x:f>IF(A240="","",ROW()-1)</x:f>
        <x:v>239</x:v>
      </x:c>
    </x:row>
    <x:row r="241" ht="24" customHeight="1">
      <x:c r="A241" s="13" t="str">
        <x:v>Géssyca Martins</x:v>
      </x:c>
      <x:c r="B241" s="14" t="d">
        <x:v>2026-10-19T00:00:00.000Z</x:v>
      </x:c>
      <x:c r="C241" s="26" t="n">
        <x:v>0.75</x:v>
      </x:c>
      <x:c r="D241" s="13" t="str">
        <x:v>presencial</x:v>
      </x:c>
      <x:c r="E241" s="13" t="str">
        <x:v>não</x:v>
      </x:c>
      <x:c r="F241" s="13" t="str">
        <x:v>Sala 2</x:v>
      </x:c>
      <x:c r="G241" s="12" t="n">
        <x:f>IF(A241="","",'Agenda'!$B$5)</x:f>
        <x:v>50</x:v>
      </x:c>
      <x:c r="H241" s="12" t="n">
        <x:f>IF(A241="","",'Agenda'!$B$6)</x:f>
        <x:v>10</x:v>
      </x:c>
      <x:c r="I241" s="24" t="n">
        <x:f>IF(A241="","",C241+G241/1440)</x:f>
        <x:v>0.7847222222222222</x:v>
      </x:c>
      <x:c r="J241" s="24" t="n">
        <x:f>IF(A241="","",C241+(G241+H241)/1440)</x:f>
        <x:v>0.7916666666666666</x:v>
      </x:c>
      <x:c r="K241" s="27" t="n">
        <x:f>IF(A241="","",IF(E241&lt;&gt;"sim",0,COUNTIFS($B$2:$B$501,B241,$F$2:$F$501,F241,$E$2:$E$501,"sim",$C$2:$C$501,"&lt;"&amp;J241,$J$2:$J$501,"&gt;"&amp;C241)-1))</x:f>
        <x:v>0</x:v>
      </x:c>
      <x:c r="L241" s="27" t="n">
        <x:f>IF(A241="","",IF(E241&lt;&gt;"sim",0,COUNTIFS($B$2:$B$501,B241,$A$2:$A$501,A241,$E$2:$E$501,"sim",$C$2:$C$501,"&lt;"&amp;J241,$J$2:$J$501,"&gt;"&amp;C241)-1))</x:f>
        <x:v>0</x:v>
      </x:c>
      <x:c r="M241" s="2" t="str">
        <x:f>IF(A241="","",IF(E241&lt;&gt;"sim","Revisar escala",IF(OR(K241&gt;0,L241&gt;0),"Conflito de escala",IF(COUNTIFS('Solicitacoes'!$F$2:$F$501,B241,'Solicitacoes'!$K$2:$K$501,F241,'Solicitacoes'!$I$2:$I$501,"pendente",'Solicitacoes'!$G$2:$G$501,"&lt;"&amp;J241,'Solicitacoes'!$N$2:$N$501,"&gt;"&amp;C241)+COUNTIFS('Solicitacoes'!$F$2:$F$501,B241,'Solicitacoes'!$E$2:$E$501,A241,'Solicitacoes'!$I$2:$I$501,"pendente",'Solicitacoes'!$G$2:$G$501,"&lt;"&amp;J241,'Solicitacoes'!$N$2:$N$501,"&gt;"&amp;C241)+COUNTIFS('Solicitacoes'!$F$2:$F$501,B241,'Solicitacoes'!$K$2:$K$501,F241,'Solicitacoes'!$I$2:$I$501,"confirmado",'Solicitacoes'!$G$2:$G$501,"&lt;"&amp;J241,'Solicitacoes'!$N$2:$N$501,"&gt;"&amp;C241)+COUNTIFS('Solicitacoes'!$F$2:$F$501,B241,'Solicitacoes'!$E$2:$E$501,A241,'Solicitacoes'!$I$2:$I$501,"confirmado",'Solicitacoes'!$G$2:$G$501,"&lt;"&amp;J241,'Solicitacoes'!$N$2:$N$501,"&gt;"&amp;C241)&gt;0,"Ocupado","Disponível"))))</x:f>
        <x:v>Revisar escala</x:v>
      </x:c>
      <x:c r="N241" s="2" t="n">
        <x:f>IF(A241="","",ROW()-1)</x:f>
        <x:v>240</x:v>
      </x:c>
    </x:row>
    <x:row r="242" ht="24" customHeight="1">
      <x:c r="A242" s="13" t="str">
        <x:v>Aline Reis</x:v>
      </x:c>
      <x:c r="B242" s="14" t="d">
        <x:v>2026-10-19T00:00:00.000Z</x:v>
      </x:c>
      <x:c r="C242" s="26" t="n">
        <x:v>0.7916666666666666</x:v>
      </x:c>
      <x:c r="D242" s="13" t="str">
        <x:v>presencial</x:v>
      </x:c>
      <x:c r="E242" s="13" t="str">
        <x:v>não</x:v>
      </x:c>
      <x:c r="F242" s="13" t="str">
        <x:v>Sala 1</x:v>
      </x:c>
      <x:c r="G242" s="12" t="n">
        <x:f>IF(A242="","",'Agenda'!$B$5)</x:f>
        <x:v>50</x:v>
      </x:c>
      <x:c r="H242" s="12" t="n">
        <x:f>IF(A242="","",'Agenda'!$B$6)</x:f>
        <x:v>10</x:v>
      </x:c>
      <x:c r="I242" s="24" t="n">
        <x:f>IF(A242="","",C242+G242/1440)</x:f>
        <x:v>0.8263888888888888</x:v>
      </x:c>
      <x:c r="J242" s="24" t="n">
        <x:f>IF(A242="","",C242+(G242+H242)/1440)</x:f>
        <x:v>0.8333333333333333</x:v>
      </x:c>
      <x:c r="K242" s="27" t="n">
        <x:f>IF(A242="","",IF(E242&lt;&gt;"sim",0,COUNTIFS($B$2:$B$501,B242,$F$2:$F$501,F242,$E$2:$E$501,"sim",$C$2:$C$501,"&lt;"&amp;J242,$J$2:$J$501,"&gt;"&amp;C242)-1))</x:f>
        <x:v>0</x:v>
      </x:c>
      <x:c r="L242" s="27" t="n">
        <x:f>IF(A242="","",IF(E242&lt;&gt;"sim",0,COUNTIFS($B$2:$B$501,B242,$A$2:$A$501,A242,$E$2:$E$501,"sim",$C$2:$C$501,"&lt;"&amp;J242,$J$2:$J$501,"&gt;"&amp;C242)-1))</x:f>
        <x:v>0</x:v>
      </x:c>
      <x:c r="M242" s="2" t="str">
        <x:f>IF(A242="","",IF(E242&lt;&gt;"sim","Revisar escala",IF(OR(K242&gt;0,L242&gt;0),"Conflito de escala",IF(COUNTIFS('Solicitacoes'!$F$2:$F$501,B242,'Solicitacoes'!$K$2:$K$501,F242,'Solicitacoes'!$I$2:$I$501,"pendente",'Solicitacoes'!$G$2:$G$501,"&lt;"&amp;J242,'Solicitacoes'!$N$2:$N$501,"&gt;"&amp;C242)+COUNTIFS('Solicitacoes'!$F$2:$F$501,B242,'Solicitacoes'!$E$2:$E$501,A242,'Solicitacoes'!$I$2:$I$501,"pendente",'Solicitacoes'!$G$2:$G$501,"&lt;"&amp;J242,'Solicitacoes'!$N$2:$N$501,"&gt;"&amp;C242)+COUNTIFS('Solicitacoes'!$F$2:$F$501,B242,'Solicitacoes'!$K$2:$K$501,F242,'Solicitacoes'!$I$2:$I$501,"confirmado",'Solicitacoes'!$G$2:$G$501,"&lt;"&amp;J242,'Solicitacoes'!$N$2:$N$501,"&gt;"&amp;C242)+COUNTIFS('Solicitacoes'!$F$2:$F$501,B242,'Solicitacoes'!$E$2:$E$501,A242,'Solicitacoes'!$I$2:$I$501,"confirmado",'Solicitacoes'!$G$2:$G$501,"&lt;"&amp;J242,'Solicitacoes'!$N$2:$N$501,"&gt;"&amp;C242)&gt;0,"Ocupado","Disponível"))))</x:f>
        <x:v>Revisar escala</x:v>
      </x:c>
      <x:c r="N242" s="2" t="n">
        <x:f>IF(A242="","",ROW()-1)</x:f>
        <x:v>241</x:v>
      </x:c>
    </x:row>
    <x:row r="243" ht="24" customHeight="1">
      <x:c r="A243" s="13" t="str">
        <x:v>Géssyca Martins</x:v>
      </x:c>
      <x:c r="B243" s="14" t="d">
        <x:v>2026-10-19T00:00:00.000Z</x:v>
      </x:c>
      <x:c r="C243" s="26" t="n">
        <x:v>0.7916666666666666</x:v>
      </x:c>
      <x:c r="D243" s="13" t="str">
        <x:v>presencial</x:v>
      </x:c>
      <x:c r="E243" s="13" t="str">
        <x:v>não</x:v>
      </x:c>
      <x:c r="F243" s="13" t="str">
        <x:v>Sala 2</x:v>
      </x:c>
      <x:c r="G243" s="12" t="n">
        <x:f>IF(A243="","",'Agenda'!$B$5)</x:f>
        <x:v>50</x:v>
      </x:c>
      <x:c r="H243" s="12" t="n">
        <x:f>IF(A243="","",'Agenda'!$B$6)</x:f>
        <x:v>10</x:v>
      </x:c>
      <x:c r="I243" s="24" t="n">
        <x:f>IF(A243="","",C243+G243/1440)</x:f>
        <x:v>0.8263888888888888</x:v>
      </x:c>
      <x:c r="J243" s="24" t="n">
        <x:f>IF(A243="","",C243+(G243+H243)/1440)</x:f>
        <x:v>0.8333333333333333</x:v>
      </x:c>
      <x:c r="K243" s="27" t="n">
        <x:f>IF(A243="","",IF(E243&lt;&gt;"sim",0,COUNTIFS($B$2:$B$501,B243,$F$2:$F$501,F243,$E$2:$E$501,"sim",$C$2:$C$501,"&lt;"&amp;J243,$J$2:$J$501,"&gt;"&amp;C243)-1))</x:f>
        <x:v>0</x:v>
      </x:c>
      <x:c r="L243" s="27" t="n">
        <x:f>IF(A243="","",IF(E243&lt;&gt;"sim",0,COUNTIFS($B$2:$B$501,B243,$A$2:$A$501,A243,$E$2:$E$501,"sim",$C$2:$C$501,"&lt;"&amp;J243,$J$2:$J$501,"&gt;"&amp;C243)-1))</x:f>
        <x:v>0</x:v>
      </x:c>
      <x:c r="M243" s="2" t="str">
        <x:f>IF(A243="","",IF(E243&lt;&gt;"sim","Revisar escala",IF(OR(K243&gt;0,L243&gt;0),"Conflito de escala",IF(COUNTIFS('Solicitacoes'!$F$2:$F$501,B243,'Solicitacoes'!$K$2:$K$501,F243,'Solicitacoes'!$I$2:$I$501,"pendente",'Solicitacoes'!$G$2:$G$501,"&lt;"&amp;J243,'Solicitacoes'!$N$2:$N$501,"&gt;"&amp;C243)+COUNTIFS('Solicitacoes'!$F$2:$F$501,B243,'Solicitacoes'!$E$2:$E$501,A243,'Solicitacoes'!$I$2:$I$501,"pendente",'Solicitacoes'!$G$2:$G$501,"&lt;"&amp;J243,'Solicitacoes'!$N$2:$N$501,"&gt;"&amp;C243)+COUNTIFS('Solicitacoes'!$F$2:$F$501,B243,'Solicitacoes'!$K$2:$K$501,F243,'Solicitacoes'!$I$2:$I$501,"confirmado",'Solicitacoes'!$G$2:$G$501,"&lt;"&amp;J243,'Solicitacoes'!$N$2:$N$501,"&gt;"&amp;C243)+COUNTIFS('Solicitacoes'!$F$2:$F$501,B243,'Solicitacoes'!$E$2:$E$501,A243,'Solicitacoes'!$I$2:$I$501,"confirmado",'Solicitacoes'!$G$2:$G$501,"&lt;"&amp;J243,'Solicitacoes'!$N$2:$N$501,"&gt;"&amp;C243)&gt;0,"Ocupado","Disponível"))))</x:f>
        <x:v>Revisar escala</x:v>
      </x:c>
      <x:c r="N243" s="2" t="n">
        <x:f>IF(A243="","",ROW()-1)</x:f>
        <x:v>242</x:v>
      </x:c>
    </x:row>
    <x:row r="244" ht="24" customHeight="1">
      <x:c r="A244" s="13" t="str">
        <x:v>Laura Casanova</x:v>
      </x:c>
      <x:c r="B244" s="14" t="d">
        <x:v>2026-10-20T00:00:00.000Z</x:v>
      </x:c>
      <x:c r="C244" s="26" t="n">
        <x:v>0.375</x:v>
      </x:c>
      <x:c r="D244" s="13" t="str">
        <x:v>presencial</x:v>
      </x:c>
      <x:c r="E244" s="13" t="str">
        <x:v>não</x:v>
      </x:c>
      <x:c r="F244" s="13" t="str">
        <x:v>Sala 1</x:v>
      </x:c>
      <x:c r="G244" s="12" t="n">
        <x:f>IF(A244="","",'Agenda'!$B$5)</x:f>
        <x:v>50</x:v>
      </x:c>
      <x:c r="H244" s="12" t="n">
        <x:f>IF(A244="","",'Agenda'!$B$6)</x:f>
        <x:v>10</x:v>
      </x:c>
      <x:c r="I244" s="24" t="n">
        <x:f>IF(A244="","",C244+G244/1440)</x:f>
        <x:v>0.4097222222222222</x:v>
      </x:c>
      <x:c r="J244" s="24" t="n">
        <x:f>IF(A244="","",C244+(G244+H244)/1440)</x:f>
        <x:v>0.4166666666666667</x:v>
      </x:c>
      <x:c r="K244" s="27" t="n">
        <x:f>IF(A244="","",IF(E244&lt;&gt;"sim",0,COUNTIFS($B$2:$B$501,B244,$F$2:$F$501,F244,$E$2:$E$501,"sim",$C$2:$C$501,"&lt;"&amp;J244,$J$2:$J$501,"&gt;"&amp;C244)-1))</x:f>
        <x:v>0</x:v>
      </x:c>
      <x:c r="L244" s="27" t="n">
        <x:f>IF(A244="","",IF(E244&lt;&gt;"sim",0,COUNTIFS($B$2:$B$501,B244,$A$2:$A$501,A244,$E$2:$E$501,"sim",$C$2:$C$501,"&lt;"&amp;J244,$J$2:$J$501,"&gt;"&amp;C244)-1))</x:f>
        <x:v>0</x:v>
      </x:c>
      <x:c r="M244" s="2" t="str">
        <x:f>IF(A244="","",IF(E244&lt;&gt;"sim","Revisar escala",IF(OR(K244&gt;0,L244&gt;0),"Conflito de escala",IF(COUNTIFS('Solicitacoes'!$F$2:$F$501,B244,'Solicitacoes'!$K$2:$K$501,F244,'Solicitacoes'!$I$2:$I$501,"pendente",'Solicitacoes'!$G$2:$G$501,"&lt;"&amp;J244,'Solicitacoes'!$N$2:$N$501,"&gt;"&amp;C244)+COUNTIFS('Solicitacoes'!$F$2:$F$501,B244,'Solicitacoes'!$E$2:$E$501,A244,'Solicitacoes'!$I$2:$I$501,"pendente",'Solicitacoes'!$G$2:$G$501,"&lt;"&amp;J244,'Solicitacoes'!$N$2:$N$501,"&gt;"&amp;C244)+COUNTIFS('Solicitacoes'!$F$2:$F$501,B244,'Solicitacoes'!$K$2:$K$501,F244,'Solicitacoes'!$I$2:$I$501,"confirmado",'Solicitacoes'!$G$2:$G$501,"&lt;"&amp;J244,'Solicitacoes'!$N$2:$N$501,"&gt;"&amp;C244)+COUNTIFS('Solicitacoes'!$F$2:$F$501,B244,'Solicitacoes'!$E$2:$E$501,A244,'Solicitacoes'!$I$2:$I$501,"confirmado",'Solicitacoes'!$G$2:$G$501,"&lt;"&amp;J244,'Solicitacoes'!$N$2:$N$501,"&gt;"&amp;C244)&gt;0,"Ocupado","Disponível"))))</x:f>
        <x:v>Revisar escala</x:v>
      </x:c>
      <x:c r="N244" s="2" t="n">
        <x:f>IF(A244="","",ROW()-1)</x:f>
        <x:v>243</x:v>
      </x:c>
    </x:row>
    <x:row r="245" ht="24" customHeight="1">
      <x:c r="A245" s="13" t="str">
        <x:v>Aline Reis</x:v>
      </x:c>
      <x:c r="B245" s="14" t="d">
        <x:v>2026-10-20T00:00:00.000Z</x:v>
      </x:c>
      <x:c r="C245" s="26" t="n">
        <x:v>0.375</x:v>
      </x:c>
      <x:c r="D245" s="13" t="str">
        <x:v>presencial</x:v>
      </x:c>
      <x:c r="E245" s="13" t="str">
        <x:v>não</x:v>
      </x:c>
      <x:c r="F245" s="13" t="str">
        <x:v>Sala 2</x:v>
      </x:c>
      <x:c r="G245" s="12" t="n">
        <x:f>IF(A245="","",'Agenda'!$B$5)</x:f>
        <x:v>50</x:v>
      </x:c>
      <x:c r="H245" s="12" t="n">
        <x:f>IF(A245="","",'Agenda'!$B$6)</x:f>
        <x:v>10</x:v>
      </x:c>
      <x:c r="I245" s="24" t="n">
        <x:f>IF(A245="","",C245+G245/1440)</x:f>
        <x:v>0.4097222222222222</x:v>
      </x:c>
      <x:c r="J245" s="24" t="n">
        <x:f>IF(A245="","",C245+(G245+H245)/1440)</x:f>
        <x:v>0.4166666666666667</x:v>
      </x:c>
      <x:c r="K245" s="27" t="n">
        <x:f>IF(A245="","",IF(E245&lt;&gt;"sim",0,COUNTIFS($B$2:$B$501,B245,$F$2:$F$501,F245,$E$2:$E$501,"sim",$C$2:$C$501,"&lt;"&amp;J245,$J$2:$J$501,"&gt;"&amp;C245)-1))</x:f>
        <x:v>0</x:v>
      </x:c>
      <x:c r="L245" s="27" t="n">
        <x:f>IF(A245="","",IF(E245&lt;&gt;"sim",0,COUNTIFS($B$2:$B$501,B245,$A$2:$A$501,A245,$E$2:$E$501,"sim",$C$2:$C$501,"&lt;"&amp;J245,$J$2:$J$501,"&gt;"&amp;C245)-1))</x:f>
        <x:v>0</x:v>
      </x:c>
      <x:c r="M245" s="2" t="str">
        <x:f>IF(A245="","",IF(E245&lt;&gt;"sim","Revisar escala",IF(OR(K245&gt;0,L245&gt;0),"Conflito de escala",IF(COUNTIFS('Solicitacoes'!$F$2:$F$501,B245,'Solicitacoes'!$K$2:$K$501,F245,'Solicitacoes'!$I$2:$I$501,"pendente",'Solicitacoes'!$G$2:$G$501,"&lt;"&amp;J245,'Solicitacoes'!$N$2:$N$501,"&gt;"&amp;C245)+COUNTIFS('Solicitacoes'!$F$2:$F$501,B245,'Solicitacoes'!$E$2:$E$501,A245,'Solicitacoes'!$I$2:$I$501,"pendente",'Solicitacoes'!$G$2:$G$501,"&lt;"&amp;J245,'Solicitacoes'!$N$2:$N$501,"&gt;"&amp;C245)+COUNTIFS('Solicitacoes'!$F$2:$F$501,B245,'Solicitacoes'!$K$2:$K$501,F245,'Solicitacoes'!$I$2:$I$501,"confirmado",'Solicitacoes'!$G$2:$G$501,"&lt;"&amp;J245,'Solicitacoes'!$N$2:$N$501,"&gt;"&amp;C245)+COUNTIFS('Solicitacoes'!$F$2:$F$501,B245,'Solicitacoes'!$E$2:$E$501,A245,'Solicitacoes'!$I$2:$I$501,"confirmado",'Solicitacoes'!$G$2:$G$501,"&lt;"&amp;J245,'Solicitacoes'!$N$2:$N$501,"&gt;"&amp;C245)&gt;0,"Ocupado","Disponível"))))</x:f>
        <x:v>Revisar escala</x:v>
      </x:c>
      <x:c r="N245" s="2" t="n">
        <x:f>IF(A245="","",ROW()-1)</x:f>
        <x:v>244</x:v>
      </x:c>
    </x:row>
    <x:row r="246" ht="24" customHeight="1">
      <x:c r="A246" s="13" t="str">
        <x:v>Laura Casanova</x:v>
      </x:c>
      <x:c r="B246" s="14" t="d">
        <x:v>2026-10-20T00:00:00.000Z</x:v>
      </x:c>
      <x:c r="C246" s="26" t="n">
        <x:v>0.4166666666666667</x:v>
      </x:c>
      <x:c r="D246" s="13" t="str">
        <x:v>presencial</x:v>
      </x:c>
      <x:c r="E246" s="13" t="str">
        <x:v>não</x:v>
      </x:c>
      <x:c r="F246" s="13" t="str">
        <x:v>Sala 1</x:v>
      </x:c>
      <x:c r="G246" s="12" t="n">
        <x:f>IF(A246="","",'Agenda'!$B$5)</x:f>
        <x:v>50</x:v>
      </x:c>
      <x:c r="H246" s="12" t="n">
        <x:f>IF(A246="","",'Agenda'!$B$6)</x:f>
        <x:v>10</x:v>
      </x:c>
      <x:c r="I246" s="24" t="n">
        <x:f>IF(A246="","",C246+G246/1440)</x:f>
        <x:v>0.4513888888888889</x:v>
      </x:c>
      <x:c r="J246" s="24" t="n">
        <x:f>IF(A246="","",C246+(G246+H246)/1440)</x:f>
        <x:v>0.45833333333333337</x:v>
      </x:c>
      <x:c r="K246" s="27" t="n">
        <x:f>IF(A246="","",IF(E246&lt;&gt;"sim",0,COUNTIFS($B$2:$B$501,B246,$F$2:$F$501,F246,$E$2:$E$501,"sim",$C$2:$C$501,"&lt;"&amp;J246,$J$2:$J$501,"&gt;"&amp;C246)-1))</x:f>
        <x:v>0</x:v>
      </x:c>
      <x:c r="L246" s="27" t="n">
        <x:f>IF(A246="","",IF(E246&lt;&gt;"sim",0,COUNTIFS($B$2:$B$501,B246,$A$2:$A$501,A246,$E$2:$E$501,"sim",$C$2:$C$501,"&lt;"&amp;J246,$J$2:$J$501,"&gt;"&amp;C246)-1))</x:f>
        <x:v>0</x:v>
      </x:c>
      <x:c r="M246" s="2" t="str">
        <x:f>IF(A246="","",IF(E246&lt;&gt;"sim","Revisar escala",IF(OR(K246&gt;0,L246&gt;0),"Conflito de escala",IF(COUNTIFS('Solicitacoes'!$F$2:$F$501,B246,'Solicitacoes'!$K$2:$K$501,F246,'Solicitacoes'!$I$2:$I$501,"pendente",'Solicitacoes'!$G$2:$G$501,"&lt;"&amp;J246,'Solicitacoes'!$N$2:$N$501,"&gt;"&amp;C246)+COUNTIFS('Solicitacoes'!$F$2:$F$501,B246,'Solicitacoes'!$E$2:$E$501,A246,'Solicitacoes'!$I$2:$I$501,"pendente",'Solicitacoes'!$G$2:$G$501,"&lt;"&amp;J246,'Solicitacoes'!$N$2:$N$501,"&gt;"&amp;C246)+COUNTIFS('Solicitacoes'!$F$2:$F$501,B246,'Solicitacoes'!$K$2:$K$501,F246,'Solicitacoes'!$I$2:$I$501,"confirmado",'Solicitacoes'!$G$2:$G$501,"&lt;"&amp;J246,'Solicitacoes'!$N$2:$N$501,"&gt;"&amp;C246)+COUNTIFS('Solicitacoes'!$F$2:$F$501,B246,'Solicitacoes'!$E$2:$E$501,A246,'Solicitacoes'!$I$2:$I$501,"confirmado",'Solicitacoes'!$G$2:$G$501,"&lt;"&amp;J246,'Solicitacoes'!$N$2:$N$501,"&gt;"&amp;C246)&gt;0,"Ocupado","Disponível"))))</x:f>
        <x:v>Revisar escala</x:v>
      </x:c>
      <x:c r="N246" s="2" t="n">
        <x:f>IF(A246="","",ROW()-1)</x:f>
        <x:v>245</x:v>
      </x:c>
    </x:row>
    <x:row r="247" ht="24" customHeight="1">
      <x:c r="A247" s="13" t="str">
        <x:v>Aline Reis</x:v>
      </x:c>
      <x:c r="B247" s="14" t="d">
        <x:v>2026-10-20T00:00:00.000Z</x:v>
      </x:c>
      <x:c r="C247" s="26" t="n">
        <x:v>0.4166666666666667</x:v>
      </x:c>
      <x:c r="D247" s="13" t="str">
        <x:v>presencial</x:v>
      </x:c>
      <x:c r="E247" s="13" t="str">
        <x:v>não</x:v>
      </x:c>
      <x:c r="F247" s="13" t="str">
        <x:v>Sala 2</x:v>
      </x:c>
      <x:c r="G247" s="12" t="n">
        <x:f>IF(A247="","",'Agenda'!$B$5)</x:f>
        <x:v>50</x:v>
      </x:c>
      <x:c r="H247" s="12" t="n">
        <x:f>IF(A247="","",'Agenda'!$B$6)</x:f>
        <x:v>10</x:v>
      </x:c>
      <x:c r="I247" s="24" t="n">
        <x:f>IF(A247="","",C247+G247/1440)</x:f>
        <x:v>0.4513888888888889</x:v>
      </x:c>
      <x:c r="J247" s="24" t="n">
        <x:f>IF(A247="","",C247+(G247+H247)/1440)</x:f>
        <x:v>0.45833333333333337</x:v>
      </x:c>
      <x:c r="K247" s="27" t="n">
        <x:f>IF(A247="","",IF(E247&lt;&gt;"sim",0,COUNTIFS($B$2:$B$501,B247,$F$2:$F$501,F247,$E$2:$E$501,"sim",$C$2:$C$501,"&lt;"&amp;J247,$J$2:$J$501,"&gt;"&amp;C247)-1))</x:f>
        <x:v>0</x:v>
      </x:c>
      <x:c r="L247" s="27" t="n">
        <x:f>IF(A247="","",IF(E247&lt;&gt;"sim",0,COUNTIFS($B$2:$B$501,B247,$A$2:$A$501,A247,$E$2:$E$501,"sim",$C$2:$C$501,"&lt;"&amp;J247,$J$2:$J$501,"&gt;"&amp;C247)-1))</x:f>
        <x:v>0</x:v>
      </x:c>
      <x:c r="M247" s="2" t="str">
        <x:f>IF(A247="","",IF(E247&lt;&gt;"sim","Revisar escala",IF(OR(K247&gt;0,L247&gt;0),"Conflito de escala",IF(COUNTIFS('Solicitacoes'!$F$2:$F$501,B247,'Solicitacoes'!$K$2:$K$501,F247,'Solicitacoes'!$I$2:$I$501,"pendente",'Solicitacoes'!$G$2:$G$501,"&lt;"&amp;J247,'Solicitacoes'!$N$2:$N$501,"&gt;"&amp;C247)+COUNTIFS('Solicitacoes'!$F$2:$F$501,B247,'Solicitacoes'!$E$2:$E$501,A247,'Solicitacoes'!$I$2:$I$501,"pendente",'Solicitacoes'!$G$2:$G$501,"&lt;"&amp;J247,'Solicitacoes'!$N$2:$N$501,"&gt;"&amp;C247)+COUNTIFS('Solicitacoes'!$F$2:$F$501,B247,'Solicitacoes'!$K$2:$K$501,F247,'Solicitacoes'!$I$2:$I$501,"confirmado",'Solicitacoes'!$G$2:$G$501,"&lt;"&amp;J247,'Solicitacoes'!$N$2:$N$501,"&gt;"&amp;C247)+COUNTIFS('Solicitacoes'!$F$2:$F$501,B247,'Solicitacoes'!$E$2:$E$501,A247,'Solicitacoes'!$I$2:$I$501,"confirmado",'Solicitacoes'!$G$2:$G$501,"&lt;"&amp;J247,'Solicitacoes'!$N$2:$N$501,"&gt;"&amp;C247)&gt;0,"Ocupado","Disponível"))))</x:f>
        <x:v>Revisar escala</x:v>
      </x:c>
      <x:c r="N247" s="2" t="n">
        <x:f>IF(A247="","",ROW()-1)</x:f>
        <x:v>246</x:v>
      </x:c>
    </x:row>
    <x:row r="248" ht="24" customHeight="1">
      <x:c r="A248" s="13" t="str">
        <x:v>Laura Casanova</x:v>
      </x:c>
      <x:c r="B248" s="14" t="d">
        <x:v>2026-10-20T00:00:00.000Z</x:v>
      </x:c>
      <x:c r="C248" s="26" t="n">
        <x:v>0.4583333333333333</x:v>
      </x:c>
      <x:c r="D248" s="13" t="str">
        <x:v>presencial</x:v>
      </x:c>
      <x:c r="E248" s="13" t="str">
        <x:v>não</x:v>
      </x:c>
      <x:c r="F248" s="13" t="str">
        <x:v>Sala 1</x:v>
      </x:c>
      <x:c r="G248" s="12" t="n">
        <x:f>IF(A248="","",'Agenda'!$B$5)</x:f>
        <x:v>50</x:v>
      </x:c>
      <x:c r="H248" s="12" t="n">
        <x:f>IF(A248="","",'Agenda'!$B$6)</x:f>
        <x:v>10</x:v>
      </x:c>
      <x:c r="I248" s="24" t="n">
        <x:f>IF(A248="","",C248+G248/1440)</x:f>
        <x:v>0.4930555555555555</x:v>
      </x:c>
      <x:c r="J248" s="24" t="n">
        <x:f>IF(A248="","",C248+(G248+H248)/1440)</x:f>
        <x:v>0.5</x:v>
      </x:c>
      <x:c r="K248" s="27" t="n">
        <x:f>IF(A248="","",IF(E248&lt;&gt;"sim",0,COUNTIFS($B$2:$B$501,B248,$F$2:$F$501,F248,$E$2:$E$501,"sim",$C$2:$C$501,"&lt;"&amp;J248,$J$2:$J$501,"&gt;"&amp;C248)-1))</x:f>
        <x:v>0</x:v>
      </x:c>
      <x:c r="L248" s="27" t="n">
        <x:f>IF(A248="","",IF(E248&lt;&gt;"sim",0,COUNTIFS($B$2:$B$501,B248,$A$2:$A$501,A248,$E$2:$E$501,"sim",$C$2:$C$501,"&lt;"&amp;J248,$J$2:$J$501,"&gt;"&amp;C248)-1))</x:f>
        <x:v>0</x:v>
      </x:c>
      <x:c r="M248" s="2" t="str">
        <x:f>IF(A248="","",IF(E248&lt;&gt;"sim","Revisar escala",IF(OR(K248&gt;0,L248&gt;0),"Conflito de escala",IF(COUNTIFS('Solicitacoes'!$F$2:$F$501,B248,'Solicitacoes'!$K$2:$K$501,F248,'Solicitacoes'!$I$2:$I$501,"pendente",'Solicitacoes'!$G$2:$G$501,"&lt;"&amp;J248,'Solicitacoes'!$N$2:$N$501,"&gt;"&amp;C248)+COUNTIFS('Solicitacoes'!$F$2:$F$501,B248,'Solicitacoes'!$E$2:$E$501,A248,'Solicitacoes'!$I$2:$I$501,"pendente",'Solicitacoes'!$G$2:$G$501,"&lt;"&amp;J248,'Solicitacoes'!$N$2:$N$501,"&gt;"&amp;C248)+COUNTIFS('Solicitacoes'!$F$2:$F$501,B248,'Solicitacoes'!$K$2:$K$501,F248,'Solicitacoes'!$I$2:$I$501,"confirmado",'Solicitacoes'!$G$2:$G$501,"&lt;"&amp;J248,'Solicitacoes'!$N$2:$N$501,"&gt;"&amp;C248)+COUNTIFS('Solicitacoes'!$F$2:$F$501,B248,'Solicitacoes'!$E$2:$E$501,A248,'Solicitacoes'!$I$2:$I$501,"confirmado",'Solicitacoes'!$G$2:$G$501,"&lt;"&amp;J248,'Solicitacoes'!$N$2:$N$501,"&gt;"&amp;C248)&gt;0,"Ocupado","Disponível"))))</x:f>
        <x:v>Revisar escala</x:v>
      </x:c>
      <x:c r="N248" s="2" t="n">
        <x:f>IF(A248="","",ROW()-1)</x:f>
        <x:v>247</x:v>
      </x:c>
    </x:row>
    <x:row r="249" ht="24" customHeight="1">
      <x:c r="A249" s="13" t="str">
        <x:v>Aline Reis</x:v>
      </x:c>
      <x:c r="B249" s="14" t="d">
        <x:v>2026-10-20T00:00:00.000Z</x:v>
      </x:c>
      <x:c r="C249" s="26" t="n">
        <x:v>0.4583333333333333</x:v>
      </x:c>
      <x:c r="D249" s="13" t="str">
        <x:v>presencial</x:v>
      </x:c>
      <x:c r="E249" s="13" t="str">
        <x:v>não</x:v>
      </x:c>
      <x:c r="F249" s="13" t="str">
        <x:v>Sala 2</x:v>
      </x:c>
      <x:c r="G249" s="12" t="n">
        <x:f>IF(A249="","",'Agenda'!$B$5)</x:f>
        <x:v>50</x:v>
      </x:c>
      <x:c r="H249" s="12" t="n">
        <x:f>IF(A249="","",'Agenda'!$B$6)</x:f>
        <x:v>10</x:v>
      </x:c>
      <x:c r="I249" s="24" t="n">
        <x:f>IF(A249="","",C249+G249/1440)</x:f>
        <x:v>0.4930555555555555</x:v>
      </x:c>
      <x:c r="J249" s="24" t="n">
        <x:f>IF(A249="","",C249+(G249+H249)/1440)</x:f>
        <x:v>0.5</x:v>
      </x:c>
      <x:c r="K249" s="27" t="n">
        <x:f>IF(A249="","",IF(E249&lt;&gt;"sim",0,COUNTIFS($B$2:$B$501,B249,$F$2:$F$501,F249,$E$2:$E$501,"sim",$C$2:$C$501,"&lt;"&amp;J249,$J$2:$J$501,"&gt;"&amp;C249)-1))</x:f>
        <x:v>0</x:v>
      </x:c>
      <x:c r="L249" s="27" t="n">
        <x:f>IF(A249="","",IF(E249&lt;&gt;"sim",0,COUNTIFS($B$2:$B$501,B249,$A$2:$A$501,A249,$E$2:$E$501,"sim",$C$2:$C$501,"&lt;"&amp;J249,$J$2:$J$501,"&gt;"&amp;C249)-1))</x:f>
        <x:v>0</x:v>
      </x:c>
      <x:c r="M249" s="2" t="str">
        <x:f>IF(A249="","",IF(E249&lt;&gt;"sim","Revisar escala",IF(OR(K249&gt;0,L249&gt;0),"Conflito de escala",IF(COUNTIFS('Solicitacoes'!$F$2:$F$501,B249,'Solicitacoes'!$K$2:$K$501,F249,'Solicitacoes'!$I$2:$I$501,"pendente",'Solicitacoes'!$G$2:$G$501,"&lt;"&amp;J249,'Solicitacoes'!$N$2:$N$501,"&gt;"&amp;C249)+COUNTIFS('Solicitacoes'!$F$2:$F$501,B249,'Solicitacoes'!$E$2:$E$501,A249,'Solicitacoes'!$I$2:$I$501,"pendente",'Solicitacoes'!$G$2:$G$501,"&lt;"&amp;J249,'Solicitacoes'!$N$2:$N$501,"&gt;"&amp;C249)+COUNTIFS('Solicitacoes'!$F$2:$F$501,B249,'Solicitacoes'!$K$2:$K$501,F249,'Solicitacoes'!$I$2:$I$501,"confirmado",'Solicitacoes'!$G$2:$G$501,"&lt;"&amp;J249,'Solicitacoes'!$N$2:$N$501,"&gt;"&amp;C249)+COUNTIFS('Solicitacoes'!$F$2:$F$501,B249,'Solicitacoes'!$E$2:$E$501,A249,'Solicitacoes'!$I$2:$I$501,"confirmado",'Solicitacoes'!$G$2:$G$501,"&lt;"&amp;J249,'Solicitacoes'!$N$2:$N$501,"&gt;"&amp;C249)&gt;0,"Ocupado","Disponível"))))</x:f>
        <x:v>Revisar escala</x:v>
      </x:c>
      <x:c r="N249" s="2" t="n">
        <x:f>IF(A249="","",ROW()-1)</x:f>
        <x:v>248</x:v>
      </x:c>
    </x:row>
    <x:row r="250" ht="24" customHeight="1">
      <x:c r="A250" s="13" t="str">
        <x:v>Laura Casanova</x:v>
      </x:c>
      <x:c r="B250" s="14" t="d">
        <x:v>2026-10-20T00:00:00.000Z</x:v>
      </x:c>
      <x:c r="C250" s="26" t="n">
        <x:v>0.5</x:v>
      </x:c>
      <x:c r="D250" s="13" t="str">
        <x:v>presencial</x:v>
      </x:c>
      <x:c r="E250" s="13" t="str">
        <x:v>não</x:v>
      </x:c>
      <x:c r="F250" s="13" t="str">
        <x:v>Sala 1</x:v>
      </x:c>
      <x:c r="G250" s="12" t="n">
        <x:f>IF(A250="","",'Agenda'!$B$5)</x:f>
        <x:v>50</x:v>
      </x:c>
      <x:c r="H250" s="12" t="n">
        <x:f>IF(A250="","",'Agenda'!$B$6)</x:f>
        <x:v>10</x:v>
      </x:c>
      <x:c r="I250" s="24" t="n">
        <x:f>IF(A250="","",C250+G250/1440)</x:f>
        <x:v>0.5347222222222222</x:v>
      </x:c>
      <x:c r="J250" s="24" t="n">
        <x:f>IF(A250="","",C250+(G250+H250)/1440)</x:f>
        <x:v>0.5416666666666666</x:v>
      </x:c>
      <x:c r="K250" s="27" t="n">
        <x:f>IF(A250="","",IF(E250&lt;&gt;"sim",0,COUNTIFS($B$2:$B$501,B250,$F$2:$F$501,F250,$E$2:$E$501,"sim",$C$2:$C$501,"&lt;"&amp;J250,$J$2:$J$501,"&gt;"&amp;C250)-1))</x:f>
        <x:v>0</x:v>
      </x:c>
      <x:c r="L250" s="27" t="n">
        <x:f>IF(A250="","",IF(E250&lt;&gt;"sim",0,COUNTIFS($B$2:$B$501,B250,$A$2:$A$501,A250,$E$2:$E$501,"sim",$C$2:$C$501,"&lt;"&amp;J250,$J$2:$J$501,"&gt;"&amp;C250)-1))</x:f>
        <x:v>0</x:v>
      </x:c>
      <x:c r="M250" s="2" t="str">
        <x:f>IF(A250="","",IF(E250&lt;&gt;"sim","Revisar escala",IF(OR(K250&gt;0,L250&gt;0),"Conflito de escala",IF(COUNTIFS('Solicitacoes'!$F$2:$F$501,B250,'Solicitacoes'!$K$2:$K$501,F250,'Solicitacoes'!$I$2:$I$501,"pendente",'Solicitacoes'!$G$2:$G$501,"&lt;"&amp;J250,'Solicitacoes'!$N$2:$N$501,"&gt;"&amp;C250)+COUNTIFS('Solicitacoes'!$F$2:$F$501,B250,'Solicitacoes'!$E$2:$E$501,A250,'Solicitacoes'!$I$2:$I$501,"pendente",'Solicitacoes'!$G$2:$G$501,"&lt;"&amp;J250,'Solicitacoes'!$N$2:$N$501,"&gt;"&amp;C250)+COUNTIFS('Solicitacoes'!$F$2:$F$501,B250,'Solicitacoes'!$K$2:$K$501,F250,'Solicitacoes'!$I$2:$I$501,"confirmado",'Solicitacoes'!$G$2:$G$501,"&lt;"&amp;J250,'Solicitacoes'!$N$2:$N$501,"&gt;"&amp;C250)+COUNTIFS('Solicitacoes'!$F$2:$F$501,B250,'Solicitacoes'!$E$2:$E$501,A250,'Solicitacoes'!$I$2:$I$501,"confirmado",'Solicitacoes'!$G$2:$G$501,"&lt;"&amp;J250,'Solicitacoes'!$N$2:$N$501,"&gt;"&amp;C250)&gt;0,"Ocupado","Disponível"))))</x:f>
        <x:v>Revisar escala</x:v>
      </x:c>
      <x:c r="N250" s="2" t="n">
        <x:f>IF(A250="","",ROW()-1)</x:f>
        <x:v>249</x:v>
      </x:c>
    </x:row>
    <x:row r="251" ht="24" customHeight="1">
      <x:c r="A251" s="13" t="str">
        <x:v>Aline Reis</x:v>
      </x:c>
      <x:c r="B251" s="14" t="d">
        <x:v>2026-10-20T00:00:00.000Z</x:v>
      </x:c>
      <x:c r="C251" s="26" t="n">
        <x:v>0.5</x:v>
      </x:c>
      <x:c r="D251" s="13" t="str">
        <x:v>presencial</x:v>
      </x:c>
      <x:c r="E251" s="13" t="str">
        <x:v>não</x:v>
      </x:c>
      <x:c r="F251" s="13" t="str">
        <x:v>Sala 2</x:v>
      </x:c>
      <x:c r="G251" s="12" t="n">
        <x:f>IF(A251="","",'Agenda'!$B$5)</x:f>
        <x:v>50</x:v>
      </x:c>
      <x:c r="H251" s="12" t="n">
        <x:f>IF(A251="","",'Agenda'!$B$6)</x:f>
        <x:v>10</x:v>
      </x:c>
      <x:c r="I251" s="24" t="n">
        <x:f>IF(A251="","",C251+G251/1440)</x:f>
        <x:v>0.5347222222222222</x:v>
      </x:c>
      <x:c r="J251" s="24" t="n">
        <x:f>IF(A251="","",C251+(G251+H251)/1440)</x:f>
        <x:v>0.5416666666666666</x:v>
      </x:c>
      <x:c r="K251" s="27" t="n">
        <x:f>IF(A251="","",IF(E251&lt;&gt;"sim",0,COUNTIFS($B$2:$B$501,B251,$F$2:$F$501,F251,$E$2:$E$501,"sim",$C$2:$C$501,"&lt;"&amp;J251,$J$2:$J$501,"&gt;"&amp;C251)-1))</x:f>
        <x:v>0</x:v>
      </x:c>
      <x:c r="L251" s="27" t="n">
        <x:f>IF(A251="","",IF(E251&lt;&gt;"sim",0,COUNTIFS($B$2:$B$501,B251,$A$2:$A$501,A251,$E$2:$E$501,"sim",$C$2:$C$501,"&lt;"&amp;J251,$J$2:$J$501,"&gt;"&amp;C251)-1))</x:f>
        <x:v>0</x:v>
      </x:c>
      <x:c r="M251" s="2" t="str">
        <x:f>IF(A251="","",IF(E251&lt;&gt;"sim","Revisar escala",IF(OR(K251&gt;0,L251&gt;0),"Conflito de escala",IF(COUNTIFS('Solicitacoes'!$F$2:$F$501,B251,'Solicitacoes'!$K$2:$K$501,F251,'Solicitacoes'!$I$2:$I$501,"pendente",'Solicitacoes'!$G$2:$G$501,"&lt;"&amp;J251,'Solicitacoes'!$N$2:$N$501,"&gt;"&amp;C251)+COUNTIFS('Solicitacoes'!$F$2:$F$501,B251,'Solicitacoes'!$E$2:$E$501,A251,'Solicitacoes'!$I$2:$I$501,"pendente",'Solicitacoes'!$G$2:$G$501,"&lt;"&amp;J251,'Solicitacoes'!$N$2:$N$501,"&gt;"&amp;C251)+COUNTIFS('Solicitacoes'!$F$2:$F$501,B251,'Solicitacoes'!$K$2:$K$501,F251,'Solicitacoes'!$I$2:$I$501,"confirmado",'Solicitacoes'!$G$2:$G$501,"&lt;"&amp;J251,'Solicitacoes'!$N$2:$N$501,"&gt;"&amp;C251)+COUNTIFS('Solicitacoes'!$F$2:$F$501,B251,'Solicitacoes'!$E$2:$E$501,A251,'Solicitacoes'!$I$2:$I$501,"confirmado",'Solicitacoes'!$G$2:$G$501,"&lt;"&amp;J251,'Solicitacoes'!$N$2:$N$501,"&gt;"&amp;C251)&gt;0,"Ocupado","Disponível"))))</x:f>
        <x:v>Revisar escala</x:v>
      </x:c>
      <x:c r="N251" s="2" t="n">
        <x:f>IF(A251="","",ROW()-1)</x:f>
        <x:v>250</x:v>
      </x:c>
    </x:row>
    <x:row r="252" ht="24" customHeight="1">
      <x:c r="A252" s="13" t="str">
        <x:v>Laura Casanova</x:v>
      </x:c>
      <x:c r="B252" s="14" t="d">
        <x:v>2026-10-20T00:00:00.000Z</x:v>
      </x:c>
      <x:c r="C252" s="26" t="n">
        <x:v>0.5416666666666666</x:v>
      </x:c>
      <x:c r="D252" s="13" t="str">
        <x:v>presencial</x:v>
      </x:c>
      <x:c r="E252" s="13" t="str">
        <x:v>não</x:v>
      </x:c>
      <x:c r="F252" s="13" t="str">
        <x:v>Sala 1</x:v>
      </x:c>
      <x:c r="G252" s="12" t="n">
        <x:f>IF(A252="","",'Agenda'!$B$5)</x:f>
        <x:v>50</x:v>
      </x:c>
      <x:c r="H252" s="12" t="n">
        <x:f>IF(A252="","",'Agenda'!$B$6)</x:f>
        <x:v>10</x:v>
      </x:c>
      <x:c r="I252" s="24" t="n">
        <x:f>IF(A252="","",C252+G252/1440)</x:f>
        <x:v>0.5763888888888888</x:v>
      </x:c>
      <x:c r="J252" s="24" t="n">
        <x:f>IF(A252="","",C252+(G252+H252)/1440)</x:f>
        <x:v>0.5833333333333333</x:v>
      </x:c>
      <x:c r="K252" s="27" t="n">
        <x:f>IF(A252="","",IF(E252&lt;&gt;"sim",0,COUNTIFS($B$2:$B$501,B252,$F$2:$F$501,F252,$E$2:$E$501,"sim",$C$2:$C$501,"&lt;"&amp;J252,$J$2:$J$501,"&gt;"&amp;C252)-1))</x:f>
        <x:v>0</x:v>
      </x:c>
      <x:c r="L252" s="27" t="n">
        <x:f>IF(A252="","",IF(E252&lt;&gt;"sim",0,COUNTIFS($B$2:$B$501,B252,$A$2:$A$501,A252,$E$2:$E$501,"sim",$C$2:$C$501,"&lt;"&amp;J252,$J$2:$J$501,"&gt;"&amp;C252)-1))</x:f>
        <x:v>0</x:v>
      </x:c>
      <x:c r="M252" s="2" t="str">
        <x:f>IF(A252="","",IF(E252&lt;&gt;"sim","Revisar escala",IF(OR(K252&gt;0,L252&gt;0),"Conflito de escala",IF(COUNTIFS('Solicitacoes'!$F$2:$F$501,B252,'Solicitacoes'!$K$2:$K$501,F252,'Solicitacoes'!$I$2:$I$501,"pendente",'Solicitacoes'!$G$2:$G$501,"&lt;"&amp;J252,'Solicitacoes'!$N$2:$N$501,"&gt;"&amp;C252)+COUNTIFS('Solicitacoes'!$F$2:$F$501,B252,'Solicitacoes'!$E$2:$E$501,A252,'Solicitacoes'!$I$2:$I$501,"pendente",'Solicitacoes'!$G$2:$G$501,"&lt;"&amp;J252,'Solicitacoes'!$N$2:$N$501,"&gt;"&amp;C252)+COUNTIFS('Solicitacoes'!$F$2:$F$501,B252,'Solicitacoes'!$K$2:$K$501,F252,'Solicitacoes'!$I$2:$I$501,"confirmado",'Solicitacoes'!$G$2:$G$501,"&lt;"&amp;J252,'Solicitacoes'!$N$2:$N$501,"&gt;"&amp;C252)+COUNTIFS('Solicitacoes'!$F$2:$F$501,B252,'Solicitacoes'!$E$2:$E$501,A252,'Solicitacoes'!$I$2:$I$501,"confirmado",'Solicitacoes'!$G$2:$G$501,"&lt;"&amp;J252,'Solicitacoes'!$N$2:$N$501,"&gt;"&amp;C252)&gt;0,"Ocupado","Disponível"))))</x:f>
        <x:v>Revisar escala</x:v>
      </x:c>
      <x:c r="N252" s="2" t="n">
        <x:f>IF(A252="","",ROW()-1)</x:f>
        <x:v>251</x:v>
      </x:c>
    </x:row>
    <x:row r="253" ht="24" customHeight="1">
      <x:c r="A253" s="13" t="str">
        <x:v>Aline Reis</x:v>
      </x:c>
      <x:c r="B253" s="14" t="d">
        <x:v>2026-10-20T00:00:00.000Z</x:v>
      </x:c>
      <x:c r="C253" s="26" t="n">
        <x:v>0.5416666666666666</x:v>
      </x:c>
      <x:c r="D253" s="13" t="str">
        <x:v>presencial</x:v>
      </x:c>
      <x:c r="E253" s="13" t="str">
        <x:v>não</x:v>
      </x:c>
      <x:c r="F253" s="13" t="str">
        <x:v>Sala 2</x:v>
      </x:c>
      <x:c r="G253" s="12" t="n">
        <x:f>IF(A253="","",'Agenda'!$B$5)</x:f>
        <x:v>50</x:v>
      </x:c>
      <x:c r="H253" s="12" t="n">
        <x:f>IF(A253="","",'Agenda'!$B$6)</x:f>
        <x:v>10</x:v>
      </x:c>
      <x:c r="I253" s="24" t="n">
        <x:f>IF(A253="","",C253+G253/1440)</x:f>
        <x:v>0.5763888888888888</x:v>
      </x:c>
      <x:c r="J253" s="24" t="n">
        <x:f>IF(A253="","",C253+(G253+H253)/1440)</x:f>
        <x:v>0.5833333333333333</x:v>
      </x:c>
      <x:c r="K253" s="27" t="n">
        <x:f>IF(A253="","",IF(E253&lt;&gt;"sim",0,COUNTIFS($B$2:$B$501,B253,$F$2:$F$501,F253,$E$2:$E$501,"sim",$C$2:$C$501,"&lt;"&amp;J253,$J$2:$J$501,"&gt;"&amp;C253)-1))</x:f>
        <x:v>0</x:v>
      </x:c>
      <x:c r="L253" s="27" t="n">
        <x:f>IF(A253="","",IF(E253&lt;&gt;"sim",0,COUNTIFS($B$2:$B$501,B253,$A$2:$A$501,A253,$E$2:$E$501,"sim",$C$2:$C$501,"&lt;"&amp;J253,$J$2:$J$501,"&gt;"&amp;C253)-1))</x:f>
        <x:v>0</x:v>
      </x:c>
      <x:c r="M253" s="2" t="str">
        <x:f>IF(A253="","",IF(E253&lt;&gt;"sim","Revisar escala",IF(OR(K253&gt;0,L253&gt;0),"Conflito de escala",IF(COUNTIFS('Solicitacoes'!$F$2:$F$501,B253,'Solicitacoes'!$K$2:$K$501,F253,'Solicitacoes'!$I$2:$I$501,"pendente",'Solicitacoes'!$G$2:$G$501,"&lt;"&amp;J253,'Solicitacoes'!$N$2:$N$501,"&gt;"&amp;C253)+COUNTIFS('Solicitacoes'!$F$2:$F$501,B253,'Solicitacoes'!$E$2:$E$501,A253,'Solicitacoes'!$I$2:$I$501,"pendente",'Solicitacoes'!$G$2:$G$501,"&lt;"&amp;J253,'Solicitacoes'!$N$2:$N$501,"&gt;"&amp;C253)+COUNTIFS('Solicitacoes'!$F$2:$F$501,B253,'Solicitacoes'!$K$2:$K$501,F253,'Solicitacoes'!$I$2:$I$501,"confirmado",'Solicitacoes'!$G$2:$G$501,"&lt;"&amp;J253,'Solicitacoes'!$N$2:$N$501,"&gt;"&amp;C253)+COUNTIFS('Solicitacoes'!$F$2:$F$501,B253,'Solicitacoes'!$E$2:$E$501,A253,'Solicitacoes'!$I$2:$I$501,"confirmado",'Solicitacoes'!$G$2:$G$501,"&lt;"&amp;J253,'Solicitacoes'!$N$2:$N$501,"&gt;"&amp;C253)&gt;0,"Ocupado","Disponível"))))</x:f>
        <x:v>Revisar escala</x:v>
      </x:c>
      <x:c r="N253" s="2" t="n">
        <x:f>IF(A253="","",ROW()-1)</x:f>
        <x:v>252</x:v>
      </x:c>
    </x:row>
    <x:row r="254" ht="24" customHeight="1">
      <x:c r="A254" s="13" t="str">
        <x:v>Géssyca Martins</x:v>
      </x:c>
      <x:c r="B254" s="14" t="d">
        <x:v>2026-10-20T00:00:00.000Z</x:v>
      </x:c>
      <x:c r="C254" s="26" t="n">
        <x:v>0.5833333333333334</x:v>
      </x:c>
      <x:c r="D254" s="13" t="str">
        <x:v>presencial</x:v>
      </x:c>
      <x:c r="E254" s="13" t="str">
        <x:v>não</x:v>
      </x:c>
      <x:c r="F254" s="13" t="str">
        <x:v>Sala 1</x:v>
      </x:c>
      <x:c r="G254" s="12" t="n">
        <x:f>IF(A254="","",'Agenda'!$B$5)</x:f>
        <x:v>50</x:v>
      </x:c>
      <x:c r="H254" s="12" t="n">
        <x:f>IF(A254="","",'Agenda'!$B$6)</x:f>
        <x:v>10</x:v>
      </x:c>
      <x:c r="I254" s="24" t="n">
        <x:f>IF(A254="","",C254+G254/1440)</x:f>
        <x:v>0.6180555555555556</x:v>
      </x:c>
      <x:c r="J254" s="24" t="n">
        <x:f>IF(A254="","",C254+(G254+H254)/1440)</x:f>
        <x:v>0.625</x:v>
      </x:c>
      <x:c r="K254" s="27" t="n">
        <x:f>IF(A254="","",IF(E254&lt;&gt;"sim",0,COUNTIFS($B$2:$B$501,B254,$F$2:$F$501,F254,$E$2:$E$501,"sim",$C$2:$C$501,"&lt;"&amp;J254,$J$2:$J$501,"&gt;"&amp;C254)-1))</x:f>
        <x:v>0</x:v>
      </x:c>
      <x:c r="L254" s="27" t="n">
        <x:f>IF(A254="","",IF(E254&lt;&gt;"sim",0,COUNTIFS($B$2:$B$501,B254,$A$2:$A$501,A254,$E$2:$E$501,"sim",$C$2:$C$501,"&lt;"&amp;J254,$J$2:$J$501,"&gt;"&amp;C254)-1))</x:f>
        <x:v>0</x:v>
      </x:c>
      <x:c r="M254" s="2" t="str">
        <x:f>IF(A254="","",IF(E254&lt;&gt;"sim","Revisar escala",IF(OR(K254&gt;0,L254&gt;0),"Conflito de escala",IF(COUNTIFS('Solicitacoes'!$F$2:$F$501,B254,'Solicitacoes'!$K$2:$K$501,F254,'Solicitacoes'!$I$2:$I$501,"pendente",'Solicitacoes'!$G$2:$G$501,"&lt;"&amp;J254,'Solicitacoes'!$N$2:$N$501,"&gt;"&amp;C254)+COUNTIFS('Solicitacoes'!$F$2:$F$501,B254,'Solicitacoes'!$E$2:$E$501,A254,'Solicitacoes'!$I$2:$I$501,"pendente",'Solicitacoes'!$G$2:$G$501,"&lt;"&amp;J254,'Solicitacoes'!$N$2:$N$501,"&gt;"&amp;C254)+COUNTIFS('Solicitacoes'!$F$2:$F$501,B254,'Solicitacoes'!$K$2:$K$501,F254,'Solicitacoes'!$I$2:$I$501,"confirmado",'Solicitacoes'!$G$2:$G$501,"&lt;"&amp;J254,'Solicitacoes'!$N$2:$N$501,"&gt;"&amp;C254)+COUNTIFS('Solicitacoes'!$F$2:$F$501,B254,'Solicitacoes'!$E$2:$E$501,A254,'Solicitacoes'!$I$2:$I$501,"confirmado",'Solicitacoes'!$G$2:$G$501,"&lt;"&amp;J254,'Solicitacoes'!$N$2:$N$501,"&gt;"&amp;C254)&gt;0,"Ocupado","Disponível"))))</x:f>
        <x:v>Revisar escala</x:v>
      </x:c>
      <x:c r="N254" s="2" t="n">
        <x:f>IF(A254="","",ROW()-1)</x:f>
        <x:v>253</x:v>
      </x:c>
    </x:row>
    <x:row r="255" ht="24" customHeight="1">
      <x:c r="A255" s="13" t="str">
        <x:v>Laura Casanova</x:v>
      </x:c>
      <x:c r="B255" s="14" t="d">
        <x:v>2026-10-20T00:00:00.000Z</x:v>
      </x:c>
      <x:c r="C255" s="26" t="n">
        <x:v>0.5833333333333334</x:v>
      </x:c>
      <x:c r="D255" s="13" t="str">
        <x:v>presencial</x:v>
      </x:c>
      <x:c r="E255" s="13" t="str">
        <x:v>não</x:v>
      </x:c>
      <x:c r="F255" s="13" t="str">
        <x:v>Sala 2</x:v>
      </x:c>
      <x:c r="G255" s="12" t="n">
        <x:f>IF(A255="","",'Agenda'!$B$5)</x:f>
        <x:v>50</x:v>
      </x:c>
      <x:c r="H255" s="12" t="n">
        <x:f>IF(A255="","",'Agenda'!$B$6)</x:f>
        <x:v>10</x:v>
      </x:c>
      <x:c r="I255" s="24" t="n">
        <x:f>IF(A255="","",C255+G255/1440)</x:f>
        <x:v>0.6180555555555556</x:v>
      </x:c>
      <x:c r="J255" s="24" t="n">
        <x:f>IF(A255="","",C255+(G255+H255)/1440)</x:f>
        <x:v>0.625</x:v>
      </x:c>
      <x:c r="K255" s="27" t="n">
        <x:f>IF(A255="","",IF(E255&lt;&gt;"sim",0,COUNTIFS($B$2:$B$501,B255,$F$2:$F$501,F255,$E$2:$E$501,"sim",$C$2:$C$501,"&lt;"&amp;J255,$J$2:$J$501,"&gt;"&amp;C255)-1))</x:f>
        <x:v>0</x:v>
      </x:c>
      <x:c r="L255" s="27" t="n">
        <x:f>IF(A255="","",IF(E255&lt;&gt;"sim",0,COUNTIFS($B$2:$B$501,B255,$A$2:$A$501,A255,$E$2:$E$501,"sim",$C$2:$C$501,"&lt;"&amp;J255,$J$2:$J$501,"&gt;"&amp;C255)-1))</x:f>
        <x:v>0</x:v>
      </x:c>
      <x:c r="M255" s="2" t="str">
        <x:f>IF(A255="","",IF(E255&lt;&gt;"sim","Revisar escala",IF(OR(K255&gt;0,L255&gt;0),"Conflito de escala",IF(COUNTIFS('Solicitacoes'!$F$2:$F$501,B255,'Solicitacoes'!$K$2:$K$501,F255,'Solicitacoes'!$I$2:$I$501,"pendente",'Solicitacoes'!$G$2:$G$501,"&lt;"&amp;J255,'Solicitacoes'!$N$2:$N$501,"&gt;"&amp;C255)+COUNTIFS('Solicitacoes'!$F$2:$F$501,B255,'Solicitacoes'!$E$2:$E$501,A255,'Solicitacoes'!$I$2:$I$501,"pendente",'Solicitacoes'!$G$2:$G$501,"&lt;"&amp;J255,'Solicitacoes'!$N$2:$N$501,"&gt;"&amp;C255)+COUNTIFS('Solicitacoes'!$F$2:$F$501,B255,'Solicitacoes'!$K$2:$K$501,F255,'Solicitacoes'!$I$2:$I$501,"confirmado",'Solicitacoes'!$G$2:$G$501,"&lt;"&amp;J255,'Solicitacoes'!$N$2:$N$501,"&gt;"&amp;C255)+COUNTIFS('Solicitacoes'!$F$2:$F$501,B255,'Solicitacoes'!$E$2:$E$501,A255,'Solicitacoes'!$I$2:$I$501,"confirmado",'Solicitacoes'!$G$2:$G$501,"&lt;"&amp;J255,'Solicitacoes'!$N$2:$N$501,"&gt;"&amp;C255)&gt;0,"Ocupado","Disponível"))))</x:f>
        <x:v>Revisar escala</x:v>
      </x:c>
      <x:c r="N255" s="2" t="n">
        <x:f>IF(A255="","",ROW()-1)</x:f>
        <x:v>254</x:v>
      </x:c>
    </x:row>
    <x:row r="256" ht="24" customHeight="1">
      <x:c r="A256" s="13" t="str">
        <x:v>Géssyca Martins</x:v>
      </x:c>
      <x:c r="B256" s="14" t="d">
        <x:v>2026-10-20T00:00:00.000Z</x:v>
      </x:c>
      <x:c r="C256" s="26" t="n">
        <x:v>0.625</x:v>
      </x:c>
      <x:c r="D256" s="13" t="str">
        <x:v>presencial</x:v>
      </x:c>
      <x:c r="E256" s="13" t="str">
        <x:v>não</x:v>
      </x:c>
      <x:c r="F256" s="13" t="str">
        <x:v>Sala 1</x:v>
      </x:c>
      <x:c r="G256" s="12" t="n">
        <x:f>IF(A256="","",'Agenda'!$B$5)</x:f>
        <x:v>50</x:v>
      </x:c>
      <x:c r="H256" s="12" t="n">
        <x:f>IF(A256="","",'Agenda'!$B$6)</x:f>
        <x:v>10</x:v>
      </x:c>
      <x:c r="I256" s="24" t="n">
        <x:f>IF(A256="","",C256+G256/1440)</x:f>
        <x:v>0.6597222222222222</x:v>
      </x:c>
      <x:c r="J256" s="24" t="n">
        <x:f>IF(A256="","",C256+(G256+H256)/1440)</x:f>
        <x:v>0.6666666666666666</x:v>
      </x:c>
      <x:c r="K256" s="27" t="n">
        <x:f>IF(A256="","",IF(E256&lt;&gt;"sim",0,COUNTIFS($B$2:$B$501,B256,$F$2:$F$501,F256,$E$2:$E$501,"sim",$C$2:$C$501,"&lt;"&amp;J256,$J$2:$J$501,"&gt;"&amp;C256)-1))</x:f>
        <x:v>0</x:v>
      </x:c>
      <x:c r="L256" s="27" t="n">
        <x:f>IF(A256="","",IF(E256&lt;&gt;"sim",0,COUNTIFS($B$2:$B$501,B256,$A$2:$A$501,A256,$E$2:$E$501,"sim",$C$2:$C$501,"&lt;"&amp;J256,$J$2:$J$501,"&gt;"&amp;C256)-1))</x:f>
        <x:v>0</x:v>
      </x:c>
      <x:c r="M256" s="2" t="str">
        <x:f>IF(A256="","",IF(E256&lt;&gt;"sim","Revisar escala",IF(OR(K256&gt;0,L256&gt;0),"Conflito de escala",IF(COUNTIFS('Solicitacoes'!$F$2:$F$501,B256,'Solicitacoes'!$K$2:$K$501,F256,'Solicitacoes'!$I$2:$I$501,"pendente",'Solicitacoes'!$G$2:$G$501,"&lt;"&amp;J256,'Solicitacoes'!$N$2:$N$501,"&gt;"&amp;C256)+COUNTIFS('Solicitacoes'!$F$2:$F$501,B256,'Solicitacoes'!$E$2:$E$501,A256,'Solicitacoes'!$I$2:$I$501,"pendente",'Solicitacoes'!$G$2:$G$501,"&lt;"&amp;J256,'Solicitacoes'!$N$2:$N$501,"&gt;"&amp;C256)+COUNTIFS('Solicitacoes'!$F$2:$F$501,B256,'Solicitacoes'!$K$2:$K$501,F256,'Solicitacoes'!$I$2:$I$501,"confirmado",'Solicitacoes'!$G$2:$G$501,"&lt;"&amp;J256,'Solicitacoes'!$N$2:$N$501,"&gt;"&amp;C256)+COUNTIFS('Solicitacoes'!$F$2:$F$501,B256,'Solicitacoes'!$E$2:$E$501,A256,'Solicitacoes'!$I$2:$I$501,"confirmado",'Solicitacoes'!$G$2:$G$501,"&lt;"&amp;J256,'Solicitacoes'!$N$2:$N$501,"&gt;"&amp;C256)&gt;0,"Ocupado","Disponível"))))</x:f>
        <x:v>Revisar escala</x:v>
      </x:c>
      <x:c r="N256" s="2" t="n">
        <x:f>IF(A256="","",ROW()-1)</x:f>
        <x:v>255</x:v>
      </x:c>
    </x:row>
    <x:row r="257" ht="24" customHeight="1">
      <x:c r="A257" s="13" t="str">
        <x:v>Laura Casanova</x:v>
      </x:c>
      <x:c r="B257" s="14" t="d">
        <x:v>2026-10-20T00:00:00.000Z</x:v>
      </x:c>
      <x:c r="C257" s="26" t="n">
        <x:v>0.625</x:v>
      </x:c>
      <x:c r="D257" s="13" t="str">
        <x:v>presencial</x:v>
      </x:c>
      <x:c r="E257" s="13" t="str">
        <x:v>não</x:v>
      </x:c>
      <x:c r="F257" s="13" t="str">
        <x:v>Sala 2</x:v>
      </x:c>
      <x:c r="G257" s="12" t="n">
        <x:f>IF(A257="","",'Agenda'!$B$5)</x:f>
        <x:v>50</x:v>
      </x:c>
      <x:c r="H257" s="12" t="n">
        <x:f>IF(A257="","",'Agenda'!$B$6)</x:f>
        <x:v>10</x:v>
      </x:c>
      <x:c r="I257" s="24" t="n">
        <x:f>IF(A257="","",C257+G257/1440)</x:f>
        <x:v>0.6597222222222222</x:v>
      </x:c>
      <x:c r="J257" s="24" t="n">
        <x:f>IF(A257="","",C257+(G257+H257)/1440)</x:f>
        <x:v>0.6666666666666666</x:v>
      </x:c>
      <x:c r="K257" s="27" t="n">
        <x:f>IF(A257="","",IF(E257&lt;&gt;"sim",0,COUNTIFS($B$2:$B$501,B257,$F$2:$F$501,F257,$E$2:$E$501,"sim",$C$2:$C$501,"&lt;"&amp;J257,$J$2:$J$501,"&gt;"&amp;C257)-1))</x:f>
        <x:v>0</x:v>
      </x:c>
      <x:c r="L257" s="27" t="n">
        <x:f>IF(A257="","",IF(E257&lt;&gt;"sim",0,COUNTIFS($B$2:$B$501,B257,$A$2:$A$501,A257,$E$2:$E$501,"sim",$C$2:$C$501,"&lt;"&amp;J257,$J$2:$J$501,"&gt;"&amp;C257)-1))</x:f>
        <x:v>0</x:v>
      </x:c>
      <x:c r="M257" s="2" t="str">
        <x:f>IF(A257="","",IF(E257&lt;&gt;"sim","Revisar escala",IF(OR(K257&gt;0,L257&gt;0),"Conflito de escala",IF(COUNTIFS('Solicitacoes'!$F$2:$F$501,B257,'Solicitacoes'!$K$2:$K$501,F257,'Solicitacoes'!$I$2:$I$501,"pendente",'Solicitacoes'!$G$2:$G$501,"&lt;"&amp;J257,'Solicitacoes'!$N$2:$N$501,"&gt;"&amp;C257)+COUNTIFS('Solicitacoes'!$F$2:$F$501,B257,'Solicitacoes'!$E$2:$E$501,A257,'Solicitacoes'!$I$2:$I$501,"pendente",'Solicitacoes'!$G$2:$G$501,"&lt;"&amp;J257,'Solicitacoes'!$N$2:$N$501,"&gt;"&amp;C257)+COUNTIFS('Solicitacoes'!$F$2:$F$501,B257,'Solicitacoes'!$K$2:$K$501,F257,'Solicitacoes'!$I$2:$I$501,"confirmado",'Solicitacoes'!$G$2:$G$501,"&lt;"&amp;J257,'Solicitacoes'!$N$2:$N$501,"&gt;"&amp;C257)+COUNTIFS('Solicitacoes'!$F$2:$F$501,B257,'Solicitacoes'!$E$2:$E$501,A257,'Solicitacoes'!$I$2:$I$501,"confirmado",'Solicitacoes'!$G$2:$G$501,"&lt;"&amp;J257,'Solicitacoes'!$N$2:$N$501,"&gt;"&amp;C257)&gt;0,"Ocupado","Disponível"))))</x:f>
        <x:v>Revisar escala</x:v>
      </x:c>
      <x:c r="N257" s="2" t="n">
        <x:f>IF(A257="","",ROW()-1)</x:f>
        <x:v>256</x:v>
      </x:c>
    </x:row>
    <x:row r="258" ht="24" customHeight="1">
      <x:c r="A258" s="13" t="str">
        <x:v>Géssyca Martins</x:v>
      </x:c>
      <x:c r="B258" s="14" t="d">
        <x:v>2026-10-20T00:00:00.000Z</x:v>
      </x:c>
      <x:c r="C258" s="26" t="n">
        <x:v>0.6666666666666666</x:v>
      </x:c>
      <x:c r="D258" s="13" t="str">
        <x:v>presencial</x:v>
      </x:c>
      <x:c r="E258" s="13" t="str">
        <x:v>não</x:v>
      </x:c>
      <x:c r="F258" s="13" t="str">
        <x:v>Sala 1</x:v>
      </x:c>
      <x:c r="G258" s="12" t="n">
        <x:f>IF(A258="","",'Agenda'!$B$5)</x:f>
        <x:v>50</x:v>
      </x:c>
      <x:c r="H258" s="12" t="n">
        <x:f>IF(A258="","",'Agenda'!$B$6)</x:f>
        <x:v>10</x:v>
      </x:c>
      <x:c r="I258" s="24" t="n">
        <x:f>IF(A258="","",C258+G258/1440)</x:f>
        <x:v>0.7013888888888888</x:v>
      </x:c>
      <x:c r="J258" s="24" t="n">
        <x:f>IF(A258="","",C258+(G258+H258)/1440)</x:f>
        <x:v>0.7083333333333333</x:v>
      </x:c>
      <x:c r="K258" s="27" t="n">
        <x:f>IF(A258="","",IF(E258&lt;&gt;"sim",0,COUNTIFS($B$2:$B$501,B258,$F$2:$F$501,F258,$E$2:$E$501,"sim",$C$2:$C$501,"&lt;"&amp;J258,$J$2:$J$501,"&gt;"&amp;C258)-1))</x:f>
        <x:v>0</x:v>
      </x:c>
      <x:c r="L258" s="27" t="n">
        <x:f>IF(A258="","",IF(E258&lt;&gt;"sim",0,COUNTIFS($B$2:$B$501,B258,$A$2:$A$501,A258,$E$2:$E$501,"sim",$C$2:$C$501,"&lt;"&amp;J258,$J$2:$J$501,"&gt;"&amp;C258)-1))</x:f>
        <x:v>0</x:v>
      </x:c>
      <x:c r="M258" s="2" t="str">
        <x:f>IF(A258="","",IF(E258&lt;&gt;"sim","Revisar escala",IF(OR(K258&gt;0,L258&gt;0),"Conflito de escala",IF(COUNTIFS('Solicitacoes'!$F$2:$F$501,B258,'Solicitacoes'!$K$2:$K$501,F258,'Solicitacoes'!$I$2:$I$501,"pendente",'Solicitacoes'!$G$2:$G$501,"&lt;"&amp;J258,'Solicitacoes'!$N$2:$N$501,"&gt;"&amp;C258)+COUNTIFS('Solicitacoes'!$F$2:$F$501,B258,'Solicitacoes'!$E$2:$E$501,A258,'Solicitacoes'!$I$2:$I$501,"pendente",'Solicitacoes'!$G$2:$G$501,"&lt;"&amp;J258,'Solicitacoes'!$N$2:$N$501,"&gt;"&amp;C258)+COUNTIFS('Solicitacoes'!$F$2:$F$501,B258,'Solicitacoes'!$K$2:$K$501,F258,'Solicitacoes'!$I$2:$I$501,"confirmado",'Solicitacoes'!$G$2:$G$501,"&lt;"&amp;J258,'Solicitacoes'!$N$2:$N$501,"&gt;"&amp;C258)+COUNTIFS('Solicitacoes'!$F$2:$F$501,B258,'Solicitacoes'!$E$2:$E$501,A258,'Solicitacoes'!$I$2:$I$501,"confirmado",'Solicitacoes'!$G$2:$G$501,"&lt;"&amp;J258,'Solicitacoes'!$N$2:$N$501,"&gt;"&amp;C258)&gt;0,"Ocupado","Disponível"))))</x:f>
        <x:v>Revisar escala</x:v>
      </x:c>
      <x:c r="N258" s="2" t="n">
        <x:f>IF(A258="","",ROW()-1)</x:f>
        <x:v>257</x:v>
      </x:c>
    </x:row>
    <x:row r="259" ht="24" customHeight="1">
      <x:c r="A259" s="13" t="str">
        <x:v>Laura Casanova</x:v>
      </x:c>
      <x:c r="B259" s="14" t="d">
        <x:v>2026-10-20T00:00:00.000Z</x:v>
      </x:c>
      <x:c r="C259" s="26" t="n">
        <x:v>0.6666666666666666</x:v>
      </x:c>
      <x:c r="D259" s="13" t="str">
        <x:v>presencial</x:v>
      </x:c>
      <x:c r="E259" s="13" t="str">
        <x:v>não</x:v>
      </x:c>
      <x:c r="F259" s="13" t="str">
        <x:v>Sala 2</x:v>
      </x:c>
      <x:c r="G259" s="12" t="n">
        <x:f>IF(A259="","",'Agenda'!$B$5)</x:f>
        <x:v>50</x:v>
      </x:c>
      <x:c r="H259" s="12" t="n">
        <x:f>IF(A259="","",'Agenda'!$B$6)</x:f>
        <x:v>10</x:v>
      </x:c>
      <x:c r="I259" s="24" t="n">
        <x:f>IF(A259="","",C259+G259/1440)</x:f>
        <x:v>0.7013888888888888</x:v>
      </x:c>
      <x:c r="J259" s="24" t="n">
        <x:f>IF(A259="","",C259+(G259+H259)/1440)</x:f>
        <x:v>0.7083333333333333</x:v>
      </x:c>
      <x:c r="K259" s="27" t="n">
        <x:f>IF(A259="","",IF(E259&lt;&gt;"sim",0,COUNTIFS($B$2:$B$501,B259,$F$2:$F$501,F259,$E$2:$E$501,"sim",$C$2:$C$501,"&lt;"&amp;J259,$J$2:$J$501,"&gt;"&amp;C259)-1))</x:f>
        <x:v>0</x:v>
      </x:c>
      <x:c r="L259" s="27" t="n">
        <x:f>IF(A259="","",IF(E259&lt;&gt;"sim",0,COUNTIFS($B$2:$B$501,B259,$A$2:$A$501,A259,$E$2:$E$501,"sim",$C$2:$C$501,"&lt;"&amp;J259,$J$2:$J$501,"&gt;"&amp;C259)-1))</x:f>
        <x:v>0</x:v>
      </x:c>
      <x:c r="M259" s="2" t="str">
        <x:f>IF(A259="","",IF(E259&lt;&gt;"sim","Revisar escala",IF(OR(K259&gt;0,L259&gt;0),"Conflito de escala",IF(COUNTIFS('Solicitacoes'!$F$2:$F$501,B259,'Solicitacoes'!$K$2:$K$501,F259,'Solicitacoes'!$I$2:$I$501,"pendente",'Solicitacoes'!$G$2:$G$501,"&lt;"&amp;J259,'Solicitacoes'!$N$2:$N$501,"&gt;"&amp;C259)+COUNTIFS('Solicitacoes'!$F$2:$F$501,B259,'Solicitacoes'!$E$2:$E$501,A259,'Solicitacoes'!$I$2:$I$501,"pendente",'Solicitacoes'!$G$2:$G$501,"&lt;"&amp;J259,'Solicitacoes'!$N$2:$N$501,"&gt;"&amp;C259)+COUNTIFS('Solicitacoes'!$F$2:$F$501,B259,'Solicitacoes'!$K$2:$K$501,F259,'Solicitacoes'!$I$2:$I$501,"confirmado",'Solicitacoes'!$G$2:$G$501,"&lt;"&amp;J259,'Solicitacoes'!$N$2:$N$501,"&gt;"&amp;C259)+COUNTIFS('Solicitacoes'!$F$2:$F$501,B259,'Solicitacoes'!$E$2:$E$501,A259,'Solicitacoes'!$I$2:$I$501,"confirmado",'Solicitacoes'!$G$2:$G$501,"&lt;"&amp;J259,'Solicitacoes'!$N$2:$N$501,"&gt;"&amp;C259)&gt;0,"Ocupado","Disponível"))))</x:f>
        <x:v>Revisar escala</x:v>
      </x:c>
      <x:c r="N259" s="2" t="n">
        <x:f>IF(A259="","",ROW()-1)</x:f>
        <x:v>258</x:v>
      </x:c>
    </x:row>
    <x:row r="260" ht="24" customHeight="1">
      <x:c r="A260" s="13" t="str">
        <x:v>Géssyca Martins</x:v>
      </x:c>
      <x:c r="B260" s="14" t="d">
        <x:v>2026-10-20T00:00:00.000Z</x:v>
      </x:c>
      <x:c r="C260" s="26" t="n">
        <x:v>0.7083333333333334</x:v>
      </x:c>
      <x:c r="D260" s="13" t="str">
        <x:v>presencial</x:v>
      </x:c>
      <x:c r="E260" s="13" t="str">
        <x:v>não</x:v>
      </x:c>
      <x:c r="F260" s="13" t="str">
        <x:v>Sala 1</x:v>
      </x:c>
      <x:c r="G260" s="12" t="n">
        <x:f>IF(A260="","",'Agenda'!$B$5)</x:f>
        <x:v>50</x:v>
      </x:c>
      <x:c r="H260" s="12" t="n">
        <x:f>IF(A260="","",'Agenda'!$B$6)</x:f>
        <x:v>10</x:v>
      </x:c>
      <x:c r="I260" s="24" t="n">
        <x:f>IF(A260="","",C260+G260/1440)</x:f>
        <x:v>0.7430555555555556</x:v>
      </x:c>
      <x:c r="J260" s="24" t="n">
        <x:f>IF(A260="","",C260+(G260+H260)/1440)</x:f>
        <x:v>0.75</x:v>
      </x:c>
      <x:c r="K260" s="27" t="n">
        <x:f>IF(A260="","",IF(E260&lt;&gt;"sim",0,COUNTIFS($B$2:$B$501,B260,$F$2:$F$501,F260,$E$2:$E$501,"sim",$C$2:$C$501,"&lt;"&amp;J260,$J$2:$J$501,"&gt;"&amp;C260)-1))</x:f>
        <x:v>0</x:v>
      </x:c>
      <x:c r="L260" s="27" t="n">
        <x:f>IF(A260="","",IF(E260&lt;&gt;"sim",0,COUNTIFS($B$2:$B$501,B260,$A$2:$A$501,A260,$E$2:$E$501,"sim",$C$2:$C$501,"&lt;"&amp;J260,$J$2:$J$501,"&gt;"&amp;C260)-1))</x:f>
        <x:v>0</x:v>
      </x:c>
      <x:c r="M260" s="2" t="str">
        <x:f>IF(A260="","",IF(E260&lt;&gt;"sim","Revisar escala",IF(OR(K260&gt;0,L260&gt;0),"Conflito de escala",IF(COUNTIFS('Solicitacoes'!$F$2:$F$501,B260,'Solicitacoes'!$K$2:$K$501,F260,'Solicitacoes'!$I$2:$I$501,"pendente",'Solicitacoes'!$G$2:$G$501,"&lt;"&amp;J260,'Solicitacoes'!$N$2:$N$501,"&gt;"&amp;C260)+COUNTIFS('Solicitacoes'!$F$2:$F$501,B260,'Solicitacoes'!$E$2:$E$501,A260,'Solicitacoes'!$I$2:$I$501,"pendente",'Solicitacoes'!$G$2:$G$501,"&lt;"&amp;J260,'Solicitacoes'!$N$2:$N$501,"&gt;"&amp;C260)+COUNTIFS('Solicitacoes'!$F$2:$F$501,B260,'Solicitacoes'!$K$2:$K$501,F260,'Solicitacoes'!$I$2:$I$501,"confirmado",'Solicitacoes'!$G$2:$G$501,"&lt;"&amp;J260,'Solicitacoes'!$N$2:$N$501,"&gt;"&amp;C260)+COUNTIFS('Solicitacoes'!$F$2:$F$501,B260,'Solicitacoes'!$E$2:$E$501,A260,'Solicitacoes'!$I$2:$I$501,"confirmado",'Solicitacoes'!$G$2:$G$501,"&lt;"&amp;J260,'Solicitacoes'!$N$2:$N$501,"&gt;"&amp;C260)&gt;0,"Ocupado","Disponível"))))</x:f>
        <x:v>Revisar escala</x:v>
      </x:c>
      <x:c r="N260" s="2" t="n">
        <x:f>IF(A260="","",ROW()-1)</x:f>
        <x:v>259</x:v>
      </x:c>
    </x:row>
    <x:row r="261" ht="24" customHeight="1">
      <x:c r="A261" s="13" t="str">
        <x:v>Laura Casanova</x:v>
      </x:c>
      <x:c r="B261" s="14" t="d">
        <x:v>2026-10-20T00:00:00.000Z</x:v>
      </x:c>
      <x:c r="C261" s="26" t="n">
        <x:v>0.7083333333333334</x:v>
      </x:c>
      <x:c r="D261" s="13" t="str">
        <x:v>presencial</x:v>
      </x:c>
      <x:c r="E261" s="13" t="str">
        <x:v>não</x:v>
      </x:c>
      <x:c r="F261" s="13" t="str">
        <x:v>Sala 2</x:v>
      </x:c>
      <x:c r="G261" s="12" t="n">
        <x:f>IF(A261="","",'Agenda'!$B$5)</x:f>
        <x:v>50</x:v>
      </x:c>
      <x:c r="H261" s="12" t="n">
        <x:f>IF(A261="","",'Agenda'!$B$6)</x:f>
        <x:v>10</x:v>
      </x:c>
      <x:c r="I261" s="24" t="n">
        <x:f>IF(A261="","",C261+G261/1440)</x:f>
        <x:v>0.7430555555555556</x:v>
      </x:c>
      <x:c r="J261" s="24" t="n">
        <x:f>IF(A261="","",C261+(G261+H261)/1440)</x:f>
        <x:v>0.75</x:v>
      </x:c>
      <x:c r="K261" s="27" t="n">
        <x:f>IF(A261="","",IF(E261&lt;&gt;"sim",0,COUNTIFS($B$2:$B$501,B261,$F$2:$F$501,F261,$E$2:$E$501,"sim",$C$2:$C$501,"&lt;"&amp;J261,$J$2:$J$501,"&gt;"&amp;C261)-1))</x:f>
        <x:v>0</x:v>
      </x:c>
      <x:c r="L261" s="27" t="n">
        <x:f>IF(A261="","",IF(E261&lt;&gt;"sim",0,COUNTIFS($B$2:$B$501,B261,$A$2:$A$501,A261,$E$2:$E$501,"sim",$C$2:$C$501,"&lt;"&amp;J261,$J$2:$J$501,"&gt;"&amp;C261)-1))</x:f>
        <x:v>0</x:v>
      </x:c>
      <x:c r="M261" s="2" t="str">
        <x:f>IF(A261="","",IF(E261&lt;&gt;"sim","Revisar escala",IF(OR(K261&gt;0,L261&gt;0),"Conflito de escala",IF(COUNTIFS('Solicitacoes'!$F$2:$F$501,B261,'Solicitacoes'!$K$2:$K$501,F261,'Solicitacoes'!$I$2:$I$501,"pendente",'Solicitacoes'!$G$2:$G$501,"&lt;"&amp;J261,'Solicitacoes'!$N$2:$N$501,"&gt;"&amp;C261)+COUNTIFS('Solicitacoes'!$F$2:$F$501,B261,'Solicitacoes'!$E$2:$E$501,A261,'Solicitacoes'!$I$2:$I$501,"pendente",'Solicitacoes'!$G$2:$G$501,"&lt;"&amp;J261,'Solicitacoes'!$N$2:$N$501,"&gt;"&amp;C261)+COUNTIFS('Solicitacoes'!$F$2:$F$501,B261,'Solicitacoes'!$K$2:$K$501,F261,'Solicitacoes'!$I$2:$I$501,"confirmado",'Solicitacoes'!$G$2:$G$501,"&lt;"&amp;J261,'Solicitacoes'!$N$2:$N$501,"&gt;"&amp;C261)+COUNTIFS('Solicitacoes'!$F$2:$F$501,B261,'Solicitacoes'!$E$2:$E$501,A261,'Solicitacoes'!$I$2:$I$501,"confirmado",'Solicitacoes'!$G$2:$G$501,"&lt;"&amp;J261,'Solicitacoes'!$N$2:$N$501,"&gt;"&amp;C261)&gt;0,"Ocupado","Disponível"))))</x:f>
        <x:v>Revisar escala</x:v>
      </x:c>
      <x:c r="N261" s="2" t="n">
        <x:f>IF(A261="","",ROW()-1)</x:f>
        <x:v>260</x:v>
      </x:c>
    </x:row>
    <x:row r="262" ht="24" customHeight="1">
      <x:c r="A262" s="13" t="str">
        <x:v>Géssyca Martins</x:v>
      </x:c>
      <x:c r="B262" s="14" t="d">
        <x:v>2026-10-20T00:00:00.000Z</x:v>
      </x:c>
      <x:c r="C262" s="26" t="n">
        <x:v>0.75</x:v>
      </x:c>
      <x:c r="D262" s="13" t="str">
        <x:v>presencial</x:v>
      </x:c>
      <x:c r="E262" s="13" t="str">
        <x:v>não</x:v>
      </x:c>
      <x:c r="F262" s="13" t="str">
        <x:v>Sala 1</x:v>
      </x:c>
      <x:c r="G262" s="12" t="n">
        <x:f>IF(A262="","",'Agenda'!$B$5)</x:f>
        <x:v>50</x:v>
      </x:c>
      <x:c r="H262" s="12" t="n">
        <x:f>IF(A262="","",'Agenda'!$B$6)</x:f>
        <x:v>10</x:v>
      </x:c>
      <x:c r="I262" s="24" t="n">
        <x:f>IF(A262="","",C262+G262/1440)</x:f>
        <x:v>0.7847222222222222</x:v>
      </x:c>
      <x:c r="J262" s="24" t="n">
        <x:f>IF(A262="","",C262+(G262+H262)/1440)</x:f>
        <x:v>0.7916666666666666</x:v>
      </x:c>
      <x:c r="K262" s="27" t="n">
        <x:f>IF(A262="","",IF(E262&lt;&gt;"sim",0,COUNTIFS($B$2:$B$501,B262,$F$2:$F$501,F262,$E$2:$E$501,"sim",$C$2:$C$501,"&lt;"&amp;J262,$J$2:$J$501,"&gt;"&amp;C262)-1))</x:f>
        <x:v>0</x:v>
      </x:c>
      <x:c r="L262" s="27" t="n">
        <x:f>IF(A262="","",IF(E262&lt;&gt;"sim",0,COUNTIFS($B$2:$B$501,B262,$A$2:$A$501,A262,$E$2:$E$501,"sim",$C$2:$C$501,"&lt;"&amp;J262,$J$2:$J$501,"&gt;"&amp;C262)-1))</x:f>
        <x:v>0</x:v>
      </x:c>
      <x:c r="M262" s="2" t="str">
        <x:f>IF(A262="","",IF(E262&lt;&gt;"sim","Revisar escala",IF(OR(K262&gt;0,L262&gt;0),"Conflito de escala",IF(COUNTIFS('Solicitacoes'!$F$2:$F$501,B262,'Solicitacoes'!$K$2:$K$501,F262,'Solicitacoes'!$I$2:$I$501,"pendente",'Solicitacoes'!$G$2:$G$501,"&lt;"&amp;J262,'Solicitacoes'!$N$2:$N$501,"&gt;"&amp;C262)+COUNTIFS('Solicitacoes'!$F$2:$F$501,B262,'Solicitacoes'!$E$2:$E$501,A262,'Solicitacoes'!$I$2:$I$501,"pendente",'Solicitacoes'!$G$2:$G$501,"&lt;"&amp;J262,'Solicitacoes'!$N$2:$N$501,"&gt;"&amp;C262)+COUNTIFS('Solicitacoes'!$F$2:$F$501,B262,'Solicitacoes'!$K$2:$K$501,F262,'Solicitacoes'!$I$2:$I$501,"confirmado",'Solicitacoes'!$G$2:$G$501,"&lt;"&amp;J262,'Solicitacoes'!$N$2:$N$501,"&gt;"&amp;C262)+COUNTIFS('Solicitacoes'!$F$2:$F$501,B262,'Solicitacoes'!$E$2:$E$501,A262,'Solicitacoes'!$I$2:$I$501,"confirmado",'Solicitacoes'!$G$2:$G$501,"&lt;"&amp;J262,'Solicitacoes'!$N$2:$N$501,"&gt;"&amp;C262)&gt;0,"Ocupado","Disponível"))))</x:f>
        <x:v>Revisar escala</x:v>
      </x:c>
      <x:c r="N262" s="2" t="n">
        <x:f>IF(A262="","",ROW()-1)</x:f>
        <x:v>261</x:v>
      </x:c>
    </x:row>
    <x:row r="263" ht="24" customHeight="1">
      <x:c r="A263" s="13" t="str">
        <x:v>Laura Casanova</x:v>
      </x:c>
      <x:c r="B263" s="14" t="d">
        <x:v>2026-10-20T00:00:00.000Z</x:v>
      </x:c>
      <x:c r="C263" s="26" t="n">
        <x:v>0.75</x:v>
      </x:c>
      <x:c r="D263" s="13" t="str">
        <x:v>presencial</x:v>
      </x:c>
      <x:c r="E263" s="13" t="str">
        <x:v>não</x:v>
      </x:c>
      <x:c r="F263" s="13" t="str">
        <x:v>Sala 2</x:v>
      </x:c>
      <x:c r="G263" s="12" t="n">
        <x:f>IF(A263="","",'Agenda'!$B$5)</x:f>
        <x:v>50</x:v>
      </x:c>
      <x:c r="H263" s="12" t="n">
        <x:f>IF(A263="","",'Agenda'!$B$6)</x:f>
        <x:v>10</x:v>
      </x:c>
      <x:c r="I263" s="24" t="n">
        <x:f>IF(A263="","",C263+G263/1440)</x:f>
        <x:v>0.7847222222222222</x:v>
      </x:c>
      <x:c r="J263" s="24" t="n">
        <x:f>IF(A263="","",C263+(G263+H263)/1440)</x:f>
        <x:v>0.7916666666666666</x:v>
      </x:c>
      <x:c r="K263" s="27" t="n">
        <x:f>IF(A263="","",IF(E263&lt;&gt;"sim",0,COUNTIFS($B$2:$B$501,B263,$F$2:$F$501,F263,$E$2:$E$501,"sim",$C$2:$C$501,"&lt;"&amp;J263,$J$2:$J$501,"&gt;"&amp;C263)-1))</x:f>
        <x:v>0</x:v>
      </x:c>
      <x:c r="L263" s="27" t="n">
        <x:f>IF(A263="","",IF(E263&lt;&gt;"sim",0,COUNTIFS($B$2:$B$501,B263,$A$2:$A$501,A263,$E$2:$E$501,"sim",$C$2:$C$501,"&lt;"&amp;J263,$J$2:$J$501,"&gt;"&amp;C263)-1))</x:f>
        <x:v>0</x:v>
      </x:c>
      <x:c r="M263" s="2" t="str">
        <x:f>IF(A263="","",IF(E263&lt;&gt;"sim","Revisar escala",IF(OR(K263&gt;0,L263&gt;0),"Conflito de escala",IF(COUNTIFS('Solicitacoes'!$F$2:$F$501,B263,'Solicitacoes'!$K$2:$K$501,F263,'Solicitacoes'!$I$2:$I$501,"pendente",'Solicitacoes'!$G$2:$G$501,"&lt;"&amp;J263,'Solicitacoes'!$N$2:$N$501,"&gt;"&amp;C263)+COUNTIFS('Solicitacoes'!$F$2:$F$501,B263,'Solicitacoes'!$E$2:$E$501,A263,'Solicitacoes'!$I$2:$I$501,"pendente",'Solicitacoes'!$G$2:$G$501,"&lt;"&amp;J263,'Solicitacoes'!$N$2:$N$501,"&gt;"&amp;C263)+COUNTIFS('Solicitacoes'!$F$2:$F$501,B263,'Solicitacoes'!$K$2:$K$501,F263,'Solicitacoes'!$I$2:$I$501,"confirmado",'Solicitacoes'!$G$2:$G$501,"&lt;"&amp;J263,'Solicitacoes'!$N$2:$N$501,"&gt;"&amp;C263)+COUNTIFS('Solicitacoes'!$F$2:$F$501,B263,'Solicitacoes'!$E$2:$E$501,A263,'Solicitacoes'!$I$2:$I$501,"confirmado",'Solicitacoes'!$G$2:$G$501,"&lt;"&amp;J263,'Solicitacoes'!$N$2:$N$501,"&gt;"&amp;C263)&gt;0,"Ocupado","Disponível"))))</x:f>
        <x:v>Revisar escala</x:v>
      </x:c>
      <x:c r="N263" s="2" t="n">
        <x:f>IF(A263="","",ROW()-1)</x:f>
        <x:v>262</x:v>
      </x:c>
    </x:row>
    <x:row r="264" ht="24" customHeight="1">
      <x:c r="A264" s="13" t="str">
        <x:v>Géssyca Martins</x:v>
      </x:c>
      <x:c r="B264" s="14" t="d">
        <x:v>2026-10-20T00:00:00.000Z</x:v>
      </x:c>
      <x:c r="C264" s="26" t="n">
        <x:v>0.7916666666666666</x:v>
      </x:c>
      <x:c r="D264" s="13" t="str">
        <x:v>presencial</x:v>
      </x:c>
      <x:c r="E264" s="13" t="str">
        <x:v>não</x:v>
      </x:c>
      <x:c r="F264" s="13" t="str">
        <x:v>Sala 1</x:v>
      </x:c>
      <x:c r="G264" s="12" t="n">
        <x:f>IF(A264="","",'Agenda'!$B$5)</x:f>
        <x:v>50</x:v>
      </x:c>
      <x:c r="H264" s="12" t="n">
        <x:f>IF(A264="","",'Agenda'!$B$6)</x:f>
        <x:v>10</x:v>
      </x:c>
      <x:c r="I264" s="24" t="n">
        <x:f>IF(A264="","",C264+G264/1440)</x:f>
        <x:v>0.8263888888888888</x:v>
      </x:c>
      <x:c r="J264" s="24" t="n">
        <x:f>IF(A264="","",C264+(G264+H264)/1440)</x:f>
        <x:v>0.8333333333333333</x:v>
      </x:c>
      <x:c r="K264" s="27" t="n">
        <x:f>IF(A264="","",IF(E264&lt;&gt;"sim",0,COUNTIFS($B$2:$B$501,B264,$F$2:$F$501,F264,$E$2:$E$501,"sim",$C$2:$C$501,"&lt;"&amp;J264,$J$2:$J$501,"&gt;"&amp;C264)-1))</x:f>
        <x:v>0</x:v>
      </x:c>
      <x:c r="L264" s="27" t="n">
        <x:f>IF(A264="","",IF(E264&lt;&gt;"sim",0,COUNTIFS($B$2:$B$501,B264,$A$2:$A$501,A264,$E$2:$E$501,"sim",$C$2:$C$501,"&lt;"&amp;J264,$J$2:$J$501,"&gt;"&amp;C264)-1))</x:f>
        <x:v>0</x:v>
      </x:c>
      <x:c r="M264" s="2" t="str">
        <x:f>IF(A264="","",IF(E264&lt;&gt;"sim","Revisar escala",IF(OR(K264&gt;0,L264&gt;0),"Conflito de escala",IF(COUNTIFS('Solicitacoes'!$F$2:$F$501,B264,'Solicitacoes'!$K$2:$K$501,F264,'Solicitacoes'!$I$2:$I$501,"pendente",'Solicitacoes'!$G$2:$G$501,"&lt;"&amp;J264,'Solicitacoes'!$N$2:$N$501,"&gt;"&amp;C264)+COUNTIFS('Solicitacoes'!$F$2:$F$501,B264,'Solicitacoes'!$E$2:$E$501,A264,'Solicitacoes'!$I$2:$I$501,"pendente",'Solicitacoes'!$G$2:$G$501,"&lt;"&amp;J264,'Solicitacoes'!$N$2:$N$501,"&gt;"&amp;C264)+COUNTIFS('Solicitacoes'!$F$2:$F$501,B264,'Solicitacoes'!$K$2:$K$501,F264,'Solicitacoes'!$I$2:$I$501,"confirmado",'Solicitacoes'!$G$2:$G$501,"&lt;"&amp;J264,'Solicitacoes'!$N$2:$N$501,"&gt;"&amp;C264)+COUNTIFS('Solicitacoes'!$F$2:$F$501,B264,'Solicitacoes'!$E$2:$E$501,A264,'Solicitacoes'!$I$2:$I$501,"confirmado",'Solicitacoes'!$G$2:$G$501,"&lt;"&amp;J264,'Solicitacoes'!$N$2:$N$501,"&gt;"&amp;C264)&gt;0,"Ocupado","Disponível"))))</x:f>
        <x:v>Revisar escala</x:v>
      </x:c>
      <x:c r="N264" s="2" t="n">
        <x:f>IF(A264="","",ROW()-1)</x:f>
        <x:v>263</x:v>
      </x:c>
    </x:row>
    <x:row r="265" ht="24" customHeight="1">
      <x:c r="A265" s="13" t="str">
        <x:v>Laura Casanova</x:v>
      </x:c>
      <x:c r="B265" s="14" t="d">
        <x:v>2026-10-20T00:00:00.000Z</x:v>
      </x:c>
      <x:c r="C265" s="26" t="n">
        <x:v>0.7916666666666666</x:v>
      </x:c>
      <x:c r="D265" s="13" t="str">
        <x:v>presencial</x:v>
      </x:c>
      <x:c r="E265" s="13" t="str">
        <x:v>não</x:v>
      </x:c>
      <x:c r="F265" s="13" t="str">
        <x:v>Sala 2</x:v>
      </x:c>
      <x:c r="G265" s="12" t="n">
        <x:f>IF(A265="","",'Agenda'!$B$5)</x:f>
        <x:v>50</x:v>
      </x:c>
      <x:c r="H265" s="12" t="n">
        <x:f>IF(A265="","",'Agenda'!$B$6)</x:f>
        <x:v>10</x:v>
      </x:c>
      <x:c r="I265" s="24" t="n">
        <x:f>IF(A265="","",C265+G265/1440)</x:f>
        <x:v>0.8263888888888888</x:v>
      </x:c>
      <x:c r="J265" s="24" t="n">
        <x:f>IF(A265="","",C265+(G265+H265)/1440)</x:f>
        <x:v>0.8333333333333333</x:v>
      </x:c>
      <x:c r="K265" s="27" t="n">
        <x:f>IF(A265="","",IF(E265&lt;&gt;"sim",0,COUNTIFS($B$2:$B$501,B265,$F$2:$F$501,F265,$E$2:$E$501,"sim",$C$2:$C$501,"&lt;"&amp;J265,$J$2:$J$501,"&gt;"&amp;C265)-1))</x:f>
        <x:v>0</x:v>
      </x:c>
      <x:c r="L265" s="27" t="n">
        <x:f>IF(A265="","",IF(E265&lt;&gt;"sim",0,COUNTIFS($B$2:$B$501,B265,$A$2:$A$501,A265,$E$2:$E$501,"sim",$C$2:$C$501,"&lt;"&amp;J265,$J$2:$J$501,"&gt;"&amp;C265)-1))</x:f>
        <x:v>0</x:v>
      </x:c>
      <x:c r="M265" s="2" t="str">
        <x:f>IF(A265="","",IF(E265&lt;&gt;"sim","Revisar escala",IF(OR(K265&gt;0,L265&gt;0),"Conflito de escala",IF(COUNTIFS('Solicitacoes'!$F$2:$F$501,B265,'Solicitacoes'!$K$2:$K$501,F265,'Solicitacoes'!$I$2:$I$501,"pendente",'Solicitacoes'!$G$2:$G$501,"&lt;"&amp;J265,'Solicitacoes'!$N$2:$N$501,"&gt;"&amp;C265)+COUNTIFS('Solicitacoes'!$F$2:$F$501,B265,'Solicitacoes'!$E$2:$E$501,A265,'Solicitacoes'!$I$2:$I$501,"pendente",'Solicitacoes'!$G$2:$G$501,"&lt;"&amp;J265,'Solicitacoes'!$N$2:$N$501,"&gt;"&amp;C265)+COUNTIFS('Solicitacoes'!$F$2:$F$501,B265,'Solicitacoes'!$K$2:$K$501,F265,'Solicitacoes'!$I$2:$I$501,"confirmado",'Solicitacoes'!$G$2:$G$501,"&lt;"&amp;J265,'Solicitacoes'!$N$2:$N$501,"&gt;"&amp;C265)+COUNTIFS('Solicitacoes'!$F$2:$F$501,B265,'Solicitacoes'!$E$2:$E$501,A265,'Solicitacoes'!$I$2:$I$501,"confirmado",'Solicitacoes'!$G$2:$G$501,"&lt;"&amp;J265,'Solicitacoes'!$N$2:$N$501,"&gt;"&amp;C265)&gt;0,"Ocupado","Disponível"))))</x:f>
        <x:v>Revisar escala</x:v>
      </x:c>
      <x:c r="N265" s="2" t="n">
        <x:f>IF(A265="","",ROW()-1)</x:f>
        <x:v>264</x:v>
      </x:c>
    </x:row>
    <x:row r="266" ht="24" customHeight="1">
      <x:c r="A266" s="13" t="str">
        <x:v>Aline Reis</x:v>
      </x:c>
      <x:c r="B266" s="14" t="d">
        <x:v>2026-10-21T00:00:00.000Z</x:v>
      </x:c>
      <x:c r="C266" s="26" t="n">
        <x:v>0.375</x:v>
      </x:c>
      <x:c r="D266" s="13" t="str">
        <x:v>presencial</x:v>
      </x:c>
      <x:c r="E266" s="13" t="str">
        <x:v>não</x:v>
      </x:c>
      <x:c r="F266" s="13" t="str">
        <x:v>Sala 1</x:v>
      </x:c>
      <x:c r="G266" s="12" t="n">
        <x:f>IF(A266="","",'Agenda'!$B$5)</x:f>
        <x:v>50</x:v>
      </x:c>
      <x:c r="H266" s="12" t="n">
        <x:f>IF(A266="","",'Agenda'!$B$6)</x:f>
        <x:v>10</x:v>
      </x:c>
      <x:c r="I266" s="24" t="n">
        <x:f>IF(A266="","",C266+G266/1440)</x:f>
        <x:v>0.4097222222222222</x:v>
      </x:c>
      <x:c r="J266" s="24" t="n">
        <x:f>IF(A266="","",C266+(G266+H266)/1440)</x:f>
        <x:v>0.4166666666666667</x:v>
      </x:c>
      <x:c r="K266" s="27" t="n">
        <x:f>IF(A266="","",IF(E266&lt;&gt;"sim",0,COUNTIFS($B$2:$B$501,B266,$F$2:$F$501,F266,$E$2:$E$501,"sim",$C$2:$C$501,"&lt;"&amp;J266,$J$2:$J$501,"&gt;"&amp;C266)-1))</x:f>
        <x:v>0</x:v>
      </x:c>
      <x:c r="L266" s="27" t="n">
        <x:f>IF(A266="","",IF(E266&lt;&gt;"sim",0,COUNTIFS($B$2:$B$501,B266,$A$2:$A$501,A266,$E$2:$E$501,"sim",$C$2:$C$501,"&lt;"&amp;J266,$J$2:$J$501,"&gt;"&amp;C266)-1))</x:f>
        <x:v>0</x:v>
      </x:c>
      <x:c r="M266" s="2" t="str">
        <x:f>IF(A266="","",IF(E266&lt;&gt;"sim","Revisar escala",IF(OR(K266&gt;0,L266&gt;0),"Conflito de escala",IF(COUNTIFS('Solicitacoes'!$F$2:$F$501,B266,'Solicitacoes'!$K$2:$K$501,F266,'Solicitacoes'!$I$2:$I$501,"pendente",'Solicitacoes'!$G$2:$G$501,"&lt;"&amp;J266,'Solicitacoes'!$N$2:$N$501,"&gt;"&amp;C266)+COUNTIFS('Solicitacoes'!$F$2:$F$501,B266,'Solicitacoes'!$E$2:$E$501,A266,'Solicitacoes'!$I$2:$I$501,"pendente",'Solicitacoes'!$G$2:$G$501,"&lt;"&amp;J266,'Solicitacoes'!$N$2:$N$501,"&gt;"&amp;C266)+COUNTIFS('Solicitacoes'!$F$2:$F$501,B266,'Solicitacoes'!$K$2:$K$501,F266,'Solicitacoes'!$I$2:$I$501,"confirmado",'Solicitacoes'!$G$2:$G$501,"&lt;"&amp;J266,'Solicitacoes'!$N$2:$N$501,"&gt;"&amp;C266)+COUNTIFS('Solicitacoes'!$F$2:$F$501,B266,'Solicitacoes'!$E$2:$E$501,A266,'Solicitacoes'!$I$2:$I$501,"confirmado",'Solicitacoes'!$G$2:$G$501,"&lt;"&amp;J266,'Solicitacoes'!$N$2:$N$501,"&gt;"&amp;C266)&gt;0,"Ocupado","Disponível"))))</x:f>
        <x:v>Revisar escala</x:v>
      </x:c>
      <x:c r="N266" s="2" t="n">
        <x:f>IF(A266="","",ROW()-1)</x:f>
        <x:v>265</x:v>
      </x:c>
    </x:row>
    <x:row r="267" ht="24" customHeight="1">
      <x:c r="A267" s="13" t="str">
        <x:v>Géssyca Martins</x:v>
      </x:c>
      <x:c r="B267" s="14" t="d">
        <x:v>2026-10-21T00:00:00.000Z</x:v>
      </x:c>
      <x:c r="C267" s="26" t="n">
        <x:v>0.375</x:v>
      </x:c>
      <x:c r="D267" s="13" t="str">
        <x:v>presencial</x:v>
      </x:c>
      <x:c r="E267" s="13" t="str">
        <x:v>não</x:v>
      </x:c>
      <x:c r="F267" s="13" t="str">
        <x:v>Sala 2</x:v>
      </x:c>
      <x:c r="G267" s="12" t="n">
        <x:f>IF(A267="","",'Agenda'!$B$5)</x:f>
        <x:v>50</x:v>
      </x:c>
      <x:c r="H267" s="12" t="n">
        <x:f>IF(A267="","",'Agenda'!$B$6)</x:f>
        <x:v>10</x:v>
      </x:c>
      <x:c r="I267" s="24" t="n">
        <x:f>IF(A267="","",C267+G267/1440)</x:f>
        <x:v>0.4097222222222222</x:v>
      </x:c>
      <x:c r="J267" s="24" t="n">
        <x:f>IF(A267="","",C267+(G267+H267)/1440)</x:f>
        <x:v>0.4166666666666667</x:v>
      </x:c>
      <x:c r="K267" s="27" t="n">
        <x:f>IF(A267="","",IF(E267&lt;&gt;"sim",0,COUNTIFS($B$2:$B$501,B267,$F$2:$F$501,F267,$E$2:$E$501,"sim",$C$2:$C$501,"&lt;"&amp;J267,$J$2:$J$501,"&gt;"&amp;C267)-1))</x:f>
        <x:v>0</x:v>
      </x:c>
      <x:c r="L267" s="27" t="n">
        <x:f>IF(A267="","",IF(E267&lt;&gt;"sim",0,COUNTIFS($B$2:$B$501,B267,$A$2:$A$501,A267,$E$2:$E$501,"sim",$C$2:$C$501,"&lt;"&amp;J267,$J$2:$J$501,"&gt;"&amp;C267)-1))</x:f>
        <x:v>0</x:v>
      </x:c>
      <x:c r="M267" s="2" t="str">
        <x:f>IF(A267="","",IF(E267&lt;&gt;"sim","Revisar escala",IF(OR(K267&gt;0,L267&gt;0),"Conflito de escala",IF(COUNTIFS('Solicitacoes'!$F$2:$F$501,B267,'Solicitacoes'!$K$2:$K$501,F267,'Solicitacoes'!$I$2:$I$501,"pendente",'Solicitacoes'!$G$2:$G$501,"&lt;"&amp;J267,'Solicitacoes'!$N$2:$N$501,"&gt;"&amp;C267)+COUNTIFS('Solicitacoes'!$F$2:$F$501,B267,'Solicitacoes'!$E$2:$E$501,A267,'Solicitacoes'!$I$2:$I$501,"pendente",'Solicitacoes'!$G$2:$G$501,"&lt;"&amp;J267,'Solicitacoes'!$N$2:$N$501,"&gt;"&amp;C267)+COUNTIFS('Solicitacoes'!$F$2:$F$501,B267,'Solicitacoes'!$K$2:$K$501,F267,'Solicitacoes'!$I$2:$I$501,"confirmado",'Solicitacoes'!$G$2:$G$501,"&lt;"&amp;J267,'Solicitacoes'!$N$2:$N$501,"&gt;"&amp;C267)+COUNTIFS('Solicitacoes'!$F$2:$F$501,B267,'Solicitacoes'!$E$2:$E$501,A267,'Solicitacoes'!$I$2:$I$501,"confirmado",'Solicitacoes'!$G$2:$G$501,"&lt;"&amp;J267,'Solicitacoes'!$N$2:$N$501,"&gt;"&amp;C267)&gt;0,"Ocupado","Disponível"))))</x:f>
        <x:v>Revisar escala</x:v>
      </x:c>
      <x:c r="N267" s="2" t="n">
        <x:f>IF(A267="","",ROW()-1)</x:f>
        <x:v>266</x:v>
      </x:c>
    </x:row>
    <x:row r="268" ht="24" customHeight="1">
      <x:c r="A268" s="13" t="str">
        <x:v>Aline Reis</x:v>
      </x:c>
      <x:c r="B268" s="14" t="d">
        <x:v>2026-10-21T00:00:00.000Z</x:v>
      </x:c>
      <x:c r="C268" s="26" t="n">
        <x:v>0.4166666666666667</x:v>
      </x:c>
      <x:c r="D268" s="13" t="str">
        <x:v>presencial</x:v>
      </x:c>
      <x:c r="E268" s="13" t="str">
        <x:v>não</x:v>
      </x:c>
      <x:c r="F268" s="13" t="str">
        <x:v>Sala 1</x:v>
      </x:c>
      <x:c r="G268" s="12" t="n">
        <x:f>IF(A268="","",'Agenda'!$B$5)</x:f>
        <x:v>50</x:v>
      </x:c>
      <x:c r="H268" s="12" t="n">
        <x:f>IF(A268="","",'Agenda'!$B$6)</x:f>
        <x:v>10</x:v>
      </x:c>
      <x:c r="I268" s="24" t="n">
        <x:f>IF(A268="","",C268+G268/1440)</x:f>
        <x:v>0.4513888888888889</x:v>
      </x:c>
      <x:c r="J268" s="24" t="n">
        <x:f>IF(A268="","",C268+(G268+H268)/1440)</x:f>
        <x:v>0.45833333333333337</x:v>
      </x:c>
      <x:c r="K268" s="27" t="n">
        <x:f>IF(A268="","",IF(E268&lt;&gt;"sim",0,COUNTIFS($B$2:$B$501,B268,$F$2:$F$501,F268,$E$2:$E$501,"sim",$C$2:$C$501,"&lt;"&amp;J268,$J$2:$J$501,"&gt;"&amp;C268)-1))</x:f>
        <x:v>0</x:v>
      </x:c>
      <x:c r="L268" s="27" t="n">
        <x:f>IF(A268="","",IF(E268&lt;&gt;"sim",0,COUNTIFS($B$2:$B$501,B268,$A$2:$A$501,A268,$E$2:$E$501,"sim",$C$2:$C$501,"&lt;"&amp;J268,$J$2:$J$501,"&gt;"&amp;C268)-1))</x:f>
        <x:v>0</x:v>
      </x:c>
      <x:c r="M268" s="2" t="str">
        <x:f>IF(A268="","",IF(E268&lt;&gt;"sim","Revisar escala",IF(OR(K268&gt;0,L268&gt;0),"Conflito de escala",IF(COUNTIFS('Solicitacoes'!$F$2:$F$501,B268,'Solicitacoes'!$K$2:$K$501,F268,'Solicitacoes'!$I$2:$I$501,"pendente",'Solicitacoes'!$G$2:$G$501,"&lt;"&amp;J268,'Solicitacoes'!$N$2:$N$501,"&gt;"&amp;C268)+COUNTIFS('Solicitacoes'!$F$2:$F$501,B268,'Solicitacoes'!$E$2:$E$501,A268,'Solicitacoes'!$I$2:$I$501,"pendente",'Solicitacoes'!$G$2:$G$501,"&lt;"&amp;J268,'Solicitacoes'!$N$2:$N$501,"&gt;"&amp;C268)+COUNTIFS('Solicitacoes'!$F$2:$F$501,B268,'Solicitacoes'!$K$2:$K$501,F268,'Solicitacoes'!$I$2:$I$501,"confirmado",'Solicitacoes'!$G$2:$G$501,"&lt;"&amp;J268,'Solicitacoes'!$N$2:$N$501,"&gt;"&amp;C268)+COUNTIFS('Solicitacoes'!$F$2:$F$501,B268,'Solicitacoes'!$E$2:$E$501,A268,'Solicitacoes'!$I$2:$I$501,"confirmado",'Solicitacoes'!$G$2:$G$501,"&lt;"&amp;J268,'Solicitacoes'!$N$2:$N$501,"&gt;"&amp;C268)&gt;0,"Ocupado","Disponível"))))</x:f>
        <x:v>Revisar escala</x:v>
      </x:c>
      <x:c r="N268" s="2" t="n">
        <x:f>IF(A268="","",ROW()-1)</x:f>
        <x:v>267</x:v>
      </x:c>
    </x:row>
    <x:row r="269" ht="24" customHeight="1">
      <x:c r="A269" s="13" t="str">
        <x:v>Géssyca Martins</x:v>
      </x:c>
      <x:c r="B269" s="14" t="d">
        <x:v>2026-10-21T00:00:00.000Z</x:v>
      </x:c>
      <x:c r="C269" s="26" t="n">
        <x:v>0.4166666666666667</x:v>
      </x:c>
      <x:c r="D269" s="13" t="str">
        <x:v>presencial</x:v>
      </x:c>
      <x:c r="E269" s="13" t="str">
        <x:v>não</x:v>
      </x:c>
      <x:c r="F269" s="13" t="str">
        <x:v>Sala 2</x:v>
      </x:c>
      <x:c r="G269" s="12" t="n">
        <x:f>IF(A269="","",'Agenda'!$B$5)</x:f>
        <x:v>50</x:v>
      </x:c>
      <x:c r="H269" s="12" t="n">
        <x:f>IF(A269="","",'Agenda'!$B$6)</x:f>
        <x:v>10</x:v>
      </x:c>
      <x:c r="I269" s="24" t="n">
        <x:f>IF(A269="","",C269+G269/1440)</x:f>
        <x:v>0.4513888888888889</x:v>
      </x:c>
      <x:c r="J269" s="24" t="n">
        <x:f>IF(A269="","",C269+(G269+H269)/1440)</x:f>
        <x:v>0.45833333333333337</x:v>
      </x:c>
      <x:c r="K269" s="27" t="n">
        <x:f>IF(A269="","",IF(E269&lt;&gt;"sim",0,COUNTIFS($B$2:$B$501,B269,$F$2:$F$501,F269,$E$2:$E$501,"sim",$C$2:$C$501,"&lt;"&amp;J269,$J$2:$J$501,"&gt;"&amp;C269)-1))</x:f>
        <x:v>0</x:v>
      </x:c>
      <x:c r="L269" s="27" t="n">
        <x:f>IF(A269="","",IF(E269&lt;&gt;"sim",0,COUNTIFS($B$2:$B$501,B269,$A$2:$A$501,A269,$E$2:$E$501,"sim",$C$2:$C$501,"&lt;"&amp;J269,$J$2:$J$501,"&gt;"&amp;C269)-1))</x:f>
        <x:v>0</x:v>
      </x:c>
      <x:c r="M269" s="2" t="str">
        <x:f>IF(A269="","",IF(E269&lt;&gt;"sim","Revisar escala",IF(OR(K269&gt;0,L269&gt;0),"Conflito de escala",IF(COUNTIFS('Solicitacoes'!$F$2:$F$501,B269,'Solicitacoes'!$K$2:$K$501,F269,'Solicitacoes'!$I$2:$I$501,"pendente",'Solicitacoes'!$G$2:$G$501,"&lt;"&amp;J269,'Solicitacoes'!$N$2:$N$501,"&gt;"&amp;C269)+COUNTIFS('Solicitacoes'!$F$2:$F$501,B269,'Solicitacoes'!$E$2:$E$501,A269,'Solicitacoes'!$I$2:$I$501,"pendente",'Solicitacoes'!$G$2:$G$501,"&lt;"&amp;J269,'Solicitacoes'!$N$2:$N$501,"&gt;"&amp;C269)+COUNTIFS('Solicitacoes'!$F$2:$F$501,B269,'Solicitacoes'!$K$2:$K$501,F269,'Solicitacoes'!$I$2:$I$501,"confirmado",'Solicitacoes'!$G$2:$G$501,"&lt;"&amp;J269,'Solicitacoes'!$N$2:$N$501,"&gt;"&amp;C269)+COUNTIFS('Solicitacoes'!$F$2:$F$501,B269,'Solicitacoes'!$E$2:$E$501,A269,'Solicitacoes'!$I$2:$I$501,"confirmado",'Solicitacoes'!$G$2:$G$501,"&lt;"&amp;J269,'Solicitacoes'!$N$2:$N$501,"&gt;"&amp;C269)&gt;0,"Ocupado","Disponível"))))</x:f>
        <x:v>Revisar escala</x:v>
      </x:c>
      <x:c r="N269" s="2" t="n">
        <x:f>IF(A269="","",ROW()-1)</x:f>
        <x:v>268</x:v>
      </x:c>
    </x:row>
    <x:row r="270" ht="24" customHeight="1">
      <x:c r="A270" s="13" t="str">
        <x:v>Aline Reis</x:v>
      </x:c>
      <x:c r="B270" s="14" t="d">
        <x:v>2026-10-21T00:00:00.000Z</x:v>
      </x:c>
      <x:c r="C270" s="26" t="n">
        <x:v>0.4583333333333333</x:v>
      </x:c>
      <x:c r="D270" s="13" t="str">
        <x:v>presencial</x:v>
      </x:c>
      <x:c r="E270" s="13" t="str">
        <x:v>não</x:v>
      </x:c>
      <x:c r="F270" s="13" t="str">
        <x:v>Sala 1</x:v>
      </x:c>
      <x:c r="G270" s="12" t="n">
        <x:f>IF(A270="","",'Agenda'!$B$5)</x:f>
        <x:v>50</x:v>
      </x:c>
      <x:c r="H270" s="12" t="n">
        <x:f>IF(A270="","",'Agenda'!$B$6)</x:f>
        <x:v>10</x:v>
      </x:c>
      <x:c r="I270" s="24" t="n">
        <x:f>IF(A270="","",C270+G270/1440)</x:f>
        <x:v>0.4930555555555555</x:v>
      </x:c>
      <x:c r="J270" s="24" t="n">
        <x:f>IF(A270="","",C270+(G270+H270)/1440)</x:f>
        <x:v>0.5</x:v>
      </x:c>
      <x:c r="K270" s="27" t="n">
        <x:f>IF(A270="","",IF(E270&lt;&gt;"sim",0,COUNTIFS($B$2:$B$501,B270,$F$2:$F$501,F270,$E$2:$E$501,"sim",$C$2:$C$501,"&lt;"&amp;J270,$J$2:$J$501,"&gt;"&amp;C270)-1))</x:f>
        <x:v>0</x:v>
      </x:c>
      <x:c r="L270" s="27" t="n">
        <x:f>IF(A270="","",IF(E270&lt;&gt;"sim",0,COUNTIFS($B$2:$B$501,B270,$A$2:$A$501,A270,$E$2:$E$501,"sim",$C$2:$C$501,"&lt;"&amp;J270,$J$2:$J$501,"&gt;"&amp;C270)-1))</x:f>
        <x:v>0</x:v>
      </x:c>
      <x:c r="M270" s="2" t="str">
        <x:f>IF(A270="","",IF(E270&lt;&gt;"sim","Revisar escala",IF(OR(K270&gt;0,L270&gt;0),"Conflito de escala",IF(COUNTIFS('Solicitacoes'!$F$2:$F$501,B270,'Solicitacoes'!$K$2:$K$501,F270,'Solicitacoes'!$I$2:$I$501,"pendente",'Solicitacoes'!$G$2:$G$501,"&lt;"&amp;J270,'Solicitacoes'!$N$2:$N$501,"&gt;"&amp;C270)+COUNTIFS('Solicitacoes'!$F$2:$F$501,B270,'Solicitacoes'!$E$2:$E$501,A270,'Solicitacoes'!$I$2:$I$501,"pendente",'Solicitacoes'!$G$2:$G$501,"&lt;"&amp;J270,'Solicitacoes'!$N$2:$N$501,"&gt;"&amp;C270)+COUNTIFS('Solicitacoes'!$F$2:$F$501,B270,'Solicitacoes'!$K$2:$K$501,F270,'Solicitacoes'!$I$2:$I$501,"confirmado",'Solicitacoes'!$G$2:$G$501,"&lt;"&amp;J270,'Solicitacoes'!$N$2:$N$501,"&gt;"&amp;C270)+COUNTIFS('Solicitacoes'!$F$2:$F$501,B270,'Solicitacoes'!$E$2:$E$501,A270,'Solicitacoes'!$I$2:$I$501,"confirmado",'Solicitacoes'!$G$2:$G$501,"&lt;"&amp;J270,'Solicitacoes'!$N$2:$N$501,"&gt;"&amp;C270)&gt;0,"Ocupado","Disponível"))))</x:f>
        <x:v>Revisar escala</x:v>
      </x:c>
      <x:c r="N270" s="2" t="n">
        <x:f>IF(A270="","",ROW()-1)</x:f>
        <x:v>269</x:v>
      </x:c>
    </x:row>
    <x:row r="271" ht="24" customHeight="1">
      <x:c r="A271" s="13" t="str">
        <x:v>Géssyca Martins</x:v>
      </x:c>
      <x:c r="B271" s="14" t="d">
        <x:v>2026-10-21T00:00:00.000Z</x:v>
      </x:c>
      <x:c r="C271" s="26" t="n">
        <x:v>0.4583333333333333</x:v>
      </x:c>
      <x:c r="D271" s="13" t="str">
        <x:v>presencial</x:v>
      </x:c>
      <x:c r="E271" s="13" t="str">
        <x:v>não</x:v>
      </x:c>
      <x:c r="F271" s="13" t="str">
        <x:v>Sala 2</x:v>
      </x:c>
      <x:c r="G271" s="12" t="n">
        <x:f>IF(A271="","",'Agenda'!$B$5)</x:f>
        <x:v>50</x:v>
      </x:c>
      <x:c r="H271" s="12" t="n">
        <x:f>IF(A271="","",'Agenda'!$B$6)</x:f>
        <x:v>10</x:v>
      </x:c>
      <x:c r="I271" s="24" t="n">
        <x:f>IF(A271="","",C271+G271/1440)</x:f>
        <x:v>0.4930555555555555</x:v>
      </x:c>
      <x:c r="J271" s="24" t="n">
        <x:f>IF(A271="","",C271+(G271+H271)/1440)</x:f>
        <x:v>0.5</x:v>
      </x:c>
      <x:c r="K271" s="27" t="n">
        <x:f>IF(A271="","",IF(E271&lt;&gt;"sim",0,COUNTIFS($B$2:$B$501,B271,$F$2:$F$501,F271,$E$2:$E$501,"sim",$C$2:$C$501,"&lt;"&amp;J271,$J$2:$J$501,"&gt;"&amp;C271)-1))</x:f>
        <x:v>0</x:v>
      </x:c>
      <x:c r="L271" s="27" t="n">
        <x:f>IF(A271="","",IF(E271&lt;&gt;"sim",0,COUNTIFS($B$2:$B$501,B271,$A$2:$A$501,A271,$E$2:$E$501,"sim",$C$2:$C$501,"&lt;"&amp;J271,$J$2:$J$501,"&gt;"&amp;C271)-1))</x:f>
        <x:v>0</x:v>
      </x:c>
      <x:c r="M271" s="2" t="str">
        <x:f>IF(A271="","",IF(E271&lt;&gt;"sim","Revisar escala",IF(OR(K271&gt;0,L271&gt;0),"Conflito de escala",IF(COUNTIFS('Solicitacoes'!$F$2:$F$501,B271,'Solicitacoes'!$K$2:$K$501,F271,'Solicitacoes'!$I$2:$I$501,"pendente",'Solicitacoes'!$G$2:$G$501,"&lt;"&amp;J271,'Solicitacoes'!$N$2:$N$501,"&gt;"&amp;C271)+COUNTIFS('Solicitacoes'!$F$2:$F$501,B271,'Solicitacoes'!$E$2:$E$501,A271,'Solicitacoes'!$I$2:$I$501,"pendente",'Solicitacoes'!$G$2:$G$501,"&lt;"&amp;J271,'Solicitacoes'!$N$2:$N$501,"&gt;"&amp;C271)+COUNTIFS('Solicitacoes'!$F$2:$F$501,B271,'Solicitacoes'!$K$2:$K$501,F271,'Solicitacoes'!$I$2:$I$501,"confirmado",'Solicitacoes'!$G$2:$G$501,"&lt;"&amp;J271,'Solicitacoes'!$N$2:$N$501,"&gt;"&amp;C271)+COUNTIFS('Solicitacoes'!$F$2:$F$501,B271,'Solicitacoes'!$E$2:$E$501,A271,'Solicitacoes'!$I$2:$I$501,"confirmado",'Solicitacoes'!$G$2:$G$501,"&lt;"&amp;J271,'Solicitacoes'!$N$2:$N$501,"&gt;"&amp;C271)&gt;0,"Ocupado","Disponível"))))</x:f>
        <x:v>Revisar escala</x:v>
      </x:c>
      <x:c r="N271" s="2" t="n">
        <x:f>IF(A271="","",ROW()-1)</x:f>
        <x:v>270</x:v>
      </x:c>
    </x:row>
    <x:row r="272" ht="24" customHeight="1">
      <x:c r="A272" s="13" t="str">
        <x:v>Aline Reis</x:v>
      </x:c>
      <x:c r="B272" s="14" t="d">
        <x:v>2026-10-21T00:00:00.000Z</x:v>
      </x:c>
      <x:c r="C272" s="26" t="n">
        <x:v>0.5</x:v>
      </x:c>
      <x:c r="D272" s="13" t="str">
        <x:v>presencial</x:v>
      </x:c>
      <x:c r="E272" s="13" t="str">
        <x:v>não</x:v>
      </x:c>
      <x:c r="F272" s="13" t="str">
        <x:v>Sala 1</x:v>
      </x:c>
      <x:c r="G272" s="12" t="n">
        <x:f>IF(A272="","",'Agenda'!$B$5)</x:f>
        <x:v>50</x:v>
      </x:c>
      <x:c r="H272" s="12" t="n">
        <x:f>IF(A272="","",'Agenda'!$B$6)</x:f>
        <x:v>10</x:v>
      </x:c>
      <x:c r="I272" s="24" t="n">
        <x:f>IF(A272="","",C272+G272/1440)</x:f>
        <x:v>0.5347222222222222</x:v>
      </x:c>
      <x:c r="J272" s="24" t="n">
        <x:f>IF(A272="","",C272+(G272+H272)/1440)</x:f>
        <x:v>0.5416666666666666</x:v>
      </x:c>
      <x:c r="K272" s="27" t="n">
        <x:f>IF(A272="","",IF(E272&lt;&gt;"sim",0,COUNTIFS($B$2:$B$501,B272,$F$2:$F$501,F272,$E$2:$E$501,"sim",$C$2:$C$501,"&lt;"&amp;J272,$J$2:$J$501,"&gt;"&amp;C272)-1))</x:f>
        <x:v>0</x:v>
      </x:c>
      <x:c r="L272" s="27" t="n">
        <x:f>IF(A272="","",IF(E272&lt;&gt;"sim",0,COUNTIFS($B$2:$B$501,B272,$A$2:$A$501,A272,$E$2:$E$501,"sim",$C$2:$C$501,"&lt;"&amp;J272,$J$2:$J$501,"&gt;"&amp;C272)-1))</x:f>
        <x:v>0</x:v>
      </x:c>
      <x:c r="M272" s="2" t="str">
        <x:f>IF(A272="","",IF(E272&lt;&gt;"sim","Revisar escala",IF(OR(K272&gt;0,L272&gt;0),"Conflito de escala",IF(COUNTIFS('Solicitacoes'!$F$2:$F$501,B272,'Solicitacoes'!$K$2:$K$501,F272,'Solicitacoes'!$I$2:$I$501,"pendente",'Solicitacoes'!$G$2:$G$501,"&lt;"&amp;J272,'Solicitacoes'!$N$2:$N$501,"&gt;"&amp;C272)+COUNTIFS('Solicitacoes'!$F$2:$F$501,B272,'Solicitacoes'!$E$2:$E$501,A272,'Solicitacoes'!$I$2:$I$501,"pendente",'Solicitacoes'!$G$2:$G$501,"&lt;"&amp;J272,'Solicitacoes'!$N$2:$N$501,"&gt;"&amp;C272)+COUNTIFS('Solicitacoes'!$F$2:$F$501,B272,'Solicitacoes'!$K$2:$K$501,F272,'Solicitacoes'!$I$2:$I$501,"confirmado",'Solicitacoes'!$G$2:$G$501,"&lt;"&amp;J272,'Solicitacoes'!$N$2:$N$501,"&gt;"&amp;C272)+COUNTIFS('Solicitacoes'!$F$2:$F$501,B272,'Solicitacoes'!$E$2:$E$501,A272,'Solicitacoes'!$I$2:$I$501,"confirmado",'Solicitacoes'!$G$2:$G$501,"&lt;"&amp;J272,'Solicitacoes'!$N$2:$N$501,"&gt;"&amp;C272)&gt;0,"Ocupado","Disponível"))))</x:f>
        <x:v>Revisar escala</x:v>
      </x:c>
      <x:c r="N272" s="2" t="n">
        <x:f>IF(A272="","",ROW()-1)</x:f>
        <x:v>271</x:v>
      </x:c>
    </x:row>
    <x:row r="273" ht="24" customHeight="1">
      <x:c r="A273" s="13" t="str">
        <x:v>Géssyca Martins</x:v>
      </x:c>
      <x:c r="B273" s="14" t="d">
        <x:v>2026-10-21T00:00:00.000Z</x:v>
      </x:c>
      <x:c r="C273" s="26" t="n">
        <x:v>0.5</x:v>
      </x:c>
      <x:c r="D273" s="13" t="str">
        <x:v>presencial</x:v>
      </x:c>
      <x:c r="E273" s="13" t="str">
        <x:v>não</x:v>
      </x:c>
      <x:c r="F273" s="13" t="str">
        <x:v>Sala 2</x:v>
      </x:c>
      <x:c r="G273" s="12" t="n">
        <x:f>IF(A273="","",'Agenda'!$B$5)</x:f>
        <x:v>50</x:v>
      </x:c>
      <x:c r="H273" s="12" t="n">
        <x:f>IF(A273="","",'Agenda'!$B$6)</x:f>
        <x:v>10</x:v>
      </x:c>
      <x:c r="I273" s="24" t="n">
        <x:f>IF(A273="","",C273+G273/1440)</x:f>
        <x:v>0.5347222222222222</x:v>
      </x:c>
      <x:c r="J273" s="24" t="n">
        <x:f>IF(A273="","",C273+(G273+H273)/1440)</x:f>
        <x:v>0.5416666666666666</x:v>
      </x:c>
      <x:c r="K273" s="27" t="n">
        <x:f>IF(A273="","",IF(E273&lt;&gt;"sim",0,COUNTIFS($B$2:$B$501,B273,$F$2:$F$501,F273,$E$2:$E$501,"sim",$C$2:$C$501,"&lt;"&amp;J273,$J$2:$J$501,"&gt;"&amp;C273)-1))</x:f>
        <x:v>0</x:v>
      </x:c>
      <x:c r="L273" s="27" t="n">
        <x:f>IF(A273="","",IF(E273&lt;&gt;"sim",0,COUNTIFS($B$2:$B$501,B273,$A$2:$A$501,A273,$E$2:$E$501,"sim",$C$2:$C$501,"&lt;"&amp;J273,$J$2:$J$501,"&gt;"&amp;C273)-1))</x:f>
        <x:v>0</x:v>
      </x:c>
      <x:c r="M273" s="2" t="str">
        <x:f>IF(A273="","",IF(E273&lt;&gt;"sim","Revisar escala",IF(OR(K273&gt;0,L273&gt;0),"Conflito de escala",IF(COUNTIFS('Solicitacoes'!$F$2:$F$501,B273,'Solicitacoes'!$K$2:$K$501,F273,'Solicitacoes'!$I$2:$I$501,"pendente",'Solicitacoes'!$G$2:$G$501,"&lt;"&amp;J273,'Solicitacoes'!$N$2:$N$501,"&gt;"&amp;C273)+COUNTIFS('Solicitacoes'!$F$2:$F$501,B273,'Solicitacoes'!$E$2:$E$501,A273,'Solicitacoes'!$I$2:$I$501,"pendente",'Solicitacoes'!$G$2:$G$501,"&lt;"&amp;J273,'Solicitacoes'!$N$2:$N$501,"&gt;"&amp;C273)+COUNTIFS('Solicitacoes'!$F$2:$F$501,B273,'Solicitacoes'!$K$2:$K$501,F273,'Solicitacoes'!$I$2:$I$501,"confirmado",'Solicitacoes'!$G$2:$G$501,"&lt;"&amp;J273,'Solicitacoes'!$N$2:$N$501,"&gt;"&amp;C273)+COUNTIFS('Solicitacoes'!$F$2:$F$501,B273,'Solicitacoes'!$E$2:$E$501,A273,'Solicitacoes'!$I$2:$I$501,"confirmado",'Solicitacoes'!$G$2:$G$501,"&lt;"&amp;J273,'Solicitacoes'!$N$2:$N$501,"&gt;"&amp;C273)&gt;0,"Ocupado","Disponível"))))</x:f>
        <x:v>Revisar escala</x:v>
      </x:c>
      <x:c r="N273" s="2" t="n">
        <x:f>IF(A273="","",ROW()-1)</x:f>
        <x:v>272</x:v>
      </x:c>
    </x:row>
    <x:row r="274" ht="24" customHeight="1">
      <x:c r="A274" s="13" t="str">
        <x:v>Aline Reis</x:v>
      </x:c>
      <x:c r="B274" s="14" t="d">
        <x:v>2026-10-21T00:00:00.000Z</x:v>
      </x:c>
      <x:c r="C274" s="26" t="n">
        <x:v>0.5416666666666666</x:v>
      </x:c>
      <x:c r="D274" s="13" t="str">
        <x:v>presencial</x:v>
      </x:c>
      <x:c r="E274" s="13" t="str">
        <x:v>não</x:v>
      </x:c>
      <x:c r="F274" s="13" t="str">
        <x:v>Sala 1</x:v>
      </x:c>
      <x:c r="G274" s="12" t="n">
        <x:f>IF(A274="","",'Agenda'!$B$5)</x:f>
        <x:v>50</x:v>
      </x:c>
      <x:c r="H274" s="12" t="n">
        <x:f>IF(A274="","",'Agenda'!$B$6)</x:f>
        <x:v>10</x:v>
      </x:c>
      <x:c r="I274" s="24" t="n">
        <x:f>IF(A274="","",C274+G274/1440)</x:f>
        <x:v>0.5763888888888888</x:v>
      </x:c>
      <x:c r="J274" s="24" t="n">
        <x:f>IF(A274="","",C274+(G274+H274)/1440)</x:f>
        <x:v>0.5833333333333333</x:v>
      </x:c>
      <x:c r="K274" s="27" t="n">
        <x:f>IF(A274="","",IF(E274&lt;&gt;"sim",0,COUNTIFS($B$2:$B$501,B274,$F$2:$F$501,F274,$E$2:$E$501,"sim",$C$2:$C$501,"&lt;"&amp;J274,$J$2:$J$501,"&gt;"&amp;C274)-1))</x:f>
        <x:v>0</x:v>
      </x:c>
      <x:c r="L274" s="27" t="n">
        <x:f>IF(A274="","",IF(E274&lt;&gt;"sim",0,COUNTIFS($B$2:$B$501,B274,$A$2:$A$501,A274,$E$2:$E$501,"sim",$C$2:$C$501,"&lt;"&amp;J274,$J$2:$J$501,"&gt;"&amp;C274)-1))</x:f>
        <x:v>0</x:v>
      </x:c>
      <x:c r="M274" s="2" t="str">
        <x:f>IF(A274="","",IF(E274&lt;&gt;"sim","Revisar escala",IF(OR(K274&gt;0,L274&gt;0),"Conflito de escala",IF(COUNTIFS('Solicitacoes'!$F$2:$F$501,B274,'Solicitacoes'!$K$2:$K$501,F274,'Solicitacoes'!$I$2:$I$501,"pendente",'Solicitacoes'!$G$2:$G$501,"&lt;"&amp;J274,'Solicitacoes'!$N$2:$N$501,"&gt;"&amp;C274)+COUNTIFS('Solicitacoes'!$F$2:$F$501,B274,'Solicitacoes'!$E$2:$E$501,A274,'Solicitacoes'!$I$2:$I$501,"pendente",'Solicitacoes'!$G$2:$G$501,"&lt;"&amp;J274,'Solicitacoes'!$N$2:$N$501,"&gt;"&amp;C274)+COUNTIFS('Solicitacoes'!$F$2:$F$501,B274,'Solicitacoes'!$K$2:$K$501,F274,'Solicitacoes'!$I$2:$I$501,"confirmado",'Solicitacoes'!$G$2:$G$501,"&lt;"&amp;J274,'Solicitacoes'!$N$2:$N$501,"&gt;"&amp;C274)+COUNTIFS('Solicitacoes'!$F$2:$F$501,B274,'Solicitacoes'!$E$2:$E$501,A274,'Solicitacoes'!$I$2:$I$501,"confirmado",'Solicitacoes'!$G$2:$G$501,"&lt;"&amp;J274,'Solicitacoes'!$N$2:$N$501,"&gt;"&amp;C274)&gt;0,"Ocupado","Disponível"))))</x:f>
        <x:v>Revisar escala</x:v>
      </x:c>
      <x:c r="N274" s="2" t="n">
        <x:f>IF(A274="","",ROW()-1)</x:f>
        <x:v>273</x:v>
      </x:c>
    </x:row>
    <x:row r="275" ht="24" customHeight="1">
      <x:c r="A275" s="13" t="str">
        <x:v>Géssyca Martins</x:v>
      </x:c>
      <x:c r="B275" s="14" t="d">
        <x:v>2026-10-21T00:00:00.000Z</x:v>
      </x:c>
      <x:c r="C275" s="26" t="n">
        <x:v>0.5416666666666666</x:v>
      </x:c>
      <x:c r="D275" s="13" t="str">
        <x:v>presencial</x:v>
      </x:c>
      <x:c r="E275" s="13" t="str">
        <x:v>não</x:v>
      </x:c>
      <x:c r="F275" s="13" t="str">
        <x:v>Sala 2</x:v>
      </x:c>
      <x:c r="G275" s="12" t="n">
        <x:f>IF(A275="","",'Agenda'!$B$5)</x:f>
        <x:v>50</x:v>
      </x:c>
      <x:c r="H275" s="12" t="n">
        <x:f>IF(A275="","",'Agenda'!$B$6)</x:f>
        <x:v>10</x:v>
      </x:c>
      <x:c r="I275" s="24" t="n">
        <x:f>IF(A275="","",C275+G275/1440)</x:f>
        <x:v>0.5763888888888888</x:v>
      </x:c>
      <x:c r="J275" s="24" t="n">
        <x:f>IF(A275="","",C275+(G275+H275)/1440)</x:f>
        <x:v>0.5833333333333333</x:v>
      </x:c>
      <x:c r="K275" s="27" t="n">
        <x:f>IF(A275="","",IF(E275&lt;&gt;"sim",0,COUNTIFS($B$2:$B$501,B275,$F$2:$F$501,F275,$E$2:$E$501,"sim",$C$2:$C$501,"&lt;"&amp;J275,$J$2:$J$501,"&gt;"&amp;C275)-1))</x:f>
        <x:v>0</x:v>
      </x:c>
      <x:c r="L275" s="27" t="n">
        <x:f>IF(A275="","",IF(E275&lt;&gt;"sim",0,COUNTIFS($B$2:$B$501,B275,$A$2:$A$501,A275,$E$2:$E$501,"sim",$C$2:$C$501,"&lt;"&amp;J275,$J$2:$J$501,"&gt;"&amp;C275)-1))</x:f>
        <x:v>0</x:v>
      </x:c>
      <x:c r="M275" s="2" t="str">
        <x:f>IF(A275="","",IF(E275&lt;&gt;"sim","Revisar escala",IF(OR(K275&gt;0,L275&gt;0),"Conflito de escala",IF(COUNTIFS('Solicitacoes'!$F$2:$F$501,B275,'Solicitacoes'!$K$2:$K$501,F275,'Solicitacoes'!$I$2:$I$501,"pendente",'Solicitacoes'!$G$2:$G$501,"&lt;"&amp;J275,'Solicitacoes'!$N$2:$N$501,"&gt;"&amp;C275)+COUNTIFS('Solicitacoes'!$F$2:$F$501,B275,'Solicitacoes'!$E$2:$E$501,A275,'Solicitacoes'!$I$2:$I$501,"pendente",'Solicitacoes'!$G$2:$G$501,"&lt;"&amp;J275,'Solicitacoes'!$N$2:$N$501,"&gt;"&amp;C275)+COUNTIFS('Solicitacoes'!$F$2:$F$501,B275,'Solicitacoes'!$K$2:$K$501,F275,'Solicitacoes'!$I$2:$I$501,"confirmado",'Solicitacoes'!$G$2:$G$501,"&lt;"&amp;J275,'Solicitacoes'!$N$2:$N$501,"&gt;"&amp;C275)+COUNTIFS('Solicitacoes'!$F$2:$F$501,B275,'Solicitacoes'!$E$2:$E$501,A275,'Solicitacoes'!$I$2:$I$501,"confirmado",'Solicitacoes'!$G$2:$G$501,"&lt;"&amp;J275,'Solicitacoes'!$N$2:$N$501,"&gt;"&amp;C275)&gt;0,"Ocupado","Disponível"))))</x:f>
        <x:v>Revisar escala</x:v>
      </x:c>
      <x:c r="N275" s="2" t="n">
        <x:f>IF(A275="","",ROW()-1)</x:f>
        <x:v>274</x:v>
      </x:c>
    </x:row>
    <x:row r="276" ht="24" customHeight="1">
      <x:c r="A276" s="13" t="str">
        <x:v>Laura Casanova</x:v>
      </x:c>
      <x:c r="B276" s="14" t="d">
        <x:v>2026-10-21T00:00:00.000Z</x:v>
      </x:c>
      <x:c r="C276" s="26" t="n">
        <x:v>0.5833333333333334</x:v>
      </x:c>
      <x:c r="D276" s="13" t="str">
        <x:v>presencial</x:v>
      </x:c>
      <x:c r="E276" s="13" t="str">
        <x:v>não</x:v>
      </x:c>
      <x:c r="F276" s="13" t="str">
        <x:v>Sala 1</x:v>
      </x:c>
      <x:c r="G276" s="12" t="n">
        <x:f>IF(A276="","",'Agenda'!$B$5)</x:f>
        <x:v>50</x:v>
      </x:c>
      <x:c r="H276" s="12" t="n">
        <x:f>IF(A276="","",'Agenda'!$B$6)</x:f>
        <x:v>10</x:v>
      </x:c>
      <x:c r="I276" s="24" t="n">
        <x:f>IF(A276="","",C276+G276/1440)</x:f>
        <x:v>0.6180555555555556</x:v>
      </x:c>
      <x:c r="J276" s="24" t="n">
        <x:f>IF(A276="","",C276+(G276+H276)/1440)</x:f>
        <x:v>0.625</x:v>
      </x:c>
      <x:c r="K276" s="27" t="n">
        <x:f>IF(A276="","",IF(E276&lt;&gt;"sim",0,COUNTIFS($B$2:$B$501,B276,$F$2:$F$501,F276,$E$2:$E$501,"sim",$C$2:$C$501,"&lt;"&amp;J276,$J$2:$J$501,"&gt;"&amp;C276)-1))</x:f>
        <x:v>0</x:v>
      </x:c>
      <x:c r="L276" s="27" t="n">
        <x:f>IF(A276="","",IF(E276&lt;&gt;"sim",0,COUNTIFS($B$2:$B$501,B276,$A$2:$A$501,A276,$E$2:$E$501,"sim",$C$2:$C$501,"&lt;"&amp;J276,$J$2:$J$501,"&gt;"&amp;C276)-1))</x:f>
        <x:v>0</x:v>
      </x:c>
      <x:c r="M276" s="2" t="str">
        <x:f>IF(A276="","",IF(E276&lt;&gt;"sim","Revisar escala",IF(OR(K276&gt;0,L276&gt;0),"Conflito de escala",IF(COUNTIFS('Solicitacoes'!$F$2:$F$501,B276,'Solicitacoes'!$K$2:$K$501,F276,'Solicitacoes'!$I$2:$I$501,"pendente",'Solicitacoes'!$G$2:$G$501,"&lt;"&amp;J276,'Solicitacoes'!$N$2:$N$501,"&gt;"&amp;C276)+COUNTIFS('Solicitacoes'!$F$2:$F$501,B276,'Solicitacoes'!$E$2:$E$501,A276,'Solicitacoes'!$I$2:$I$501,"pendente",'Solicitacoes'!$G$2:$G$501,"&lt;"&amp;J276,'Solicitacoes'!$N$2:$N$501,"&gt;"&amp;C276)+COUNTIFS('Solicitacoes'!$F$2:$F$501,B276,'Solicitacoes'!$K$2:$K$501,F276,'Solicitacoes'!$I$2:$I$501,"confirmado",'Solicitacoes'!$G$2:$G$501,"&lt;"&amp;J276,'Solicitacoes'!$N$2:$N$501,"&gt;"&amp;C276)+COUNTIFS('Solicitacoes'!$F$2:$F$501,B276,'Solicitacoes'!$E$2:$E$501,A276,'Solicitacoes'!$I$2:$I$501,"confirmado",'Solicitacoes'!$G$2:$G$501,"&lt;"&amp;J276,'Solicitacoes'!$N$2:$N$501,"&gt;"&amp;C276)&gt;0,"Ocupado","Disponível"))))</x:f>
        <x:v>Revisar escala</x:v>
      </x:c>
      <x:c r="N276" s="2" t="n">
        <x:f>IF(A276="","",ROW()-1)</x:f>
        <x:v>275</x:v>
      </x:c>
    </x:row>
    <x:row r="277" ht="24" customHeight="1">
      <x:c r="A277" s="13" t="str">
        <x:v>Aline Reis</x:v>
      </x:c>
      <x:c r="B277" s="14" t="d">
        <x:v>2026-10-21T00:00:00.000Z</x:v>
      </x:c>
      <x:c r="C277" s="26" t="n">
        <x:v>0.5833333333333334</x:v>
      </x:c>
      <x:c r="D277" s="13" t="str">
        <x:v>presencial</x:v>
      </x:c>
      <x:c r="E277" s="13" t="str">
        <x:v>não</x:v>
      </x:c>
      <x:c r="F277" s="13" t="str">
        <x:v>Sala 2</x:v>
      </x:c>
      <x:c r="G277" s="12" t="n">
        <x:f>IF(A277="","",'Agenda'!$B$5)</x:f>
        <x:v>50</x:v>
      </x:c>
      <x:c r="H277" s="12" t="n">
        <x:f>IF(A277="","",'Agenda'!$B$6)</x:f>
        <x:v>10</x:v>
      </x:c>
      <x:c r="I277" s="24" t="n">
        <x:f>IF(A277="","",C277+G277/1440)</x:f>
        <x:v>0.6180555555555556</x:v>
      </x:c>
      <x:c r="J277" s="24" t="n">
        <x:f>IF(A277="","",C277+(G277+H277)/1440)</x:f>
        <x:v>0.625</x:v>
      </x:c>
      <x:c r="K277" s="27" t="n">
        <x:f>IF(A277="","",IF(E277&lt;&gt;"sim",0,COUNTIFS($B$2:$B$501,B277,$F$2:$F$501,F277,$E$2:$E$501,"sim",$C$2:$C$501,"&lt;"&amp;J277,$J$2:$J$501,"&gt;"&amp;C277)-1))</x:f>
        <x:v>0</x:v>
      </x:c>
      <x:c r="L277" s="27" t="n">
        <x:f>IF(A277="","",IF(E277&lt;&gt;"sim",0,COUNTIFS($B$2:$B$501,B277,$A$2:$A$501,A277,$E$2:$E$501,"sim",$C$2:$C$501,"&lt;"&amp;J277,$J$2:$J$501,"&gt;"&amp;C277)-1))</x:f>
        <x:v>0</x:v>
      </x:c>
      <x:c r="M277" s="2" t="str">
        <x:f>IF(A277="","",IF(E277&lt;&gt;"sim","Revisar escala",IF(OR(K277&gt;0,L277&gt;0),"Conflito de escala",IF(COUNTIFS('Solicitacoes'!$F$2:$F$501,B277,'Solicitacoes'!$K$2:$K$501,F277,'Solicitacoes'!$I$2:$I$501,"pendente",'Solicitacoes'!$G$2:$G$501,"&lt;"&amp;J277,'Solicitacoes'!$N$2:$N$501,"&gt;"&amp;C277)+COUNTIFS('Solicitacoes'!$F$2:$F$501,B277,'Solicitacoes'!$E$2:$E$501,A277,'Solicitacoes'!$I$2:$I$501,"pendente",'Solicitacoes'!$G$2:$G$501,"&lt;"&amp;J277,'Solicitacoes'!$N$2:$N$501,"&gt;"&amp;C277)+COUNTIFS('Solicitacoes'!$F$2:$F$501,B277,'Solicitacoes'!$K$2:$K$501,F277,'Solicitacoes'!$I$2:$I$501,"confirmado",'Solicitacoes'!$G$2:$G$501,"&lt;"&amp;J277,'Solicitacoes'!$N$2:$N$501,"&gt;"&amp;C277)+COUNTIFS('Solicitacoes'!$F$2:$F$501,B277,'Solicitacoes'!$E$2:$E$501,A277,'Solicitacoes'!$I$2:$I$501,"confirmado",'Solicitacoes'!$G$2:$G$501,"&lt;"&amp;J277,'Solicitacoes'!$N$2:$N$501,"&gt;"&amp;C277)&gt;0,"Ocupado","Disponível"))))</x:f>
        <x:v>Revisar escala</x:v>
      </x:c>
      <x:c r="N277" s="2" t="n">
        <x:f>IF(A277="","",ROW()-1)</x:f>
        <x:v>276</x:v>
      </x:c>
    </x:row>
    <x:row r="278" ht="24" customHeight="1">
      <x:c r="A278" s="13" t="str">
        <x:v>Laura Casanova</x:v>
      </x:c>
      <x:c r="B278" s="14" t="d">
        <x:v>2026-10-21T00:00:00.000Z</x:v>
      </x:c>
      <x:c r="C278" s="26" t="n">
        <x:v>0.625</x:v>
      </x:c>
      <x:c r="D278" s="13" t="str">
        <x:v>presencial</x:v>
      </x:c>
      <x:c r="E278" s="13" t="str">
        <x:v>não</x:v>
      </x:c>
      <x:c r="F278" s="13" t="str">
        <x:v>Sala 1</x:v>
      </x:c>
      <x:c r="G278" s="12" t="n">
        <x:f>IF(A278="","",'Agenda'!$B$5)</x:f>
        <x:v>50</x:v>
      </x:c>
      <x:c r="H278" s="12" t="n">
        <x:f>IF(A278="","",'Agenda'!$B$6)</x:f>
        <x:v>10</x:v>
      </x:c>
      <x:c r="I278" s="24" t="n">
        <x:f>IF(A278="","",C278+G278/1440)</x:f>
        <x:v>0.6597222222222222</x:v>
      </x:c>
      <x:c r="J278" s="24" t="n">
        <x:f>IF(A278="","",C278+(G278+H278)/1440)</x:f>
        <x:v>0.6666666666666666</x:v>
      </x:c>
      <x:c r="K278" s="27" t="n">
        <x:f>IF(A278="","",IF(E278&lt;&gt;"sim",0,COUNTIFS($B$2:$B$501,B278,$F$2:$F$501,F278,$E$2:$E$501,"sim",$C$2:$C$501,"&lt;"&amp;J278,$J$2:$J$501,"&gt;"&amp;C278)-1))</x:f>
        <x:v>0</x:v>
      </x:c>
      <x:c r="L278" s="27" t="n">
        <x:f>IF(A278="","",IF(E278&lt;&gt;"sim",0,COUNTIFS($B$2:$B$501,B278,$A$2:$A$501,A278,$E$2:$E$501,"sim",$C$2:$C$501,"&lt;"&amp;J278,$J$2:$J$501,"&gt;"&amp;C278)-1))</x:f>
        <x:v>0</x:v>
      </x:c>
      <x:c r="M278" s="2" t="str">
        <x:f>IF(A278="","",IF(E278&lt;&gt;"sim","Revisar escala",IF(OR(K278&gt;0,L278&gt;0),"Conflito de escala",IF(COUNTIFS('Solicitacoes'!$F$2:$F$501,B278,'Solicitacoes'!$K$2:$K$501,F278,'Solicitacoes'!$I$2:$I$501,"pendente",'Solicitacoes'!$G$2:$G$501,"&lt;"&amp;J278,'Solicitacoes'!$N$2:$N$501,"&gt;"&amp;C278)+COUNTIFS('Solicitacoes'!$F$2:$F$501,B278,'Solicitacoes'!$E$2:$E$501,A278,'Solicitacoes'!$I$2:$I$501,"pendente",'Solicitacoes'!$G$2:$G$501,"&lt;"&amp;J278,'Solicitacoes'!$N$2:$N$501,"&gt;"&amp;C278)+COUNTIFS('Solicitacoes'!$F$2:$F$501,B278,'Solicitacoes'!$K$2:$K$501,F278,'Solicitacoes'!$I$2:$I$501,"confirmado",'Solicitacoes'!$G$2:$G$501,"&lt;"&amp;J278,'Solicitacoes'!$N$2:$N$501,"&gt;"&amp;C278)+COUNTIFS('Solicitacoes'!$F$2:$F$501,B278,'Solicitacoes'!$E$2:$E$501,A278,'Solicitacoes'!$I$2:$I$501,"confirmado",'Solicitacoes'!$G$2:$G$501,"&lt;"&amp;J278,'Solicitacoes'!$N$2:$N$501,"&gt;"&amp;C278)&gt;0,"Ocupado","Disponível"))))</x:f>
        <x:v>Revisar escala</x:v>
      </x:c>
      <x:c r="N278" s="2" t="n">
        <x:f>IF(A278="","",ROW()-1)</x:f>
        <x:v>277</x:v>
      </x:c>
    </x:row>
    <x:row r="279" ht="24" customHeight="1">
      <x:c r="A279" s="13" t="str">
        <x:v>Aline Reis</x:v>
      </x:c>
      <x:c r="B279" s="14" t="d">
        <x:v>2026-10-21T00:00:00.000Z</x:v>
      </x:c>
      <x:c r="C279" s="26" t="n">
        <x:v>0.625</x:v>
      </x:c>
      <x:c r="D279" s="13" t="str">
        <x:v>presencial</x:v>
      </x:c>
      <x:c r="E279" s="13" t="str">
        <x:v>não</x:v>
      </x:c>
      <x:c r="F279" s="13" t="str">
        <x:v>Sala 2</x:v>
      </x:c>
      <x:c r="G279" s="12" t="n">
        <x:f>IF(A279="","",'Agenda'!$B$5)</x:f>
        <x:v>50</x:v>
      </x:c>
      <x:c r="H279" s="12" t="n">
        <x:f>IF(A279="","",'Agenda'!$B$6)</x:f>
        <x:v>10</x:v>
      </x:c>
      <x:c r="I279" s="24" t="n">
        <x:f>IF(A279="","",C279+G279/1440)</x:f>
        <x:v>0.6597222222222222</x:v>
      </x:c>
      <x:c r="J279" s="24" t="n">
        <x:f>IF(A279="","",C279+(G279+H279)/1440)</x:f>
        <x:v>0.6666666666666666</x:v>
      </x:c>
      <x:c r="K279" s="27" t="n">
        <x:f>IF(A279="","",IF(E279&lt;&gt;"sim",0,COUNTIFS($B$2:$B$501,B279,$F$2:$F$501,F279,$E$2:$E$501,"sim",$C$2:$C$501,"&lt;"&amp;J279,$J$2:$J$501,"&gt;"&amp;C279)-1))</x:f>
        <x:v>0</x:v>
      </x:c>
      <x:c r="L279" s="27" t="n">
        <x:f>IF(A279="","",IF(E279&lt;&gt;"sim",0,COUNTIFS($B$2:$B$501,B279,$A$2:$A$501,A279,$E$2:$E$501,"sim",$C$2:$C$501,"&lt;"&amp;J279,$J$2:$J$501,"&gt;"&amp;C279)-1))</x:f>
        <x:v>0</x:v>
      </x:c>
      <x:c r="M279" s="2" t="str">
        <x:f>IF(A279="","",IF(E279&lt;&gt;"sim","Revisar escala",IF(OR(K279&gt;0,L279&gt;0),"Conflito de escala",IF(COUNTIFS('Solicitacoes'!$F$2:$F$501,B279,'Solicitacoes'!$K$2:$K$501,F279,'Solicitacoes'!$I$2:$I$501,"pendente",'Solicitacoes'!$G$2:$G$501,"&lt;"&amp;J279,'Solicitacoes'!$N$2:$N$501,"&gt;"&amp;C279)+COUNTIFS('Solicitacoes'!$F$2:$F$501,B279,'Solicitacoes'!$E$2:$E$501,A279,'Solicitacoes'!$I$2:$I$501,"pendente",'Solicitacoes'!$G$2:$G$501,"&lt;"&amp;J279,'Solicitacoes'!$N$2:$N$501,"&gt;"&amp;C279)+COUNTIFS('Solicitacoes'!$F$2:$F$501,B279,'Solicitacoes'!$K$2:$K$501,F279,'Solicitacoes'!$I$2:$I$501,"confirmado",'Solicitacoes'!$G$2:$G$501,"&lt;"&amp;J279,'Solicitacoes'!$N$2:$N$501,"&gt;"&amp;C279)+COUNTIFS('Solicitacoes'!$F$2:$F$501,B279,'Solicitacoes'!$E$2:$E$501,A279,'Solicitacoes'!$I$2:$I$501,"confirmado",'Solicitacoes'!$G$2:$G$501,"&lt;"&amp;J279,'Solicitacoes'!$N$2:$N$501,"&gt;"&amp;C279)&gt;0,"Ocupado","Disponível"))))</x:f>
        <x:v>Revisar escala</x:v>
      </x:c>
      <x:c r="N279" s="2" t="n">
        <x:f>IF(A279="","",ROW()-1)</x:f>
        <x:v>278</x:v>
      </x:c>
    </x:row>
    <x:row r="280" ht="24" customHeight="1">
      <x:c r="A280" s="13" t="str">
        <x:v>Laura Casanova</x:v>
      </x:c>
      <x:c r="B280" s="14" t="d">
        <x:v>2026-10-21T00:00:00.000Z</x:v>
      </x:c>
      <x:c r="C280" s="26" t="n">
        <x:v>0.6666666666666666</x:v>
      </x:c>
      <x:c r="D280" s="13" t="str">
        <x:v>presencial</x:v>
      </x:c>
      <x:c r="E280" s="13" t="str">
        <x:v>não</x:v>
      </x:c>
      <x:c r="F280" s="13" t="str">
        <x:v>Sala 1</x:v>
      </x:c>
      <x:c r="G280" s="12" t="n">
        <x:f>IF(A280="","",'Agenda'!$B$5)</x:f>
        <x:v>50</x:v>
      </x:c>
      <x:c r="H280" s="12" t="n">
        <x:f>IF(A280="","",'Agenda'!$B$6)</x:f>
        <x:v>10</x:v>
      </x:c>
      <x:c r="I280" s="24" t="n">
        <x:f>IF(A280="","",C280+G280/1440)</x:f>
        <x:v>0.7013888888888888</x:v>
      </x:c>
      <x:c r="J280" s="24" t="n">
        <x:f>IF(A280="","",C280+(G280+H280)/1440)</x:f>
        <x:v>0.7083333333333333</x:v>
      </x:c>
      <x:c r="K280" s="27" t="n">
        <x:f>IF(A280="","",IF(E280&lt;&gt;"sim",0,COUNTIFS($B$2:$B$501,B280,$F$2:$F$501,F280,$E$2:$E$501,"sim",$C$2:$C$501,"&lt;"&amp;J280,$J$2:$J$501,"&gt;"&amp;C280)-1))</x:f>
        <x:v>0</x:v>
      </x:c>
      <x:c r="L280" s="27" t="n">
        <x:f>IF(A280="","",IF(E280&lt;&gt;"sim",0,COUNTIFS($B$2:$B$501,B280,$A$2:$A$501,A280,$E$2:$E$501,"sim",$C$2:$C$501,"&lt;"&amp;J280,$J$2:$J$501,"&gt;"&amp;C280)-1))</x:f>
        <x:v>0</x:v>
      </x:c>
      <x:c r="M280" s="2" t="str">
        <x:f>IF(A280="","",IF(E280&lt;&gt;"sim","Revisar escala",IF(OR(K280&gt;0,L280&gt;0),"Conflito de escala",IF(COUNTIFS('Solicitacoes'!$F$2:$F$501,B280,'Solicitacoes'!$K$2:$K$501,F280,'Solicitacoes'!$I$2:$I$501,"pendente",'Solicitacoes'!$G$2:$G$501,"&lt;"&amp;J280,'Solicitacoes'!$N$2:$N$501,"&gt;"&amp;C280)+COUNTIFS('Solicitacoes'!$F$2:$F$501,B280,'Solicitacoes'!$E$2:$E$501,A280,'Solicitacoes'!$I$2:$I$501,"pendente",'Solicitacoes'!$G$2:$G$501,"&lt;"&amp;J280,'Solicitacoes'!$N$2:$N$501,"&gt;"&amp;C280)+COUNTIFS('Solicitacoes'!$F$2:$F$501,B280,'Solicitacoes'!$K$2:$K$501,F280,'Solicitacoes'!$I$2:$I$501,"confirmado",'Solicitacoes'!$G$2:$G$501,"&lt;"&amp;J280,'Solicitacoes'!$N$2:$N$501,"&gt;"&amp;C280)+COUNTIFS('Solicitacoes'!$F$2:$F$501,B280,'Solicitacoes'!$E$2:$E$501,A280,'Solicitacoes'!$I$2:$I$501,"confirmado",'Solicitacoes'!$G$2:$G$501,"&lt;"&amp;J280,'Solicitacoes'!$N$2:$N$501,"&gt;"&amp;C280)&gt;0,"Ocupado","Disponível"))))</x:f>
        <x:v>Revisar escala</x:v>
      </x:c>
      <x:c r="N280" s="2" t="n">
        <x:f>IF(A280="","",ROW()-1)</x:f>
        <x:v>279</x:v>
      </x:c>
    </x:row>
    <x:row r="281" ht="24" customHeight="1">
      <x:c r="A281" s="13" t="str">
        <x:v>Aline Reis</x:v>
      </x:c>
      <x:c r="B281" s="14" t="d">
        <x:v>2026-10-21T00:00:00.000Z</x:v>
      </x:c>
      <x:c r="C281" s="26" t="n">
        <x:v>0.6666666666666666</x:v>
      </x:c>
      <x:c r="D281" s="13" t="str">
        <x:v>presencial</x:v>
      </x:c>
      <x:c r="E281" s="13" t="str">
        <x:v>não</x:v>
      </x:c>
      <x:c r="F281" s="13" t="str">
        <x:v>Sala 2</x:v>
      </x:c>
      <x:c r="G281" s="12" t="n">
        <x:f>IF(A281="","",'Agenda'!$B$5)</x:f>
        <x:v>50</x:v>
      </x:c>
      <x:c r="H281" s="12" t="n">
        <x:f>IF(A281="","",'Agenda'!$B$6)</x:f>
        <x:v>10</x:v>
      </x:c>
      <x:c r="I281" s="24" t="n">
        <x:f>IF(A281="","",C281+G281/1440)</x:f>
        <x:v>0.7013888888888888</x:v>
      </x:c>
      <x:c r="J281" s="24" t="n">
        <x:f>IF(A281="","",C281+(G281+H281)/1440)</x:f>
        <x:v>0.7083333333333333</x:v>
      </x:c>
      <x:c r="K281" s="27" t="n">
        <x:f>IF(A281="","",IF(E281&lt;&gt;"sim",0,COUNTIFS($B$2:$B$501,B281,$F$2:$F$501,F281,$E$2:$E$501,"sim",$C$2:$C$501,"&lt;"&amp;J281,$J$2:$J$501,"&gt;"&amp;C281)-1))</x:f>
        <x:v>0</x:v>
      </x:c>
      <x:c r="L281" s="27" t="n">
        <x:f>IF(A281="","",IF(E281&lt;&gt;"sim",0,COUNTIFS($B$2:$B$501,B281,$A$2:$A$501,A281,$E$2:$E$501,"sim",$C$2:$C$501,"&lt;"&amp;J281,$J$2:$J$501,"&gt;"&amp;C281)-1))</x:f>
        <x:v>0</x:v>
      </x:c>
      <x:c r="M281" s="2" t="str">
        <x:f>IF(A281="","",IF(E281&lt;&gt;"sim","Revisar escala",IF(OR(K281&gt;0,L281&gt;0),"Conflito de escala",IF(COUNTIFS('Solicitacoes'!$F$2:$F$501,B281,'Solicitacoes'!$K$2:$K$501,F281,'Solicitacoes'!$I$2:$I$501,"pendente",'Solicitacoes'!$G$2:$G$501,"&lt;"&amp;J281,'Solicitacoes'!$N$2:$N$501,"&gt;"&amp;C281)+COUNTIFS('Solicitacoes'!$F$2:$F$501,B281,'Solicitacoes'!$E$2:$E$501,A281,'Solicitacoes'!$I$2:$I$501,"pendente",'Solicitacoes'!$G$2:$G$501,"&lt;"&amp;J281,'Solicitacoes'!$N$2:$N$501,"&gt;"&amp;C281)+COUNTIFS('Solicitacoes'!$F$2:$F$501,B281,'Solicitacoes'!$K$2:$K$501,F281,'Solicitacoes'!$I$2:$I$501,"confirmado",'Solicitacoes'!$G$2:$G$501,"&lt;"&amp;J281,'Solicitacoes'!$N$2:$N$501,"&gt;"&amp;C281)+COUNTIFS('Solicitacoes'!$F$2:$F$501,B281,'Solicitacoes'!$E$2:$E$501,A281,'Solicitacoes'!$I$2:$I$501,"confirmado",'Solicitacoes'!$G$2:$G$501,"&lt;"&amp;J281,'Solicitacoes'!$N$2:$N$501,"&gt;"&amp;C281)&gt;0,"Ocupado","Disponível"))))</x:f>
        <x:v>Revisar escala</x:v>
      </x:c>
      <x:c r="N281" s="2" t="n">
        <x:f>IF(A281="","",ROW()-1)</x:f>
        <x:v>280</x:v>
      </x:c>
    </x:row>
    <x:row r="282" ht="24" customHeight="1">
      <x:c r="A282" s="13" t="str">
        <x:v>Laura Casanova</x:v>
      </x:c>
      <x:c r="B282" s="14" t="d">
        <x:v>2026-10-21T00:00:00.000Z</x:v>
      </x:c>
      <x:c r="C282" s="26" t="n">
        <x:v>0.7083333333333334</x:v>
      </x:c>
      <x:c r="D282" s="13" t="str">
        <x:v>presencial</x:v>
      </x:c>
      <x:c r="E282" s="13" t="str">
        <x:v>não</x:v>
      </x:c>
      <x:c r="F282" s="13" t="str">
        <x:v>Sala 1</x:v>
      </x:c>
      <x:c r="G282" s="12" t="n">
        <x:f>IF(A282="","",'Agenda'!$B$5)</x:f>
        <x:v>50</x:v>
      </x:c>
      <x:c r="H282" s="12" t="n">
        <x:f>IF(A282="","",'Agenda'!$B$6)</x:f>
        <x:v>10</x:v>
      </x:c>
      <x:c r="I282" s="24" t="n">
        <x:f>IF(A282="","",C282+G282/1440)</x:f>
        <x:v>0.7430555555555556</x:v>
      </x:c>
      <x:c r="J282" s="24" t="n">
        <x:f>IF(A282="","",C282+(G282+H282)/1440)</x:f>
        <x:v>0.75</x:v>
      </x:c>
      <x:c r="K282" s="27" t="n">
        <x:f>IF(A282="","",IF(E282&lt;&gt;"sim",0,COUNTIFS($B$2:$B$501,B282,$F$2:$F$501,F282,$E$2:$E$501,"sim",$C$2:$C$501,"&lt;"&amp;J282,$J$2:$J$501,"&gt;"&amp;C282)-1))</x:f>
        <x:v>0</x:v>
      </x:c>
      <x:c r="L282" s="27" t="n">
        <x:f>IF(A282="","",IF(E282&lt;&gt;"sim",0,COUNTIFS($B$2:$B$501,B282,$A$2:$A$501,A282,$E$2:$E$501,"sim",$C$2:$C$501,"&lt;"&amp;J282,$J$2:$J$501,"&gt;"&amp;C282)-1))</x:f>
        <x:v>0</x:v>
      </x:c>
      <x:c r="M282" s="2" t="str">
        <x:f>IF(A282="","",IF(E282&lt;&gt;"sim","Revisar escala",IF(OR(K282&gt;0,L282&gt;0),"Conflito de escala",IF(COUNTIFS('Solicitacoes'!$F$2:$F$501,B282,'Solicitacoes'!$K$2:$K$501,F282,'Solicitacoes'!$I$2:$I$501,"pendente",'Solicitacoes'!$G$2:$G$501,"&lt;"&amp;J282,'Solicitacoes'!$N$2:$N$501,"&gt;"&amp;C282)+COUNTIFS('Solicitacoes'!$F$2:$F$501,B282,'Solicitacoes'!$E$2:$E$501,A282,'Solicitacoes'!$I$2:$I$501,"pendente",'Solicitacoes'!$G$2:$G$501,"&lt;"&amp;J282,'Solicitacoes'!$N$2:$N$501,"&gt;"&amp;C282)+COUNTIFS('Solicitacoes'!$F$2:$F$501,B282,'Solicitacoes'!$K$2:$K$501,F282,'Solicitacoes'!$I$2:$I$501,"confirmado",'Solicitacoes'!$G$2:$G$501,"&lt;"&amp;J282,'Solicitacoes'!$N$2:$N$501,"&gt;"&amp;C282)+COUNTIFS('Solicitacoes'!$F$2:$F$501,B282,'Solicitacoes'!$E$2:$E$501,A282,'Solicitacoes'!$I$2:$I$501,"confirmado",'Solicitacoes'!$G$2:$G$501,"&lt;"&amp;J282,'Solicitacoes'!$N$2:$N$501,"&gt;"&amp;C282)&gt;0,"Ocupado","Disponível"))))</x:f>
        <x:v>Revisar escala</x:v>
      </x:c>
      <x:c r="N282" s="2" t="n">
        <x:f>IF(A282="","",ROW()-1)</x:f>
        <x:v>281</x:v>
      </x:c>
    </x:row>
    <x:row r="283" ht="24" customHeight="1">
      <x:c r="A283" s="13" t="str">
        <x:v>Aline Reis</x:v>
      </x:c>
      <x:c r="B283" s="14" t="d">
        <x:v>2026-10-21T00:00:00.000Z</x:v>
      </x:c>
      <x:c r="C283" s="26" t="n">
        <x:v>0.7083333333333334</x:v>
      </x:c>
      <x:c r="D283" s="13" t="str">
        <x:v>presencial</x:v>
      </x:c>
      <x:c r="E283" s="13" t="str">
        <x:v>não</x:v>
      </x:c>
      <x:c r="F283" s="13" t="str">
        <x:v>Sala 2</x:v>
      </x:c>
      <x:c r="G283" s="12" t="n">
        <x:f>IF(A283="","",'Agenda'!$B$5)</x:f>
        <x:v>50</x:v>
      </x:c>
      <x:c r="H283" s="12" t="n">
        <x:f>IF(A283="","",'Agenda'!$B$6)</x:f>
        <x:v>10</x:v>
      </x:c>
      <x:c r="I283" s="24" t="n">
        <x:f>IF(A283="","",C283+G283/1440)</x:f>
        <x:v>0.7430555555555556</x:v>
      </x:c>
      <x:c r="J283" s="24" t="n">
        <x:f>IF(A283="","",C283+(G283+H283)/1440)</x:f>
        <x:v>0.75</x:v>
      </x:c>
      <x:c r="K283" s="27" t="n">
        <x:f>IF(A283="","",IF(E283&lt;&gt;"sim",0,COUNTIFS($B$2:$B$501,B283,$F$2:$F$501,F283,$E$2:$E$501,"sim",$C$2:$C$501,"&lt;"&amp;J283,$J$2:$J$501,"&gt;"&amp;C283)-1))</x:f>
        <x:v>0</x:v>
      </x:c>
      <x:c r="L283" s="27" t="n">
        <x:f>IF(A283="","",IF(E283&lt;&gt;"sim",0,COUNTIFS($B$2:$B$501,B283,$A$2:$A$501,A283,$E$2:$E$501,"sim",$C$2:$C$501,"&lt;"&amp;J283,$J$2:$J$501,"&gt;"&amp;C283)-1))</x:f>
        <x:v>0</x:v>
      </x:c>
      <x:c r="M283" s="2" t="str">
        <x:f>IF(A283="","",IF(E283&lt;&gt;"sim","Revisar escala",IF(OR(K283&gt;0,L283&gt;0),"Conflito de escala",IF(COUNTIFS('Solicitacoes'!$F$2:$F$501,B283,'Solicitacoes'!$K$2:$K$501,F283,'Solicitacoes'!$I$2:$I$501,"pendente",'Solicitacoes'!$G$2:$G$501,"&lt;"&amp;J283,'Solicitacoes'!$N$2:$N$501,"&gt;"&amp;C283)+COUNTIFS('Solicitacoes'!$F$2:$F$501,B283,'Solicitacoes'!$E$2:$E$501,A283,'Solicitacoes'!$I$2:$I$501,"pendente",'Solicitacoes'!$G$2:$G$501,"&lt;"&amp;J283,'Solicitacoes'!$N$2:$N$501,"&gt;"&amp;C283)+COUNTIFS('Solicitacoes'!$F$2:$F$501,B283,'Solicitacoes'!$K$2:$K$501,F283,'Solicitacoes'!$I$2:$I$501,"confirmado",'Solicitacoes'!$G$2:$G$501,"&lt;"&amp;J283,'Solicitacoes'!$N$2:$N$501,"&gt;"&amp;C283)+COUNTIFS('Solicitacoes'!$F$2:$F$501,B283,'Solicitacoes'!$E$2:$E$501,A283,'Solicitacoes'!$I$2:$I$501,"confirmado",'Solicitacoes'!$G$2:$G$501,"&lt;"&amp;J283,'Solicitacoes'!$N$2:$N$501,"&gt;"&amp;C283)&gt;0,"Ocupado","Disponível"))))</x:f>
        <x:v>Revisar escala</x:v>
      </x:c>
      <x:c r="N283" s="2" t="n">
        <x:f>IF(A283="","",ROW()-1)</x:f>
        <x:v>282</x:v>
      </x:c>
    </x:row>
    <x:row r="284" ht="24" customHeight="1">
      <x:c r="A284" s="13" t="str">
        <x:v>Laura Casanova</x:v>
      </x:c>
      <x:c r="B284" s="14" t="d">
        <x:v>2026-10-21T00:00:00.000Z</x:v>
      </x:c>
      <x:c r="C284" s="26" t="n">
        <x:v>0.75</x:v>
      </x:c>
      <x:c r="D284" s="13" t="str">
        <x:v>presencial</x:v>
      </x:c>
      <x:c r="E284" s="13" t="str">
        <x:v>não</x:v>
      </x:c>
      <x:c r="F284" s="13" t="str">
        <x:v>Sala 1</x:v>
      </x:c>
      <x:c r="G284" s="12" t="n">
        <x:f>IF(A284="","",'Agenda'!$B$5)</x:f>
        <x:v>50</x:v>
      </x:c>
      <x:c r="H284" s="12" t="n">
        <x:f>IF(A284="","",'Agenda'!$B$6)</x:f>
        <x:v>10</x:v>
      </x:c>
      <x:c r="I284" s="24" t="n">
        <x:f>IF(A284="","",C284+G284/1440)</x:f>
        <x:v>0.7847222222222222</x:v>
      </x:c>
      <x:c r="J284" s="24" t="n">
        <x:f>IF(A284="","",C284+(G284+H284)/1440)</x:f>
        <x:v>0.7916666666666666</x:v>
      </x:c>
      <x:c r="K284" s="27" t="n">
        <x:f>IF(A284="","",IF(E284&lt;&gt;"sim",0,COUNTIFS($B$2:$B$501,B284,$F$2:$F$501,F284,$E$2:$E$501,"sim",$C$2:$C$501,"&lt;"&amp;J284,$J$2:$J$501,"&gt;"&amp;C284)-1))</x:f>
        <x:v>0</x:v>
      </x:c>
      <x:c r="L284" s="27" t="n">
        <x:f>IF(A284="","",IF(E284&lt;&gt;"sim",0,COUNTIFS($B$2:$B$501,B284,$A$2:$A$501,A284,$E$2:$E$501,"sim",$C$2:$C$501,"&lt;"&amp;J284,$J$2:$J$501,"&gt;"&amp;C284)-1))</x:f>
        <x:v>0</x:v>
      </x:c>
      <x:c r="M284" s="2" t="str">
        <x:f>IF(A284="","",IF(E284&lt;&gt;"sim","Revisar escala",IF(OR(K284&gt;0,L284&gt;0),"Conflito de escala",IF(COUNTIFS('Solicitacoes'!$F$2:$F$501,B284,'Solicitacoes'!$K$2:$K$501,F284,'Solicitacoes'!$I$2:$I$501,"pendente",'Solicitacoes'!$G$2:$G$501,"&lt;"&amp;J284,'Solicitacoes'!$N$2:$N$501,"&gt;"&amp;C284)+COUNTIFS('Solicitacoes'!$F$2:$F$501,B284,'Solicitacoes'!$E$2:$E$501,A284,'Solicitacoes'!$I$2:$I$501,"pendente",'Solicitacoes'!$G$2:$G$501,"&lt;"&amp;J284,'Solicitacoes'!$N$2:$N$501,"&gt;"&amp;C284)+COUNTIFS('Solicitacoes'!$F$2:$F$501,B284,'Solicitacoes'!$K$2:$K$501,F284,'Solicitacoes'!$I$2:$I$501,"confirmado",'Solicitacoes'!$G$2:$G$501,"&lt;"&amp;J284,'Solicitacoes'!$N$2:$N$501,"&gt;"&amp;C284)+COUNTIFS('Solicitacoes'!$F$2:$F$501,B284,'Solicitacoes'!$E$2:$E$501,A284,'Solicitacoes'!$I$2:$I$501,"confirmado",'Solicitacoes'!$G$2:$G$501,"&lt;"&amp;J284,'Solicitacoes'!$N$2:$N$501,"&gt;"&amp;C284)&gt;0,"Ocupado","Disponível"))))</x:f>
        <x:v>Revisar escala</x:v>
      </x:c>
      <x:c r="N284" s="2" t="n">
        <x:f>IF(A284="","",ROW()-1)</x:f>
        <x:v>283</x:v>
      </x:c>
    </x:row>
    <x:row r="285" ht="24" customHeight="1">
      <x:c r="A285" s="13" t="str">
        <x:v>Aline Reis</x:v>
      </x:c>
      <x:c r="B285" s="14" t="d">
        <x:v>2026-10-21T00:00:00.000Z</x:v>
      </x:c>
      <x:c r="C285" s="26" t="n">
        <x:v>0.75</x:v>
      </x:c>
      <x:c r="D285" s="13" t="str">
        <x:v>presencial</x:v>
      </x:c>
      <x:c r="E285" s="13" t="str">
        <x:v>não</x:v>
      </x:c>
      <x:c r="F285" s="13" t="str">
        <x:v>Sala 2</x:v>
      </x:c>
      <x:c r="G285" s="12" t="n">
        <x:f>IF(A285="","",'Agenda'!$B$5)</x:f>
        <x:v>50</x:v>
      </x:c>
      <x:c r="H285" s="12" t="n">
        <x:f>IF(A285="","",'Agenda'!$B$6)</x:f>
        <x:v>10</x:v>
      </x:c>
      <x:c r="I285" s="24" t="n">
        <x:f>IF(A285="","",C285+G285/1440)</x:f>
        <x:v>0.7847222222222222</x:v>
      </x:c>
      <x:c r="J285" s="24" t="n">
        <x:f>IF(A285="","",C285+(G285+H285)/1440)</x:f>
        <x:v>0.7916666666666666</x:v>
      </x:c>
      <x:c r="K285" s="27" t="n">
        <x:f>IF(A285="","",IF(E285&lt;&gt;"sim",0,COUNTIFS($B$2:$B$501,B285,$F$2:$F$501,F285,$E$2:$E$501,"sim",$C$2:$C$501,"&lt;"&amp;J285,$J$2:$J$501,"&gt;"&amp;C285)-1))</x:f>
        <x:v>0</x:v>
      </x:c>
      <x:c r="L285" s="27" t="n">
        <x:f>IF(A285="","",IF(E285&lt;&gt;"sim",0,COUNTIFS($B$2:$B$501,B285,$A$2:$A$501,A285,$E$2:$E$501,"sim",$C$2:$C$501,"&lt;"&amp;J285,$J$2:$J$501,"&gt;"&amp;C285)-1))</x:f>
        <x:v>0</x:v>
      </x:c>
      <x:c r="M285" s="2" t="str">
        <x:f>IF(A285="","",IF(E285&lt;&gt;"sim","Revisar escala",IF(OR(K285&gt;0,L285&gt;0),"Conflito de escala",IF(COUNTIFS('Solicitacoes'!$F$2:$F$501,B285,'Solicitacoes'!$K$2:$K$501,F285,'Solicitacoes'!$I$2:$I$501,"pendente",'Solicitacoes'!$G$2:$G$501,"&lt;"&amp;J285,'Solicitacoes'!$N$2:$N$501,"&gt;"&amp;C285)+COUNTIFS('Solicitacoes'!$F$2:$F$501,B285,'Solicitacoes'!$E$2:$E$501,A285,'Solicitacoes'!$I$2:$I$501,"pendente",'Solicitacoes'!$G$2:$G$501,"&lt;"&amp;J285,'Solicitacoes'!$N$2:$N$501,"&gt;"&amp;C285)+COUNTIFS('Solicitacoes'!$F$2:$F$501,B285,'Solicitacoes'!$K$2:$K$501,F285,'Solicitacoes'!$I$2:$I$501,"confirmado",'Solicitacoes'!$G$2:$G$501,"&lt;"&amp;J285,'Solicitacoes'!$N$2:$N$501,"&gt;"&amp;C285)+COUNTIFS('Solicitacoes'!$F$2:$F$501,B285,'Solicitacoes'!$E$2:$E$501,A285,'Solicitacoes'!$I$2:$I$501,"confirmado",'Solicitacoes'!$G$2:$G$501,"&lt;"&amp;J285,'Solicitacoes'!$N$2:$N$501,"&gt;"&amp;C285)&gt;0,"Ocupado","Disponível"))))</x:f>
        <x:v>Revisar escala</x:v>
      </x:c>
      <x:c r="N285" s="2" t="n">
        <x:f>IF(A285="","",ROW()-1)</x:f>
        <x:v>284</x:v>
      </x:c>
    </x:row>
    <x:row r="286" ht="24" customHeight="1">
      <x:c r="A286" s="13" t="str">
        <x:v>Laura Casanova</x:v>
      </x:c>
      <x:c r="B286" s="14" t="d">
        <x:v>2026-10-21T00:00:00.000Z</x:v>
      </x:c>
      <x:c r="C286" s="26" t="n">
        <x:v>0.7916666666666666</x:v>
      </x:c>
      <x:c r="D286" s="13" t="str">
        <x:v>presencial</x:v>
      </x:c>
      <x:c r="E286" s="13" t="str">
        <x:v>não</x:v>
      </x:c>
      <x:c r="F286" s="13" t="str">
        <x:v>Sala 1</x:v>
      </x:c>
      <x:c r="G286" s="12" t="n">
        <x:f>IF(A286="","",'Agenda'!$B$5)</x:f>
        <x:v>50</x:v>
      </x:c>
      <x:c r="H286" s="12" t="n">
        <x:f>IF(A286="","",'Agenda'!$B$6)</x:f>
        <x:v>10</x:v>
      </x:c>
      <x:c r="I286" s="24" t="n">
        <x:f>IF(A286="","",C286+G286/1440)</x:f>
        <x:v>0.8263888888888888</x:v>
      </x:c>
      <x:c r="J286" s="24" t="n">
        <x:f>IF(A286="","",C286+(G286+H286)/1440)</x:f>
        <x:v>0.8333333333333333</x:v>
      </x:c>
      <x:c r="K286" s="27" t="n">
        <x:f>IF(A286="","",IF(E286&lt;&gt;"sim",0,COUNTIFS($B$2:$B$501,B286,$F$2:$F$501,F286,$E$2:$E$501,"sim",$C$2:$C$501,"&lt;"&amp;J286,$J$2:$J$501,"&gt;"&amp;C286)-1))</x:f>
        <x:v>0</x:v>
      </x:c>
      <x:c r="L286" s="27" t="n">
        <x:f>IF(A286="","",IF(E286&lt;&gt;"sim",0,COUNTIFS($B$2:$B$501,B286,$A$2:$A$501,A286,$E$2:$E$501,"sim",$C$2:$C$501,"&lt;"&amp;J286,$J$2:$J$501,"&gt;"&amp;C286)-1))</x:f>
        <x:v>0</x:v>
      </x:c>
      <x:c r="M286" s="2" t="str">
        <x:f>IF(A286="","",IF(E286&lt;&gt;"sim","Revisar escala",IF(OR(K286&gt;0,L286&gt;0),"Conflito de escala",IF(COUNTIFS('Solicitacoes'!$F$2:$F$501,B286,'Solicitacoes'!$K$2:$K$501,F286,'Solicitacoes'!$I$2:$I$501,"pendente",'Solicitacoes'!$G$2:$G$501,"&lt;"&amp;J286,'Solicitacoes'!$N$2:$N$501,"&gt;"&amp;C286)+COUNTIFS('Solicitacoes'!$F$2:$F$501,B286,'Solicitacoes'!$E$2:$E$501,A286,'Solicitacoes'!$I$2:$I$501,"pendente",'Solicitacoes'!$G$2:$G$501,"&lt;"&amp;J286,'Solicitacoes'!$N$2:$N$501,"&gt;"&amp;C286)+COUNTIFS('Solicitacoes'!$F$2:$F$501,B286,'Solicitacoes'!$K$2:$K$501,F286,'Solicitacoes'!$I$2:$I$501,"confirmado",'Solicitacoes'!$G$2:$G$501,"&lt;"&amp;J286,'Solicitacoes'!$N$2:$N$501,"&gt;"&amp;C286)+COUNTIFS('Solicitacoes'!$F$2:$F$501,B286,'Solicitacoes'!$E$2:$E$501,A286,'Solicitacoes'!$I$2:$I$501,"confirmado",'Solicitacoes'!$G$2:$G$501,"&lt;"&amp;J286,'Solicitacoes'!$N$2:$N$501,"&gt;"&amp;C286)&gt;0,"Ocupado","Disponível"))))</x:f>
        <x:v>Revisar escala</x:v>
      </x:c>
      <x:c r="N286" s="2" t="n">
        <x:f>IF(A286="","",ROW()-1)</x:f>
        <x:v>285</x:v>
      </x:c>
    </x:row>
    <x:row r="287" ht="24" customHeight="1">
      <x:c r="A287" s="13" t="str">
        <x:v>Aline Reis</x:v>
      </x:c>
      <x:c r="B287" s="14" t="d">
        <x:v>2026-10-21T00:00:00.000Z</x:v>
      </x:c>
      <x:c r="C287" s="26" t="n">
        <x:v>0.7916666666666666</x:v>
      </x:c>
      <x:c r="D287" s="13" t="str">
        <x:v>presencial</x:v>
      </x:c>
      <x:c r="E287" s="13" t="str">
        <x:v>não</x:v>
      </x:c>
      <x:c r="F287" s="13" t="str">
        <x:v>Sala 2</x:v>
      </x:c>
      <x:c r="G287" s="12" t="n">
        <x:f>IF(A287="","",'Agenda'!$B$5)</x:f>
        <x:v>50</x:v>
      </x:c>
      <x:c r="H287" s="12" t="n">
        <x:f>IF(A287="","",'Agenda'!$B$6)</x:f>
        <x:v>10</x:v>
      </x:c>
      <x:c r="I287" s="24" t="n">
        <x:f>IF(A287="","",C287+G287/1440)</x:f>
        <x:v>0.8263888888888888</x:v>
      </x:c>
      <x:c r="J287" s="24" t="n">
        <x:f>IF(A287="","",C287+(G287+H287)/1440)</x:f>
        <x:v>0.8333333333333333</x:v>
      </x:c>
      <x:c r="K287" s="27" t="n">
        <x:f>IF(A287="","",IF(E287&lt;&gt;"sim",0,COUNTIFS($B$2:$B$501,B287,$F$2:$F$501,F287,$E$2:$E$501,"sim",$C$2:$C$501,"&lt;"&amp;J287,$J$2:$J$501,"&gt;"&amp;C287)-1))</x:f>
        <x:v>0</x:v>
      </x:c>
      <x:c r="L287" s="27" t="n">
        <x:f>IF(A287="","",IF(E287&lt;&gt;"sim",0,COUNTIFS($B$2:$B$501,B287,$A$2:$A$501,A287,$E$2:$E$501,"sim",$C$2:$C$501,"&lt;"&amp;J287,$J$2:$J$501,"&gt;"&amp;C287)-1))</x:f>
        <x:v>0</x:v>
      </x:c>
      <x:c r="M287" s="2" t="str">
        <x:f>IF(A287="","",IF(E287&lt;&gt;"sim","Revisar escala",IF(OR(K287&gt;0,L287&gt;0),"Conflito de escala",IF(COUNTIFS('Solicitacoes'!$F$2:$F$501,B287,'Solicitacoes'!$K$2:$K$501,F287,'Solicitacoes'!$I$2:$I$501,"pendente",'Solicitacoes'!$G$2:$G$501,"&lt;"&amp;J287,'Solicitacoes'!$N$2:$N$501,"&gt;"&amp;C287)+COUNTIFS('Solicitacoes'!$F$2:$F$501,B287,'Solicitacoes'!$E$2:$E$501,A287,'Solicitacoes'!$I$2:$I$501,"pendente",'Solicitacoes'!$G$2:$G$501,"&lt;"&amp;J287,'Solicitacoes'!$N$2:$N$501,"&gt;"&amp;C287)+COUNTIFS('Solicitacoes'!$F$2:$F$501,B287,'Solicitacoes'!$K$2:$K$501,F287,'Solicitacoes'!$I$2:$I$501,"confirmado",'Solicitacoes'!$G$2:$G$501,"&lt;"&amp;J287,'Solicitacoes'!$N$2:$N$501,"&gt;"&amp;C287)+COUNTIFS('Solicitacoes'!$F$2:$F$501,B287,'Solicitacoes'!$E$2:$E$501,A287,'Solicitacoes'!$I$2:$I$501,"confirmado",'Solicitacoes'!$G$2:$G$501,"&lt;"&amp;J287,'Solicitacoes'!$N$2:$N$501,"&gt;"&amp;C287)&gt;0,"Ocupado","Disponível"))))</x:f>
        <x:v>Revisar escala</x:v>
      </x:c>
      <x:c r="N287" s="2" t="n">
        <x:f>IF(A287="","",ROW()-1)</x:f>
        <x:v>286</x:v>
      </x:c>
    </x:row>
    <x:row r="288" ht="24" customHeight="1">
      <x:c r="A288" s="13" t="str">
        <x:v>Géssyca Martins</x:v>
      </x:c>
      <x:c r="B288" s="14" t="d">
        <x:v>2026-10-22T00:00:00.000Z</x:v>
      </x:c>
      <x:c r="C288" s="26" t="n">
        <x:v>0.375</x:v>
      </x:c>
      <x:c r="D288" s="13" t="str">
        <x:v>presencial</x:v>
      </x:c>
      <x:c r="E288" s="13" t="str">
        <x:v>não</x:v>
      </x:c>
      <x:c r="F288" s="13" t="str">
        <x:v>Sala 1</x:v>
      </x:c>
      <x:c r="G288" s="12" t="n">
        <x:f>IF(A288="","",'Agenda'!$B$5)</x:f>
        <x:v>50</x:v>
      </x:c>
      <x:c r="H288" s="12" t="n">
        <x:f>IF(A288="","",'Agenda'!$B$6)</x:f>
        <x:v>10</x:v>
      </x:c>
      <x:c r="I288" s="24" t="n">
        <x:f>IF(A288="","",C288+G288/1440)</x:f>
        <x:v>0.4097222222222222</x:v>
      </x:c>
      <x:c r="J288" s="24" t="n">
        <x:f>IF(A288="","",C288+(G288+H288)/1440)</x:f>
        <x:v>0.4166666666666667</x:v>
      </x:c>
      <x:c r="K288" s="27" t="n">
        <x:f>IF(A288="","",IF(E288&lt;&gt;"sim",0,COUNTIFS($B$2:$B$501,B288,$F$2:$F$501,F288,$E$2:$E$501,"sim",$C$2:$C$501,"&lt;"&amp;J288,$J$2:$J$501,"&gt;"&amp;C288)-1))</x:f>
        <x:v>0</x:v>
      </x:c>
      <x:c r="L288" s="27" t="n">
        <x:f>IF(A288="","",IF(E288&lt;&gt;"sim",0,COUNTIFS($B$2:$B$501,B288,$A$2:$A$501,A288,$E$2:$E$501,"sim",$C$2:$C$501,"&lt;"&amp;J288,$J$2:$J$501,"&gt;"&amp;C288)-1))</x:f>
        <x:v>0</x:v>
      </x:c>
      <x:c r="M288" s="2" t="str">
        <x:f>IF(A288="","",IF(E288&lt;&gt;"sim","Revisar escala",IF(OR(K288&gt;0,L288&gt;0),"Conflito de escala",IF(COUNTIFS('Solicitacoes'!$F$2:$F$501,B288,'Solicitacoes'!$K$2:$K$501,F288,'Solicitacoes'!$I$2:$I$501,"pendente",'Solicitacoes'!$G$2:$G$501,"&lt;"&amp;J288,'Solicitacoes'!$N$2:$N$501,"&gt;"&amp;C288)+COUNTIFS('Solicitacoes'!$F$2:$F$501,B288,'Solicitacoes'!$E$2:$E$501,A288,'Solicitacoes'!$I$2:$I$501,"pendente",'Solicitacoes'!$G$2:$G$501,"&lt;"&amp;J288,'Solicitacoes'!$N$2:$N$501,"&gt;"&amp;C288)+COUNTIFS('Solicitacoes'!$F$2:$F$501,B288,'Solicitacoes'!$K$2:$K$501,F288,'Solicitacoes'!$I$2:$I$501,"confirmado",'Solicitacoes'!$G$2:$G$501,"&lt;"&amp;J288,'Solicitacoes'!$N$2:$N$501,"&gt;"&amp;C288)+COUNTIFS('Solicitacoes'!$F$2:$F$501,B288,'Solicitacoes'!$E$2:$E$501,A288,'Solicitacoes'!$I$2:$I$501,"confirmado",'Solicitacoes'!$G$2:$G$501,"&lt;"&amp;J288,'Solicitacoes'!$N$2:$N$501,"&gt;"&amp;C288)&gt;0,"Ocupado","Disponível"))))</x:f>
        <x:v>Revisar escala</x:v>
      </x:c>
      <x:c r="N288" s="2" t="n">
        <x:f>IF(A288="","",ROW()-1)</x:f>
        <x:v>287</x:v>
      </x:c>
    </x:row>
    <x:row r="289" ht="24" customHeight="1">
      <x:c r="A289" s="13" t="str">
        <x:v>Laura Casanova</x:v>
      </x:c>
      <x:c r="B289" s="14" t="d">
        <x:v>2026-10-22T00:00:00.000Z</x:v>
      </x:c>
      <x:c r="C289" s="26" t="n">
        <x:v>0.375</x:v>
      </x:c>
      <x:c r="D289" s="13" t="str">
        <x:v>presencial</x:v>
      </x:c>
      <x:c r="E289" s="13" t="str">
        <x:v>não</x:v>
      </x:c>
      <x:c r="F289" s="13" t="str">
        <x:v>Sala 2</x:v>
      </x:c>
      <x:c r="G289" s="12" t="n">
        <x:f>IF(A289="","",'Agenda'!$B$5)</x:f>
        <x:v>50</x:v>
      </x:c>
      <x:c r="H289" s="12" t="n">
        <x:f>IF(A289="","",'Agenda'!$B$6)</x:f>
        <x:v>10</x:v>
      </x:c>
      <x:c r="I289" s="24" t="n">
        <x:f>IF(A289="","",C289+G289/1440)</x:f>
        <x:v>0.4097222222222222</x:v>
      </x:c>
      <x:c r="J289" s="24" t="n">
        <x:f>IF(A289="","",C289+(G289+H289)/1440)</x:f>
        <x:v>0.4166666666666667</x:v>
      </x:c>
      <x:c r="K289" s="27" t="n">
        <x:f>IF(A289="","",IF(E289&lt;&gt;"sim",0,COUNTIFS($B$2:$B$501,B289,$F$2:$F$501,F289,$E$2:$E$501,"sim",$C$2:$C$501,"&lt;"&amp;J289,$J$2:$J$501,"&gt;"&amp;C289)-1))</x:f>
        <x:v>0</x:v>
      </x:c>
      <x:c r="L289" s="27" t="n">
        <x:f>IF(A289="","",IF(E289&lt;&gt;"sim",0,COUNTIFS($B$2:$B$501,B289,$A$2:$A$501,A289,$E$2:$E$501,"sim",$C$2:$C$501,"&lt;"&amp;J289,$J$2:$J$501,"&gt;"&amp;C289)-1))</x:f>
        <x:v>0</x:v>
      </x:c>
      <x:c r="M289" s="2" t="str">
        <x:f>IF(A289="","",IF(E289&lt;&gt;"sim","Revisar escala",IF(OR(K289&gt;0,L289&gt;0),"Conflito de escala",IF(COUNTIFS('Solicitacoes'!$F$2:$F$501,B289,'Solicitacoes'!$K$2:$K$501,F289,'Solicitacoes'!$I$2:$I$501,"pendente",'Solicitacoes'!$G$2:$G$501,"&lt;"&amp;J289,'Solicitacoes'!$N$2:$N$501,"&gt;"&amp;C289)+COUNTIFS('Solicitacoes'!$F$2:$F$501,B289,'Solicitacoes'!$E$2:$E$501,A289,'Solicitacoes'!$I$2:$I$501,"pendente",'Solicitacoes'!$G$2:$G$501,"&lt;"&amp;J289,'Solicitacoes'!$N$2:$N$501,"&gt;"&amp;C289)+COUNTIFS('Solicitacoes'!$F$2:$F$501,B289,'Solicitacoes'!$K$2:$K$501,F289,'Solicitacoes'!$I$2:$I$501,"confirmado",'Solicitacoes'!$G$2:$G$501,"&lt;"&amp;J289,'Solicitacoes'!$N$2:$N$501,"&gt;"&amp;C289)+COUNTIFS('Solicitacoes'!$F$2:$F$501,B289,'Solicitacoes'!$E$2:$E$501,A289,'Solicitacoes'!$I$2:$I$501,"confirmado",'Solicitacoes'!$G$2:$G$501,"&lt;"&amp;J289,'Solicitacoes'!$N$2:$N$501,"&gt;"&amp;C289)&gt;0,"Ocupado","Disponível"))))</x:f>
        <x:v>Revisar escala</x:v>
      </x:c>
      <x:c r="N289" s="2" t="n">
        <x:f>IF(A289="","",ROW()-1)</x:f>
        <x:v>288</x:v>
      </x:c>
    </x:row>
    <x:row r="290" ht="24" customHeight="1">
      <x:c r="A290" s="13" t="str">
        <x:v>Géssyca Martins</x:v>
      </x:c>
      <x:c r="B290" s="14" t="d">
        <x:v>2026-10-22T00:00:00.000Z</x:v>
      </x:c>
      <x:c r="C290" s="26" t="n">
        <x:v>0.4166666666666667</x:v>
      </x:c>
      <x:c r="D290" s="13" t="str">
        <x:v>presencial</x:v>
      </x:c>
      <x:c r="E290" s="13" t="str">
        <x:v>não</x:v>
      </x:c>
      <x:c r="F290" s="13" t="str">
        <x:v>Sala 1</x:v>
      </x:c>
      <x:c r="G290" s="12" t="n">
        <x:f>IF(A290="","",'Agenda'!$B$5)</x:f>
        <x:v>50</x:v>
      </x:c>
      <x:c r="H290" s="12" t="n">
        <x:f>IF(A290="","",'Agenda'!$B$6)</x:f>
        <x:v>10</x:v>
      </x:c>
      <x:c r="I290" s="24" t="n">
        <x:f>IF(A290="","",C290+G290/1440)</x:f>
        <x:v>0.4513888888888889</x:v>
      </x:c>
      <x:c r="J290" s="24" t="n">
        <x:f>IF(A290="","",C290+(G290+H290)/1440)</x:f>
        <x:v>0.45833333333333337</x:v>
      </x:c>
      <x:c r="K290" s="27" t="n">
        <x:f>IF(A290="","",IF(E290&lt;&gt;"sim",0,COUNTIFS($B$2:$B$501,B290,$F$2:$F$501,F290,$E$2:$E$501,"sim",$C$2:$C$501,"&lt;"&amp;J290,$J$2:$J$501,"&gt;"&amp;C290)-1))</x:f>
        <x:v>0</x:v>
      </x:c>
      <x:c r="L290" s="27" t="n">
        <x:f>IF(A290="","",IF(E290&lt;&gt;"sim",0,COUNTIFS($B$2:$B$501,B290,$A$2:$A$501,A290,$E$2:$E$501,"sim",$C$2:$C$501,"&lt;"&amp;J290,$J$2:$J$501,"&gt;"&amp;C290)-1))</x:f>
        <x:v>0</x:v>
      </x:c>
      <x:c r="M290" s="2" t="str">
        <x:f>IF(A290="","",IF(E290&lt;&gt;"sim","Revisar escala",IF(OR(K290&gt;0,L290&gt;0),"Conflito de escala",IF(COUNTIFS('Solicitacoes'!$F$2:$F$501,B290,'Solicitacoes'!$K$2:$K$501,F290,'Solicitacoes'!$I$2:$I$501,"pendente",'Solicitacoes'!$G$2:$G$501,"&lt;"&amp;J290,'Solicitacoes'!$N$2:$N$501,"&gt;"&amp;C290)+COUNTIFS('Solicitacoes'!$F$2:$F$501,B290,'Solicitacoes'!$E$2:$E$501,A290,'Solicitacoes'!$I$2:$I$501,"pendente",'Solicitacoes'!$G$2:$G$501,"&lt;"&amp;J290,'Solicitacoes'!$N$2:$N$501,"&gt;"&amp;C290)+COUNTIFS('Solicitacoes'!$F$2:$F$501,B290,'Solicitacoes'!$K$2:$K$501,F290,'Solicitacoes'!$I$2:$I$501,"confirmado",'Solicitacoes'!$G$2:$G$501,"&lt;"&amp;J290,'Solicitacoes'!$N$2:$N$501,"&gt;"&amp;C290)+COUNTIFS('Solicitacoes'!$F$2:$F$501,B290,'Solicitacoes'!$E$2:$E$501,A290,'Solicitacoes'!$I$2:$I$501,"confirmado",'Solicitacoes'!$G$2:$G$501,"&lt;"&amp;J290,'Solicitacoes'!$N$2:$N$501,"&gt;"&amp;C290)&gt;0,"Ocupado","Disponível"))))</x:f>
        <x:v>Revisar escala</x:v>
      </x:c>
      <x:c r="N290" s="2" t="n">
        <x:f>IF(A290="","",ROW()-1)</x:f>
        <x:v>289</x:v>
      </x:c>
    </x:row>
    <x:row r="291" ht="24" customHeight="1">
      <x:c r="A291" s="13" t="str">
        <x:v>Laura Casanova</x:v>
      </x:c>
      <x:c r="B291" s="14" t="d">
        <x:v>2026-10-22T00:00:00.000Z</x:v>
      </x:c>
      <x:c r="C291" s="26" t="n">
        <x:v>0.4166666666666667</x:v>
      </x:c>
      <x:c r="D291" s="13" t="str">
        <x:v>presencial</x:v>
      </x:c>
      <x:c r="E291" s="13" t="str">
        <x:v>não</x:v>
      </x:c>
      <x:c r="F291" s="13" t="str">
        <x:v>Sala 2</x:v>
      </x:c>
      <x:c r="G291" s="12" t="n">
        <x:f>IF(A291="","",'Agenda'!$B$5)</x:f>
        <x:v>50</x:v>
      </x:c>
      <x:c r="H291" s="12" t="n">
        <x:f>IF(A291="","",'Agenda'!$B$6)</x:f>
        <x:v>10</x:v>
      </x:c>
      <x:c r="I291" s="24" t="n">
        <x:f>IF(A291="","",C291+G291/1440)</x:f>
        <x:v>0.4513888888888889</x:v>
      </x:c>
      <x:c r="J291" s="24" t="n">
        <x:f>IF(A291="","",C291+(G291+H291)/1440)</x:f>
        <x:v>0.45833333333333337</x:v>
      </x:c>
      <x:c r="K291" s="27" t="n">
        <x:f>IF(A291="","",IF(E291&lt;&gt;"sim",0,COUNTIFS($B$2:$B$501,B291,$F$2:$F$501,F291,$E$2:$E$501,"sim",$C$2:$C$501,"&lt;"&amp;J291,$J$2:$J$501,"&gt;"&amp;C291)-1))</x:f>
        <x:v>0</x:v>
      </x:c>
      <x:c r="L291" s="27" t="n">
        <x:f>IF(A291="","",IF(E291&lt;&gt;"sim",0,COUNTIFS($B$2:$B$501,B291,$A$2:$A$501,A291,$E$2:$E$501,"sim",$C$2:$C$501,"&lt;"&amp;J291,$J$2:$J$501,"&gt;"&amp;C291)-1))</x:f>
        <x:v>0</x:v>
      </x:c>
      <x:c r="M291" s="2" t="str">
        <x:f>IF(A291="","",IF(E291&lt;&gt;"sim","Revisar escala",IF(OR(K291&gt;0,L291&gt;0),"Conflito de escala",IF(COUNTIFS('Solicitacoes'!$F$2:$F$501,B291,'Solicitacoes'!$K$2:$K$501,F291,'Solicitacoes'!$I$2:$I$501,"pendente",'Solicitacoes'!$G$2:$G$501,"&lt;"&amp;J291,'Solicitacoes'!$N$2:$N$501,"&gt;"&amp;C291)+COUNTIFS('Solicitacoes'!$F$2:$F$501,B291,'Solicitacoes'!$E$2:$E$501,A291,'Solicitacoes'!$I$2:$I$501,"pendente",'Solicitacoes'!$G$2:$G$501,"&lt;"&amp;J291,'Solicitacoes'!$N$2:$N$501,"&gt;"&amp;C291)+COUNTIFS('Solicitacoes'!$F$2:$F$501,B291,'Solicitacoes'!$K$2:$K$501,F291,'Solicitacoes'!$I$2:$I$501,"confirmado",'Solicitacoes'!$G$2:$G$501,"&lt;"&amp;J291,'Solicitacoes'!$N$2:$N$501,"&gt;"&amp;C291)+COUNTIFS('Solicitacoes'!$F$2:$F$501,B291,'Solicitacoes'!$E$2:$E$501,A291,'Solicitacoes'!$I$2:$I$501,"confirmado",'Solicitacoes'!$G$2:$G$501,"&lt;"&amp;J291,'Solicitacoes'!$N$2:$N$501,"&gt;"&amp;C291)&gt;0,"Ocupado","Disponível"))))</x:f>
        <x:v>Revisar escala</x:v>
      </x:c>
      <x:c r="N291" s="2" t="n">
        <x:f>IF(A291="","",ROW()-1)</x:f>
        <x:v>290</x:v>
      </x:c>
    </x:row>
    <x:row r="292" ht="24" customHeight="1">
      <x:c r="A292" s="13" t="str">
        <x:v>Géssyca Martins</x:v>
      </x:c>
      <x:c r="B292" s="14" t="d">
        <x:v>2026-10-22T00:00:00.000Z</x:v>
      </x:c>
      <x:c r="C292" s="26" t="n">
        <x:v>0.4583333333333333</x:v>
      </x:c>
      <x:c r="D292" s="13" t="str">
        <x:v>presencial</x:v>
      </x:c>
      <x:c r="E292" s="13" t="str">
        <x:v>não</x:v>
      </x:c>
      <x:c r="F292" s="13" t="str">
        <x:v>Sala 1</x:v>
      </x:c>
      <x:c r="G292" s="12" t="n">
        <x:f>IF(A292="","",'Agenda'!$B$5)</x:f>
        <x:v>50</x:v>
      </x:c>
      <x:c r="H292" s="12" t="n">
        <x:f>IF(A292="","",'Agenda'!$B$6)</x:f>
        <x:v>10</x:v>
      </x:c>
      <x:c r="I292" s="24" t="n">
        <x:f>IF(A292="","",C292+G292/1440)</x:f>
        <x:v>0.4930555555555555</x:v>
      </x:c>
      <x:c r="J292" s="24" t="n">
        <x:f>IF(A292="","",C292+(G292+H292)/1440)</x:f>
        <x:v>0.5</x:v>
      </x:c>
      <x:c r="K292" s="27" t="n">
        <x:f>IF(A292="","",IF(E292&lt;&gt;"sim",0,COUNTIFS($B$2:$B$501,B292,$F$2:$F$501,F292,$E$2:$E$501,"sim",$C$2:$C$501,"&lt;"&amp;J292,$J$2:$J$501,"&gt;"&amp;C292)-1))</x:f>
        <x:v>0</x:v>
      </x:c>
      <x:c r="L292" s="27" t="n">
        <x:f>IF(A292="","",IF(E292&lt;&gt;"sim",0,COUNTIFS($B$2:$B$501,B292,$A$2:$A$501,A292,$E$2:$E$501,"sim",$C$2:$C$501,"&lt;"&amp;J292,$J$2:$J$501,"&gt;"&amp;C292)-1))</x:f>
        <x:v>0</x:v>
      </x:c>
      <x:c r="M292" s="2" t="str">
        <x:f>IF(A292="","",IF(E292&lt;&gt;"sim","Revisar escala",IF(OR(K292&gt;0,L292&gt;0),"Conflito de escala",IF(COUNTIFS('Solicitacoes'!$F$2:$F$501,B292,'Solicitacoes'!$K$2:$K$501,F292,'Solicitacoes'!$I$2:$I$501,"pendente",'Solicitacoes'!$G$2:$G$501,"&lt;"&amp;J292,'Solicitacoes'!$N$2:$N$501,"&gt;"&amp;C292)+COUNTIFS('Solicitacoes'!$F$2:$F$501,B292,'Solicitacoes'!$E$2:$E$501,A292,'Solicitacoes'!$I$2:$I$501,"pendente",'Solicitacoes'!$G$2:$G$501,"&lt;"&amp;J292,'Solicitacoes'!$N$2:$N$501,"&gt;"&amp;C292)+COUNTIFS('Solicitacoes'!$F$2:$F$501,B292,'Solicitacoes'!$K$2:$K$501,F292,'Solicitacoes'!$I$2:$I$501,"confirmado",'Solicitacoes'!$G$2:$G$501,"&lt;"&amp;J292,'Solicitacoes'!$N$2:$N$501,"&gt;"&amp;C292)+COUNTIFS('Solicitacoes'!$F$2:$F$501,B292,'Solicitacoes'!$E$2:$E$501,A292,'Solicitacoes'!$I$2:$I$501,"confirmado",'Solicitacoes'!$G$2:$G$501,"&lt;"&amp;J292,'Solicitacoes'!$N$2:$N$501,"&gt;"&amp;C292)&gt;0,"Ocupado","Disponível"))))</x:f>
        <x:v>Revisar escala</x:v>
      </x:c>
      <x:c r="N292" s="2" t="n">
        <x:f>IF(A292="","",ROW()-1)</x:f>
        <x:v>291</x:v>
      </x:c>
    </x:row>
    <x:row r="293" ht="24" customHeight="1">
      <x:c r="A293" s="13" t="str">
        <x:v>Laura Casanova</x:v>
      </x:c>
      <x:c r="B293" s="14" t="d">
        <x:v>2026-10-22T00:00:00.000Z</x:v>
      </x:c>
      <x:c r="C293" s="26" t="n">
        <x:v>0.4583333333333333</x:v>
      </x:c>
      <x:c r="D293" s="13" t="str">
        <x:v>presencial</x:v>
      </x:c>
      <x:c r="E293" s="13" t="str">
        <x:v>não</x:v>
      </x:c>
      <x:c r="F293" s="13" t="str">
        <x:v>Sala 2</x:v>
      </x:c>
      <x:c r="G293" s="12" t="n">
        <x:f>IF(A293="","",'Agenda'!$B$5)</x:f>
        <x:v>50</x:v>
      </x:c>
      <x:c r="H293" s="12" t="n">
        <x:f>IF(A293="","",'Agenda'!$B$6)</x:f>
        <x:v>10</x:v>
      </x:c>
      <x:c r="I293" s="24" t="n">
        <x:f>IF(A293="","",C293+G293/1440)</x:f>
        <x:v>0.4930555555555555</x:v>
      </x:c>
      <x:c r="J293" s="24" t="n">
        <x:f>IF(A293="","",C293+(G293+H293)/1440)</x:f>
        <x:v>0.5</x:v>
      </x:c>
      <x:c r="K293" s="27" t="n">
        <x:f>IF(A293="","",IF(E293&lt;&gt;"sim",0,COUNTIFS($B$2:$B$501,B293,$F$2:$F$501,F293,$E$2:$E$501,"sim",$C$2:$C$501,"&lt;"&amp;J293,$J$2:$J$501,"&gt;"&amp;C293)-1))</x:f>
        <x:v>0</x:v>
      </x:c>
      <x:c r="L293" s="27" t="n">
        <x:f>IF(A293="","",IF(E293&lt;&gt;"sim",0,COUNTIFS($B$2:$B$501,B293,$A$2:$A$501,A293,$E$2:$E$501,"sim",$C$2:$C$501,"&lt;"&amp;J293,$J$2:$J$501,"&gt;"&amp;C293)-1))</x:f>
        <x:v>0</x:v>
      </x:c>
      <x:c r="M293" s="2" t="str">
        <x:f>IF(A293="","",IF(E293&lt;&gt;"sim","Revisar escala",IF(OR(K293&gt;0,L293&gt;0),"Conflito de escala",IF(COUNTIFS('Solicitacoes'!$F$2:$F$501,B293,'Solicitacoes'!$K$2:$K$501,F293,'Solicitacoes'!$I$2:$I$501,"pendente",'Solicitacoes'!$G$2:$G$501,"&lt;"&amp;J293,'Solicitacoes'!$N$2:$N$501,"&gt;"&amp;C293)+COUNTIFS('Solicitacoes'!$F$2:$F$501,B293,'Solicitacoes'!$E$2:$E$501,A293,'Solicitacoes'!$I$2:$I$501,"pendente",'Solicitacoes'!$G$2:$G$501,"&lt;"&amp;J293,'Solicitacoes'!$N$2:$N$501,"&gt;"&amp;C293)+COUNTIFS('Solicitacoes'!$F$2:$F$501,B293,'Solicitacoes'!$K$2:$K$501,F293,'Solicitacoes'!$I$2:$I$501,"confirmado",'Solicitacoes'!$G$2:$G$501,"&lt;"&amp;J293,'Solicitacoes'!$N$2:$N$501,"&gt;"&amp;C293)+COUNTIFS('Solicitacoes'!$F$2:$F$501,B293,'Solicitacoes'!$E$2:$E$501,A293,'Solicitacoes'!$I$2:$I$501,"confirmado",'Solicitacoes'!$G$2:$G$501,"&lt;"&amp;J293,'Solicitacoes'!$N$2:$N$501,"&gt;"&amp;C293)&gt;0,"Ocupado","Disponível"))))</x:f>
        <x:v>Revisar escala</x:v>
      </x:c>
      <x:c r="N293" s="2" t="n">
        <x:f>IF(A293="","",ROW()-1)</x:f>
        <x:v>292</x:v>
      </x:c>
    </x:row>
    <x:row r="294" ht="24" customHeight="1">
      <x:c r="A294" s="13" t="str">
        <x:v>Géssyca Martins</x:v>
      </x:c>
      <x:c r="B294" s="14" t="d">
        <x:v>2026-10-22T00:00:00.000Z</x:v>
      </x:c>
      <x:c r="C294" s="26" t="n">
        <x:v>0.5</x:v>
      </x:c>
      <x:c r="D294" s="13" t="str">
        <x:v>presencial</x:v>
      </x:c>
      <x:c r="E294" s="13" t="str">
        <x:v>não</x:v>
      </x:c>
      <x:c r="F294" s="13" t="str">
        <x:v>Sala 1</x:v>
      </x:c>
      <x:c r="G294" s="12" t="n">
        <x:f>IF(A294="","",'Agenda'!$B$5)</x:f>
        <x:v>50</x:v>
      </x:c>
      <x:c r="H294" s="12" t="n">
        <x:f>IF(A294="","",'Agenda'!$B$6)</x:f>
        <x:v>10</x:v>
      </x:c>
      <x:c r="I294" s="24" t="n">
        <x:f>IF(A294="","",C294+G294/1440)</x:f>
        <x:v>0.5347222222222222</x:v>
      </x:c>
      <x:c r="J294" s="24" t="n">
        <x:f>IF(A294="","",C294+(G294+H294)/1440)</x:f>
        <x:v>0.5416666666666666</x:v>
      </x:c>
      <x:c r="K294" s="27" t="n">
        <x:f>IF(A294="","",IF(E294&lt;&gt;"sim",0,COUNTIFS($B$2:$B$501,B294,$F$2:$F$501,F294,$E$2:$E$501,"sim",$C$2:$C$501,"&lt;"&amp;J294,$J$2:$J$501,"&gt;"&amp;C294)-1))</x:f>
        <x:v>0</x:v>
      </x:c>
      <x:c r="L294" s="27" t="n">
        <x:f>IF(A294="","",IF(E294&lt;&gt;"sim",0,COUNTIFS($B$2:$B$501,B294,$A$2:$A$501,A294,$E$2:$E$501,"sim",$C$2:$C$501,"&lt;"&amp;J294,$J$2:$J$501,"&gt;"&amp;C294)-1))</x:f>
        <x:v>0</x:v>
      </x:c>
      <x:c r="M294" s="2" t="str">
        <x:f>IF(A294="","",IF(E294&lt;&gt;"sim","Revisar escala",IF(OR(K294&gt;0,L294&gt;0),"Conflito de escala",IF(COUNTIFS('Solicitacoes'!$F$2:$F$501,B294,'Solicitacoes'!$K$2:$K$501,F294,'Solicitacoes'!$I$2:$I$501,"pendente",'Solicitacoes'!$G$2:$G$501,"&lt;"&amp;J294,'Solicitacoes'!$N$2:$N$501,"&gt;"&amp;C294)+COUNTIFS('Solicitacoes'!$F$2:$F$501,B294,'Solicitacoes'!$E$2:$E$501,A294,'Solicitacoes'!$I$2:$I$501,"pendente",'Solicitacoes'!$G$2:$G$501,"&lt;"&amp;J294,'Solicitacoes'!$N$2:$N$501,"&gt;"&amp;C294)+COUNTIFS('Solicitacoes'!$F$2:$F$501,B294,'Solicitacoes'!$K$2:$K$501,F294,'Solicitacoes'!$I$2:$I$501,"confirmado",'Solicitacoes'!$G$2:$G$501,"&lt;"&amp;J294,'Solicitacoes'!$N$2:$N$501,"&gt;"&amp;C294)+COUNTIFS('Solicitacoes'!$F$2:$F$501,B294,'Solicitacoes'!$E$2:$E$501,A294,'Solicitacoes'!$I$2:$I$501,"confirmado",'Solicitacoes'!$G$2:$G$501,"&lt;"&amp;J294,'Solicitacoes'!$N$2:$N$501,"&gt;"&amp;C294)&gt;0,"Ocupado","Disponível"))))</x:f>
        <x:v>Revisar escala</x:v>
      </x:c>
      <x:c r="N294" s="2" t="n">
        <x:f>IF(A294="","",ROW()-1)</x:f>
        <x:v>293</x:v>
      </x:c>
    </x:row>
    <x:row r="295" ht="24" customHeight="1">
      <x:c r="A295" s="13" t="str">
        <x:v>Laura Casanova</x:v>
      </x:c>
      <x:c r="B295" s="14" t="d">
        <x:v>2026-10-22T00:00:00.000Z</x:v>
      </x:c>
      <x:c r="C295" s="26" t="n">
        <x:v>0.5</x:v>
      </x:c>
      <x:c r="D295" s="13" t="str">
        <x:v>presencial</x:v>
      </x:c>
      <x:c r="E295" s="13" t="str">
        <x:v>não</x:v>
      </x:c>
      <x:c r="F295" s="13" t="str">
        <x:v>Sala 2</x:v>
      </x:c>
      <x:c r="G295" s="12" t="n">
        <x:f>IF(A295="","",'Agenda'!$B$5)</x:f>
        <x:v>50</x:v>
      </x:c>
      <x:c r="H295" s="12" t="n">
        <x:f>IF(A295="","",'Agenda'!$B$6)</x:f>
        <x:v>10</x:v>
      </x:c>
      <x:c r="I295" s="24" t="n">
        <x:f>IF(A295="","",C295+G295/1440)</x:f>
        <x:v>0.5347222222222222</x:v>
      </x:c>
      <x:c r="J295" s="24" t="n">
        <x:f>IF(A295="","",C295+(G295+H295)/1440)</x:f>
        <x:v>0.5416666666666666</x:v>
      </x:c>
      <x:c r="K295" s="27" t="n">
        <x:f>IF(A295="","",IF(E295&lt;&gt;"sim",0,COUNTIFS($B$2:$B$501,B295,$F$2:$F$501,F295,$E$2:$E$501,"sim",$C$2:$C$501,"&lt;"&amp;J295,$J$2:$J$501,"&gt;"&amp;C295)-1))</x:f>
        <x:v>0</x:v>
      </x:c>
      <x:c r="L295" s="27" t="n">
        <x:f>IF(A295="","",IF(E295&lt;&gt;"sim",0,COUNTIFS($B$2:$B$501,B295,$A$2:$A$501,A295,$E$2:$E$501,"sim",$C$2:$C$501,"&lt;"&amp;J295,$J$2:$J$501,"&gt;"&amp;C295)-1))</x:f>
        <x:v>0</x:v>
      </x:c>
      <x:c r="M295" s="2" t="str">
        <x:f>IF(A295="","",IF(E295&lt;&gt;"sim","Revisar escala",IF(OR(K295&gt;0,L295&gt;0),"Conflito de escala",IF(COUNTIFS('Solicitacoes'!$F$2:$F$501,B295,'Solicitacoes'!$K$2:$K$501,F295,'Solicitacoes'!$I$2:$I$501,"pendente",'Solicitacoes'!$G$2:$G$501,"&lt;"&amp;J295,'Solicitacoes'!$N$2:$N$501,"&gt;"&amp;C295)+COUNTIFS('Solicitacoes'!$F$2:$F$501,B295,'Solicitacoes'!$E$2:$E$501,A295,'Solicitacoes'!$I$2:$I$501,"pendente",'Solicitacoes'!$G$2:$G$501,"&lt;"&amp;J295,'Solicitacoes'!$N$2:$N$501,"&gt;"&amp;C295)+COUNTIFS('Solicitacoes'!$F$2:$F$501,B295,'Solicitacoes'!$K$2:$K$501,F295,'Solicitacoes'!$I$2:$I$501,"confirmado",'Solicitacoes'!$G$2:$G$501,"&lt;"&amp;J295,'Solicitacoes'!$N$2:$N$501,"&gt;"&amp;C295)+COUNTIFS('Solicitacoes'!$F$2:$F$501,B295,'Solicitacoes'!$E$2:$E$501,A295,'Solicitacoes'!$I$2:$I$501,"confirmado",'Solicitacoes'!$G$2:$G$501,"&lt;"&amp;J295,'Solicitacoes'!$N$2:$N$501,"&gt;"&amp;C295)&gt;0,"Ocupado","Disponível"))))</x:f>
        <x:v>Revisar escala</x:v>
      </x:c>
      <x:c r="N295" s="2" t="n">
        <x:f>IF(A295="","",ROW()-1)</x:f>
        <x:v>294</x:v>
      </x:c>
    </x:row>
    <x:row r="296" ht="24" customHeight="1">
      <x:c r="A296" s="13" t="str">
        <x:v>Géssyca Martins</x:v>
      </x:c>
      <x:c r="B296" s="14" t="d">
        <x:v>2026-10-22T00:00:00.000Z</x:v>
      </x:c>
      <x:c r="C296" s="26" t="n">
        <x:v>0.5416666666666666</x:v>
      </x:c>
      <x:c r="D296" s="13" t="str">
        <x:v>presencial</x:v>
      </x:c>
      <x:c r="E296" s="13" t="str">
        <x:v>não</x:v>
      </x:c>
      <x:c r="F296" s="13" t="str">
        <x:v>Sala 1</x:v>
      </x:c>
      <x:c r="G296" s="12" t="n">
        <x:f>IF(A296="","",'Agenda'!$B$5)</x:f>
        <x:v>50</x:v>
      </x:c>
      <x:c r="H296" s="12" t="n">
        <x:f>IF(A296="","",'Agenda'!$B$6)</x:f>
        <x:v>10</x:v>
      </x:c>
      <x:c r="I296" s="24" t="n">
        <x:f>IF(A296="","",C296+G296/1440)</x:f>
        <x:v>0.5763888888888888</x:v>
      </x:c>
      <x:c r="J296" s="24" t="n">
        <x:f>IF(A296="","",C296+(G296+H296)/1440)</x:f>
        <x:v>0.5833333333333333</x:v>
      </x:c>
      <x:c r="K296" s="27" t="n">
        <x:f>IF(A296="","",IF(E296&lt;&gt;"sim",0,COUNTIFS($B$2:$B$501,B296,$F$2:$F$501,F296,$E$2:$E$501,"sim",$C$2:$C$501,"&lt;"&amp;J296,$J$2:$J$501,"&gt;"&amp;C296)-1))</x:f>
        <x:v>0</x:v>
      </x:c>
      <x:c r="L296" s="27" t="n">
        <x:f>IF(A296="","",IF(E296&lt;&gt;"sim",0,COUNTIFS($B$2:$B$501,B296,$A$2:$A$501,A296,$E$2:$E$501,"sim",$C$2:$C$501,"&lt;"&amp;J296,$J$2:$J$501,"&gt;"&amp;C296)-1))</x:f>
        <x:v>0</x:v>
      </x:c>
      <x:c r="M296" s="2" t="str">
        <x:f>IF(A296="","",IF(E296&lt;&gt;"sim","Revisar escala",IF(OR(K296&gt;0,L296&gt;0),"Conflito de escala",IF(COUNTIFS('Solicitacoes'!$F$2:$F$501,B296,'Solicitacoes'!$K$2:$K$501,F296,'Solicitacoes'!$I$2:$I$501,"pendente",'Solicitacoes'!$G$2:$G$501,"&lt;"&amp;J296,'Solicitacoes'!$N$2:$N$501,"&gt;"&amp;C296)+COUNTIFS('Solicitacoes'!$F$2:$F$501,B296,'Solicitacoes'!$E$2:$E$501,A296,'Solicitacoes'!$I$2:$I$501,"pendente",'Solicitacoes'!$G$2:$G$501,"&lt;"&amp;J296,'Solicitacoes'!$N$2:$N$501,"&gt;"&amp;C296)+COUNTIFS('Solicitacoes'!$F$2:$F$501,B296,'Solicitacoes'!$K$2:$K$501,F296,'Solicitacoes'!$I$2:$I$501,"confirmado",'Solicitacoes'!$G$2:$G$501,"&lt;"&amp;J296,'Solicitacoes'!$N$2:$N$501,"&gt;"&amp;C296)+COUNTIFS('Solicitacoes'!$F$2:$F$501,B296,'Solicitacoes'!$E$2:$E$501,A296,'Solicitacoes'!$I$2:$I$501,"confirmado",'Solicitacoes'!$G$2:$G$501,"&lt;"&amp;J296,'Solicitacoes'!$N$2:$N$501,"&gt;"&amp;C296)&gt;0,"Ocupado","Disponível"))))</x:f>
        <x:v>Revisar escala</x:v>
      </x:c>
      <x:c r="N296" s="2" t="n">
        <x:f>IF(A296="","",ROW()-1)</x:f>
        <x:v>295</x:v>
      </x:c>
    </x:row>
    <x:row r="297" ht="24" customHeight="1">
      <x:c r="A297" s="13" t="str">
        <x:v>Laura Casanova</x:v>
      </x:c>
      <x:c r="B297" s="14" t="d">
        <x:v>2026-10-22T00:00:00.000Z</x:v>
      </x:c>
      <x:c r="C297" s="26" t="n">
        <x:v>0.5416666666666666</x:v>
      </x:c>
      <x:c r="D297" s="13" t="str">
        <x:v>presencial</x:v>
      </x:c>
      <x:c r="E297" s="13" t="str">
        <x:v>não</x:v>
      </x:c>
      <x:c r="F297" s="13" t="str">
        <x:v>Sala 2</x:v>
      </x:c>
      <x:c r="G297" s="12" t="n">
        <x:f>IF(A297="","",'Agenda'!$B$5)</x:f>
        <x:v>50</x:v>
      </x:c>
      <x:c r="H297" s="12" t="n">
        <x:f>IF(A297="","",'Agenda'!$B$6)</x:f>
        <x:v>10</x:v>
      </x:c>
      <x:c r="I297" s="24" t="n">
        <x:f>IF(A297="","",C297+G297/1440)</x:f>
        <x:v>0.5763888888888888</x:v>
      </x:c>
      <x:c r="J297" s="24" t="n">
        <x:f>IF(A297="","",C297+(G297+H297)/1440)</x:f>
        <x:v>0.5833333333333333</x:v>
      </x:c>
      <x:c r="K297" s="27" t="n">
        <x:f>IF(A297="","",IF(E297&lt;&gt;"sim",0,COUNTIFS($B$2:$B$501,B297,$F$2:$F$501,F297,$E$2:$E$501,"sim",$C$2:$C$501,"&lt;"&amp;J297,$J$2:$J$501,"&gt;"&amp;C297)-1))</x:f>
        <x:v>0</x:v>
      </x:c>
      <x:c r="L297" s="27" t="n">
        <x:f>IF(A297="","",IF(E297&lt;&gt;"sim",0,COUNTIFS($B$2:$B$501,B297,$A$2:$A$501,A297,$E$2:$E$501,"sim",$C$2:$C$501,"&lt;"&amp;J297,$J$2:$J$501,"&gt;"&amp;C297)-1))</x:f>
        <x:v>0</x:v>
      </x:c>
      <x:c r="M297" s="2" t="str">
        <x:f>IF(A297="","",IF(E297&lt;&gt;"sim","Revisar escala",IF(OR(K297&gt;0,L297&gt;0),"Conflito de escala",IF(COUNTIFS('Solicitacoes'!$F$2:$F$501,B297,'Solicitacoes'!$K$2:$K$501,F297,'Solicitacoes'!$I$2:$I$501,"pendente",'Solicitacoes'!$G$2:$G$501,"&lt;"&amp;J297,'Solicitacoes'!$N$2:$N$501,"&gt;"&amp;C297)+COUNTIFS('Solicitacoes'!$F$2:$F$501,B297,'Solicitacoes'!$E$2:$E$501,A297,'Solicitacoes'!$I$2:$I$501,"pendente",'Solicitacoes'!$G$2:$G$501,"&lt;"&amp;J297,'Solicitacoes'!$N$2:$N$501,"&gt;"&amp;C297)+COUNTIFS('Solicitacoes'!$F$2:$F$501,B297,'Solicitacoes'!$K$2:$K$501,F297,'Solicitacoes'!$I$2:$I$501,"confirmado",'Solicitacoes'!$G$2:$G$501,"&lt;"&amp;J297,'Solicitacoes'!$N$2:$N$501,"&gt;"&amp;C297)+COUNTIFS('Solicitacoes'!$F$2:$F$501,B297,'Solicitacoes'!$E$2:$E$501,A297,'Solicitacoes'!$I$2:$I$501,"confirmado",'Solicitacoes'!$G$2:$G$501,"&lt;"&amp;J297,'Solicitacoes'!$N$2:$N$501,"&gt;"&amp;C297)&gt;0,"Ocupado","Disponível"))))</x:f>
        <x:v>Revisar escala</x:v>
      </x:c>
      <x:c r="N297" s="2" t="n">
        <x:f>IF(A297="","",ROW()-1)</x:f>
        <x:v>296</x:v>
      </x:c>
    </x:row>
    <x:row r="298" ht="24" customHeight="1">
      <x:c r="A298" s="13" t="str">
        <x:v>Aline Reis</x:v>
      </x:c>
      <x:c r="B298" s="14" t="d">
        <x:v>2026-10-22T00:00:00.000Z</x:v>
      </x:c>
      <x:c r="C298" s="26" t="n">
        <x:v>0.5833333333333334</x:v>
      </x:c>
      <x:c r="D298" s="13" t="str">
        <x:v>presencial</x:v>
      </x:c>
      <x:c r="E298" s="13" t="str">
        <x:v>não</x:v>
      </x:c>
      <x:c r="F298" s="13" t="str">
        <x:v>Sala 1</x:v>
      </x:c>
      <x:c r="G298" s="12" t="n">
        <x:f>IF(A298="","",'Agenda'!$B$5)</x:f>
        <x:v>50</x:v>
      </x:c>
      <x:c r="H298" s="12" t="n">
        <x:f>IF(A298="","",'Agenda'!$B$6)</x:f>
        <x:v>10</x:v>
      </x:c>
      <x:c r="I298" s="24" t="n">
        <x:f>IF(A298="","",C298+G298/1440)</x:f>
        <x:v>0.6180555555555556</x:v>
      </x:c>
      <x:c r="J298" s="24" t="n">
        <x:f>IF(A298="","",C298+(G298+H298)/1440)</x:f>
        <x:v>0.625</x:v>
      </x:c>
      <x:c r="K298" s="27" t="n">
        <x:f>IF(A298="","",IF(E298&lt;&gt;"sim",0,COUNTIFS($B$2:$B$501,B298,$F$2:$F$501,F298,$E$2:$E$501,"sim",$C$2:$C$501,"&lt;"&amp;J298,$J$2:$J$501,"&gt;"&amp;C298)-1))</x:f>
        <x:v>0</x:v>
      </x:c>
      <x:c r="L298" s="27" t="n">
        <x:f>IF(A298="","",IF(E298&lt;&gt;"sim",0,COUNTIFS($B$2:$B$501,B298,$A$2:$A$501,A298,$E$2:$E$501,"sim",$C$2:$C$501,"&lt;"&amp;J298,$J$2:$J$501,"&gt;"&amp;C298)-1))</x:f>
        <x:v>0</x:v>
      </x:c>
      <x:c r="M298" s="2" t="str">
        <x:f>IF(A298="","",IF(E298&lt;&gt;"sim","Revisar escala",IF(OR(K298&gt;0,L298&gt;0),"Conflito de escala",IF(COUNTIFS('Solicitacoes'!$F$2:$F$501,B298,'Solicitacoes'!$K$2:$K$501,F298,'Solicitacoes'!$I$2:$I$501,"pendente",'Solicitacoes'!$G$2:$G$501,"&lt;"&amp;J298,'Solicitacoes'!$N$2:$N$501,"&gt;"&amp;C298)+COUNTIFS('Solicitacoes'!$F$2:$F$501,B298,'Solicitacoes'!$E$2:$E$501,A298,'Solicitacoes'!$I$2:$I$501,"pendente",'Solicitacoes'!$G$2:$G$501,"&lt;"&amp;J298,'Solicitacoes'!$N$2:$N$501,"&gt;"&amp;C298)+COUNTIFS('Solicitacoes'!$F$2:$F$501,B298,'Solicitacoes'!$K$2:$K$501,F298,'Solicitacoes'!$I$2:$I$501,"confirmado",'Solicitacoes'!$G$2:$G$501,"&lt;"&amp;J298,'Solicitacoes'!$N$2:$N$501,"&gt;"&amp;C298)+COUNTIFS('Solicitacoes'!$F$2:$F$501,B298,'Solicitacoes'!$E$2:$E$501,A298,'Solicitacoes'!$I$2:$I$501,"confirmado",'Solicitacoes'!$G$2:$G$501,"&lt;"&amp;J298,'Solicitacoes'!$N$2:$N$501,"&gt;"&amp;C298)&gt;0,"Ocupado","Disponível"))))</x:f>
        <x:v>Revisar escala</x:v>
      </x:c>
      <x:c r="N298" s="2" t="n">
        <x:f>IF(A298="","",ROW()-1)</x:f>
        <x:v>297</x:v>
      </x:c>
    </x:row>
    <x:row r="299" ht="24" customHeight="1">
      <x:c r="A299" s="13" t="str">
        <x:v>Géssyca Martins</x:v>
      </x:c>
      <x:c r="B299" s="14" t="d">
        <x:v>2026-10-22T00:00:00.000Z</x:v>
      </x:c>
      <x:c r="C299" s="26" t="n">
        <x:v>0.5833333333333334</x:v>
      </x:c>
      <x:c r="D299" s="13" t="str">
        <x:v>presencial</x:v>
      </x:c>
      <x:c r="E299" s="13" t="str">
        <x:v>não</x:v>
      </x:c>
      <x:c r="F299" s="13" t="str">
        <x:v>Sala 2</x:v>
      </x:c>
      <x:c r="G299" s="12" t="n">
        <x:f>IF(A299="","",'Agenda'!$B$5)</x:f>
        <x:v>50</x:v>
      </x:c>
      <x:c r="H299" s="12" t="n">
        <x:f>IF(A299="","",'Agenda'!$B$6)</x:f>
        <x:v>10</x:v>
      </x:c>
      <x:c r="I299" s="24" t="n">
        <x:f>IF(A299="","",C299+G299/1440)</x:f>
        <x:v>0.6180555555555556</x:v>
      </x:c>
      <x:c r="J299" s="24" t="n">
        <x:f>IF(A299="","",C299+(G299+H299)/1440)</x:f>
        <x:v>0.625</x:v>
      </x:c>
      <x:c r="K299" s="27" t="n">
        <x:f>IF(A299="","",IF(E299&lt;&gt;"sim",0,COUNTIFS($B$2:$B$501,B299,$F$2:$F$501,F299,$E$2:$E$501,"sim",$C$2:$C$501,"&lt;"&amp;J299,$J$2:$J$501,"&gt;"&amp;C299)-1))</x:f>
        <x:v>0</x:v>
      </x:c>
      <x:c r="L299" s="27" t="n">
        <x:f>IF(A299="","",IF(E299&lt;&gt;"sim",0,COUNTIFS($B$2:$B$501,B299,$A$2:$A$501,A299,$E$2:$E$501,"sim",$C$2:$C$501,"&lt;"&amp;J299,$J$2:$J$501,"&gt;"&amp;C299)-1))</x:f>
        <x:v>0</x:v>
      </x:c>
      <x:c r="M299" s="2" t="str">
        <x:f>IF(A299="","",IF(E299&lt;&gt;"sim","Revisar escala",IF(OR(K299&gt;0,L299&gt;0),"Conflito de escala",IF(COUNTIFS('Solicitacoes'!$F$2:$F$501,B299,'Solicitacoes'!$K$2:$K$501,F299,'Solicitacoes'!$I$2:$I$501,"pendente",'Solicitacoes'!$G$2:$G$501,"&lt;"&amp;J299,'Solicitacoes'!$N$2:$N$501,"&gt;"&amp;C299)+COUNTIFS('Solicitacoes'!$F$2:$F$501,B299,'Solicitacoes'!$E$2:$E$501,A299,'Solicitacoes'!$I$2:$I$501,"pendente",'Solicitacoes'!$G$2:$G$501,"&lt;"&amp;J299,'Solicitacoes'!$N$2:$N$501,"&gt;"&amp;C299)+COUNTIFS('Solicitacoes'!$F$2:$F$501,B299,'Solicitacoes'!$K$2:$K$501,F299,'Solicitacoes'!$I$2:$I$501,"confirmado",'Solicitacoes'!$G$2:$G$501,"&lt;"&amp;J299,'Solicitacoes'!$N$2:$N$501,"&gt;"&amp;C299)+COUNTIFS('Solicitacoes'!$F$2:$F$501,B299,'Solicitacoes'!$E$2:$E$501,A299,'Solicitacoes'!$I$2:$I$501,"confirmado",'Solicitacoes'!$G$2:$G$501,"&lt;"&amp;J299,'Solicitacoes'!$N$2:$N$501,"&gt;"&amp;C299)&gt;0,"Ocupado","Disponível"))))</x:f>
        <x:v>Revisar escala</x:v>
      </x:c>
      <x:c r="N299" s="2" t="n">
        <x:f>IF(A299="","",ROW()-1)</x:f>
        <x:v>298</x:v>
      </x:c>
    </x:row>
    <x:row r="300" ht="24" customHeight="1">
      <x:c r="A300" s="13" t="str">
        <x:v>Aline Reis</x:v>
      </x:c>
      <x:c r="B300" s="14" t="d">
        <x:v>2026-10-22T00:00:00.000Z</x:v>
      </x:c>
      <x:c r="C300" s="26" t="n">
        <x:v>0.625</x:v>
      </x:c>
      <x:c r="D300" s="13" t="str">
        <x:v>presencial</x:v>
      </x:c>
      <x:c r="E300" s="13" t="str">
        <x:v>não</x:v>
      </x:c>
      <x:c r="F300" s="13" t="str">
        <x:v>Sala 1</x:v>
      </x:c>
      <x:c r="G300" s="12" t="n">
        <x:f>IF(A300="","",'Agenda'!$B$5)</x:f>
        <x:v>50</x:v>
      </x:c>
      <x:c r="H300" s="12" t="n">
        <x:f>IF(A300="","",'Agenda'!$B$6)</x:f>
        <x:v>10</x:v>
      </x:c>
      <x:c r="I300" s="24" t="n">
        <x:f>IF(A300="","",C300+G300/1440)</x:f>
        <x:v>0.6597222222222222</x:v>
      </x:c>
      <x:c r="J300" s="24" t="n">
        <x:f>IF(A300="","",C300+(G300+H300)/1440)</x:f>
        <x:v>0.6666666666666666</x:v>
      </x:c>
      <x:c r="K300" s="27" t="n">
        <x:f>IF(A300="","",IF(E300&lt;&gt;"sim",0,COUNTIFS($B$2:$B$501,B300,$F$2:$F$501,F300,$E$2:$E$501,"sim",$C$2:$C$501,"&lt;"&amp;J300,$J$2:$J$501,"&gt;"&amp;C300)-1))</x:f>
        <x:v>0</x:v>
      </x:c>
      <x:c r="L300" s="27" t="n">
        <x:f>IF(A300="","",IF(E300&lt;&gt;"sim",0,COUNTIFS($B$2:$B$501,B300,$A$2:$A$501,A300,$E$2:$E$501,"sim",$C$2:$C$501,"&lt;"&amp;J300,$J$2:$J$501,"&gt;"&amp;C300)-1))</x:f>
        <x:v>0</x:v>
      </x:c>
      <x:c r="M300" s="2" t="str">
        <x:f>IF(A300="","",IF(E300&lt;&gt;"sim","Revisar escala",IF(OR(K300&gt;0,L300&gt;0),"Conflito de escala",IF(COUNTIFS('Solicitacoes'!$F$2:$F$501,B300,'Solicitacoes'!$K$2:$K$501,F300,'Solicitacoes'!$I$2:$I$501,"pendente",'Solicitacoes'!$G$2:$G$501,"&lt;"&amp;J300,'Solicitacoes'!$N$2:$N$501,"&gt;"&amp;C300)+COUNTIFS('Solicitacoes'!$F$2:$F$501,B300,'Solicitacoes'!$E$2:$E$501,A300,'Solicitacoes'!$I$2:$I$501,"pendente",'Solicitacoes'!$G$2:$G$501,"&lt;"&amp;J300,'Solicitacoes'!$N$2:$N$501,"&gt;"&amp;C300)+COUNTIFS('Solicitacoes'!$F$2:$F$501,B300,'Solicitacoes'!$K$2:$K$501,F300,'Solicitacoes'!$I$2:$I$501,"confirmado",'Solicitacoes'!$G$2:$G$501,"&lt;"&amp;J300,'Solicitacoes'!$N$2:$N$501,"&gt;"&amp;C300)+COUNTIFS('Solicitacoes'!$F$2:$F$501,B300,'Solicitacoes'!$E$2:$E$501,A300,'Solicitacoes'!$I$2:$I$501,"confirmado",'Solicitacoes'!$G$2:$G$501,"&lt;"&amp;J300,'Solicitacoes'!$N$2:$N$501,"&gt;"&amp;C300)&gt;0,"Ocupado","Disponível"))))</x:f>
        <x:v>Revisar escala</x:v>
      </x:c>
      <x:c r="N300" s="2" t="n">
        <x:f>IF(A300="","",ROW()-1)</x:f>
        <x:v>299</x:v>
      </x:c>
    </x:row>
    <x:row r="301" ht="24" customHeight="1">
      <x:c r="A301" s="13" t="str">
        <x:v>Géssyca Martins</x:v>
      </x:c>
      <x:c r="B301" s="14" t="d">
        <x:v>2026-10-22T00:00:00.000Z</x:v>
      </x:c>
      <x:c r="C301" s="26" t="n">
        <x:v>0.625</x:v>
      </x:c>
      <x:c r="D301" s="13" t="str">
        <x:v>presencial</x:v>
      </x:c>
      <x:c r="E301" s="13" t="str">
        <x:v>não</x:v>
      </x:c>
      <x:c r="F301" s="13" t="str">
        <x:v>Sala 2</x:v>
      </x:c>
      <x:c r="G301" s="12" t="n">
        <x:f>IF(A301="","",'Agenda'!$B$5)</x:f>
        <x:v>50</x:v>
      </x:c>
      <x:c r="H301" s="12" t="n">
        <x:f>IF(A301="","",'Agenda'!$B$6)</x:f>
        <x:v>10</x:v>
      </x:c>
      <x:c r="I301" s="24" t="n">
        <x:f>IF(A301="","",C301+G301/1440)</x:f>
        <x:v>0.6597222222222222</x:v>
      </x:c>
      <x:c r="J301" s="24" t="n">
        <x:f>IF(A301="","",C301+(G301+H301)/1440)</x:f>
        <x:v>0.6666666666666666</x:v>
      </x:c>
      <x:c r="K301" s="27" t="n">
        <x:f>IF(A301="","",IF(E301&lt;&gt;"sim",0,COUNTIFS($B$2:$B$501,B301,$F$2:$F$501,F301,$E$2:$E$501,"sim",$C$2:$C$501,"&lt;"&amp;J301,$J$2:$J$501,"&gt;"&amp;C301)-1))</x:f>
        <x:v>0</x:v>
      </x:c>
      <x:c r="L301" s="27" t="n">
        <x:f>IF(A301="","",IF(E301&lt;&gt;"sim",0,COUNTIFS($B$2:$B$501,B301,$A$2:$A$501,A301,$E$2:$E$501,"sim",$C$2:$C$501,"&lt;"&amp;J301,$J$2:$J$501,"&gt;"&amp;C301)-1))</x:f>
        <x:v>0</x:v>
      </x:c>
      <x:c r="M301" s="2" t="str">
        <x:f>IF(A301="","",IF(E301&lt;&gt;"sim","Revisar escala",IF(OR(K301&gt;0,L301&gt;0),"Conflito de escala",IF(COUNTIFS('Solicitacoes'!$F$2:$F$501,B301,'Solicitacoes'!$K$2:$K$501,F301,'Solicitacoes'!$I$2:$I$501,"pendente",'Solicitacoes'!$G$2:$G$501,"&lt;"&amp;J301,'Solicitacoes'!$N$2:$N$501,"&gt;"&amp;C301)+COUNTIFS('Solicitacoes'!$F$2:$F$501,B301,'Solicitacoes'!$E$2:$E$501,A301,'Solicitacoes'!$I$2:$I$501,"pendente",'Solicitacoes'!$G$2:$G$501,"&lt;"&amp;J301,'Solicitacoes'!$N$2:$N$501,"&gt;"&amp;C301)+COUNTIFS('Solicitacoes'!$F$2:$F$501,B301,'Solicitacoes'!$K$2:$K$501,F301,'Solicitacoes'!$I$2:$I$501,"confirmado",'Solicitacoes'!$G$2:$G$501,"&lt;"&amp;J301,'Solicitacoes'!$N$2:$N$501,"&gt;"&amp;C301)+COUNTIFS('Solicitacoes'!$F$2:$F$501,B301,'Solicitacoes'!$E$2:$E$501,A301,'Solicitacoes'!$I$2:$I$501,"confirmado",'Solicitacoes'!$G$2:$G$501,"&lt;"&amp;J301,'Solicitacoes'!$N$2:$N$501,"&gt;"&amp;C301)&gt;0,"Ocupado","Disponível"))))</x:f>
        <x:v>Revisar escala</x:v>
      </x:c>
      <x:c r="N301" s="2" t="n">
        <x:f>IF(A301="","",ROW()-1)</x:f>
        <x:v>300</x:v>
      </x:c>
    </x:row>
    <x:row r="302" ht="24" customHeight="1">
      <x:c r="A302" s="13" t="str">
        <x:v>Aline Reis</x:v>
      </x:c>
      <x:c r="B302" s="14" t="d">
        <x:v>2026-10-22T00:00:00.000Z</x:v>
      </x:c>
      <x:c r="C302" s="26" t="n">
        <x:v>0.6666666666666666</x:v>
      </x:c>
      <x:c r="D302" s="13" t="str">
        <x:v>presencial</x:v>
      </x:c>
      <x:c r="E302" s="13" t="str">
        <x:v>não</x:v>
      </x:c>
      <x:c r="F302" s="13" t="str">
        <x:v>Sala 1</x:v>
      </x:c>
      <x:c r="G302" s="12" t="n">
        <x:f>IF(A302="","",'Agenda'!$B$5)</x:f>
        <x:v>50</x:v>
      </x:c>
      <x:c r="H302" s="12" t="n">
        <x:f>IF(A302="","",'Agenda'!$B$6)</x:f>
        <x:v>10</x:v>
      </x:c>
      <x:c r="I302" s="24" t="n">
        <x:f>IF(A302="","",C302+G302/1440)</x:f>
        <x:v>0.7013888888888888</x:v>
      </x:c>
      <x:c r="J302" s="24" t="n">
        <x:f>IF(A302="","",C302+(G302+H302)/1440)</x:f>
        <x:v>0.7083333333333333</x:v>
      </x:c>
      <x:c r="K302" s="27" t="n">
        <x:f>IF(A302="","",IF(E302&lt;&gt;"sim",0,COUNTIFS($B$2:$B$501,B302,$F$2:$F$501,F302,$E$2:$E$501,"sim",$C$2:$C$501,"&lt;"&amp;J302,$J$2:$J$501,"&gt;"&amp;C302)-1))</x:f>
        <x:v>0</x:v>
      </x:c>
      <x:c r="L302" s="27" t="n">
        <x:f>IF(A302="","",IF(E302&lt;&gt;"sim",0,COUNTIFS($B$2:$B$501,B302,$A$2:$A$501,A302,$E$2:$E$501,"sim",$C$2:$C$501,"&lt;"&amp;J302,$J$2:$J$501,"&gt;"&amp;C302)-1))</x:f>
        <x:v>0</x:v>
      </x:c>
      <x:c r="M302" s="2" t="str">
        <x:f>IF(A302="","",IF(E302&lt;&gt;"sim","Revisar escala",IF(OR(K302&gt;0,L302&gt;0),"Conflito de escala",IF(COUNTIFS('Solicitacoes'!$F$2:$F$501,B302,'Solicitacoes'!$K$2:$K$501,F302,'Solicitacoes'!$I$2:$I$501,"pendente",'Solicitacoes'!$G$2:$G$501,"&lt;"&amp;J302,'Solicitacoes'!$N$2:$N$501,"&gt;"&amp;C302)+COUNTIFS('Solicitacoes'!$F$2:$F$501,B302,'Solicitacoes'!$E$2:$E$501,A302,'Solicitacoes'!$I$2:$I$501,"pendente",'Solicitacoes'!$G$2:$G$501,"&lt;"&amp;J302,'Solicitacoes'!$N$2:$N$501,"&gt;"&amp;C302)+COUNTIFS('Solicitacoes'!$F$2:$F$501,B302,'Solicitacoes'!$K$2:$K$501,F302,'Solicitacoes'!$I$2:$I$501,"confirmado",'Solicitacoes'!$G$2:$G$501,"&lt;"&amp;J302,'Solicitacoes'!$N$2:$N$501,"&gt;"&amp;C302)+COUNTIFS('Solicitacoes'!$F$2:$F$501,B302,'Solicitacoes'!$E$2:$E$501,A302,'Solicitacoes'!$I$2:$I$501,"confirmado",'Solicitacoes'!$G$2:$G$501,"&lt;"&amp;J302,'Solicitacoes'!$N$2:$N$501,"&gt;"&amp;C302)&gt;0,"Ocupado","Disponível"))))</x:f>
        <x:v>Revisar escala</x:v>
      </x:c>
      <x:c r="N302" s="2" t="n">
        <x:f>IF(A302="","",ROW()-1)</x:f>
        <x:v>301</x:v>
      </x:c>
    </x:row>
    <x:row r="303" ht="24" customHeight="1">
      <x:c r="A303" s="13" t="str">
        <x:v>Géssyca Martins</x:v>
      </x:c>
      <x:c r="B303" s="14" t="d">
        <x:v>2026-10-22T00:00:00.000Z</x:v>
      </x:c>
      <x:c r="C303" s="26" t="n">
        <x:v>0.6666666666666666</x:v>
      </x:c>
      <x:c r="D303" s="13" t="str">
        <x:v>presencial</x:v>
      </x:c>
      <x:c r="E303" s="13" t="str">
        <x:v>não</x:v>
      </x:c>
      <x:c r="F303" s="13" t="str">
        <x:v>Sala 2</x:v>
      </x:c>
      <x:c r="G303" s="12" t="n">
        <x:f>IF(A303="","",'Agenda'!$B$5)</x:f>
        <x:v>50</x:v>
      </x:c>
      <x:c r="H303" s="12" t="n">
        <x:f>IF(A303="","",'Agenda'!$B$6)</x:f>
        <x:v>10</x:v>
      </x:c>
      <x:c r="I303" s="24" t="n">
        <x:f>IF(A303="","",C303+G303/1440)</x:f>
        <x:v>0.7013888888888888</x:v>
      </x:c>
      <x:c r="J303" s="24" t="n">
        <x:f>IF(A303="","",C303+(G303+H303)/1440)</x:f>
        <x:v>0.7083333333333333</x:v>
      </x:c>
      <x:c r="K303" s="27" t="n">
        <x:f>IF(A303="","",IF(E303&lt;&gt;"sim",0,COUNTIFS($B$2:$B$501,B303,$F$2:$F$501,F303,$E$2:$E$501,"sim",$C$2:$C$501,"&lt;"&amp;J303,$J$2:$J$501,"&gt;"&amp;C303)-1))</x:f>
        <x:v>0</x:v>
      </x:c>
      <x:c r="L303" s="27" t="n">
        <x:f>IF(A303="","",IF(E303&lt;&gt;"sim",0,COUNTIFS($B$2:$B$501,B303,$A$2:$A$501,A303,$E$2:$E$501,"sim",$C$2:$C$501,"&lt;"&amp;J303,$J$2:$J$501,"&gt;"&amp;C303)-1))</x:f>
        <x:v>0</x:v>
      </x:c>
      <x:c r="M303" s="2" t="str">
        <x:f>IF(A303="","",IF(E303&lt;&gt;"sim","Revisar escala",IF(OR(K303&gt;0,L303&gt;0),"Conflito de escala",IF(COUNTIFS('Solicitacoes'!$F$2:$F$501,B303,'Solicitacoes'!$K$2:$K$501,F303,'Solicitacoes'!$I$2:$I$501,"pendente",'Solicitacoes'!$G$2:$G$501,"&lt;"&amp;J303,'Solicitacoes'!$N$2:$N$501,"&gt;"&amp;C303)+COUNTIFS('Solicitacoes'!$F$2:$F$501,B303,'Solicitacoes'!$E$2:$E$501,A303,'Solicitacoes'!$I$2:$I$501,"pendente",'Solicitacoes'!$G$2:$G$501,"&lt;"&amp;J303,'Solicitacoes'!$N$2:$N$501,"&gt;"&amp;C303)+COUNTIFS('Solicitacoes'!$F$2:$F$501,B303,'Solicitacoes'!$K$2:$K$501,F303,'Solicitacoes'!$I$2:$I$501,"confirmado",'Solicitacoes'!$G$2:$G$501,"&lt;"&amp;J303,'Solicitacoes'!$N$2:$N$501,"&gt;"&amp;C303)+COUNTIFS('Solicitacoes'!$F$2:$F$501,B303,'Solicitacoes'!$E$2:$E$501,A303,'Solicitacoes'!$I$2:$I$501,"confirmado",'Solicitacoes'!$G$2:$G$501,"&lt;"&amp;J303,'Solicitacoes'!$N$2:$N$501,"&gt;"&amp;C303)&gt;0,"Ocupado","Disponível"))))</x:f>
        <x:v>Revisar escala</x:v>
      </x:c>
      <x:c r="N303" s="2" t="n">
        <x:f>IF(A303="","",ROW()-1)</x:f>
        <x:v>302</x:v>
      </x:c>
    </x:row>
    <x:row r="304" ht="24" customHeight="1">
      <x:c r="A304" s="13" t="str">
        <x:v>Aline Reis</x:v>
      </x:c>
      <x:c r="B304" s="14" t="d">
        <x:v>2026-10-22T00:00:00.000Z</x:v>
      </x:c>
      <x:c r="C304" s="26" t="n">
        <x:v>0.7083333333333334</x:v>
      </x:c>
      <x:c r="D304" s="13" t="str">
        <x:v>presencial</x:v>
      </x:c>
      <x:c r="E304" s="13" t="str">
        <x:v>não</x:v>
      </x:c>
      <x:c r="F304" s="13" t="str">
        <x:v>Sala 1</x:v>
      </x:c>
      <x:c r="G304" s="12" t="n">
        <x:f>IF(A304="","",'Agenda'!$B$5)</x:f>
        <x:v>50</x:v>
      </x:c>
      <x:c r="H304" s="12" t="n">
        <x:f>IF(A304="","",'Agenda'!$B$6)</x:f>
        <x:v>10</x:v>
      </x:c>
      <x:c r="I304" s="24" t="n">
        <x:f>IF(A304="","",C304+G304/1440)</x:f>
        <x:v>0.7430555555555556</x:v>
      </x:c>
      <x:c r="J304" s="24" t="n">
        <x:f>IF(A304="","",C304+(G304+H304)/1440)</x:f>
        <x:v>0.75</x:v>
      </x:c>
      <x:c r="K304" s="27" t="n">
        <x:f>IF(A304="","",IF(E304&lt;&gt;"sim",0,COUNTIFS($B$2:$B$501,B304,$F$2:$F$501,F304,$E$2:$E$501,"sim",$C$2:$C$501,"&lt;"&amp;J304,$J$2:$J$501,"&gt;"&amp;C304)-1))</x:f>
        <x:v>0</x:v>
      </x:c>
      <x:c r="L304" s="27" t="n">
        <x:f>IF(A304="","",IF(E304&lt;&gt;"sim",0,COUNTIFS($B$2:$B$501,B304,$A$2:$A$501,A304,$E$2:$E$501,"sim",$C$2:$C$501,"&lt;"&amp;J304,$J$2:$J$501,"&gt;"&amp;C304)-1))</x:f>
        <x:v>0</x:v>
      </x:c>
      <x:c r="M304" s="2" t="str">
        <x:f>IF(A304="","",IF(E304&lt;&gt;"sim","Revisar escala",IF(OR(K304&gt;0,L304&gt;0),"Conflito de escala",IF(COUNTIFS('Solicitacoes'!$F$2:$F$501,B304,'Solicitacoes'!$K$2:$K$501,F304,'Solicitacoes'!$I$2:$I$501,"pendente",'Solicitacoes'!$G$2:$G$501,"&lt;"&amp;J304,'Solicitacoes'!$N$2:$N$501,"&gt;"&amp;C304)+COUNTIFS('Solicitacoes'!$F$2:$F$501,B304,'Solicitacoes'!$E$2:$E$501,A304,'Solicitacoes'!$I$2:$I$501,"pendente",'Solicitacoes'!$G$2:$G$501,"&lt;"&amp;J304,'Solicitacoes'!$N$2:$N$501,"&gt;"&amp;C304)+COUNTIFS('Solicitacoes'!$F$2:$F$501,B304,'Solicitacoes'!$K$2:$K$501,F304,'Solicitacoes'!$I$2:$I$501,"confirmado",'Solicitacoes'!$G$2:$G$501,"&lt;"&amp;J304,'Solicitacoes'!$N$2:$N$501,"&gt;"&amp;C304)+COUNTIFS('Solicitacoes'!$F$2:$F$501,B304,'Solicitacoes'!$E$2:$E$501,A304,'Solicitacoes'!$I$2:$I$501,"confirmado",'Solicitacoes'!$G$2:$G$501,"&lt;"&amp;J304,'Solicitacoes'!$N$2:$N$501,"&gt;"&amp;C304)&gt;0,"Ocupado","Disponível"))))</x:f>
        <x:v>Revisar escala</x:v>
      </x:c>
      <x:c r="N304" s="2" t="n">
        <x:f>IF(A304="","",ROW()-1)</x:f>
        <x:v>303</x:v>
      </x:c>
    </x:row>
    <x:row r="305" ht="24" customHeight="1">
      <x:c r="A305" s="13" t="str">
        <x:v>Géssyca Martins</x:v>
      </x:c>
      <x:c r="B305" s="14" t="d">
        <x:v>2026-10-22T00:00:00.000Z</x:v>
      </x:c>
      <x:c r="C305" s="26" t="n">
        <x:v>0.7083333333333334</x:v>
      </x:c>
      <x:c r="D305" s="13" t="str">
        <x:v>presencial</x:v>
      </x:c>
      <x:c r="E305" s="13" t="str">
        <x:v>não</x:v>
      </x:c>
      <x:c r="F305" s="13" t="str">
        <x:v>Sala 2</x:v>
      </x:c>
      <x:c r="G305" s="12" t="n">
        <x:f>IF(A305="","",'Agenda'!$B$5)</x:f>
        <x:v>50</x:v>
      </x:c>
      <x:c r="H305" s="12" t="n">
        <x:f>IF(A305="","",'Agenda'!$B$6)</x:f>
        <x:v>10</x:v>
      </x:c>
      <x:c r="I305" s="24" t="n">
        <x:f>IF(A305="","",C305+G305/1440)</x:f>
        <x:v>0.7430555555555556</x:v>
      </x:c>
      <x:c r="J305" s="24" t="n">
        <x:f>IF(A305="","",C305+(G305+H305)/1440)</x:f>
        <x:v>0.75</x:v>
      </x:c>
      <x:c r="K305" s="27" t="n">
        <x:f>IF(A305="","",IF(E305&lt;&gt;"sim",0,COUNTIFS($B$2:$B$501,B305,$F$2:$F$501,F305,$E$2:$E$501,"sim",$C$2:$C$501,"&lt;"&amp;J305,$J$2:$J$501,"&gt;"&amp;C305)-1))</x:f>
        <x:v>0</x:v>
      </x:c>
      <x:c r="L305" s="27" t="n">
        <x:f>IF(A305="","",IF(E305&lt;&gt;"sim",0,COUNTIFS($B$2:$B$501,B305,$A$2:$A$501,A305,$E$2:$E$501,"sim",$C$2:$C$501,"&lt;"&amp;J305,$J$2:$J$501,"&gt;"&amp;C305)-1))</x:f>
        <x:v>0</x:v>
      </x:c>
      <x:c r="M305" s="2" t="str">
        <x:f>IF(A305="","",IF(E305&lt;&gt;"sim","Revisar escala",IF(OR(K305&gt;0,L305&gt;0),"Conflito de escala",IF(COUNTIFS('Solicitacoes'!$F$2:$F$501,B305,'Solicitacoes'!$K$2:$K$501,F305,'Solicitacoes'!$I$2:$I$501,"pendente",'Solicitacoes'!$G$2:$G$501,"&lt;"&amp;J305,'Solicitacoes'!$N$2:$N$501,"&gt;"&amp;C305)+COUNTIFS('Solicitacoes'!$F$2:$F$501,B305,'Solicitacoes'!$E$2:$E$501,A305,'Solicitacoes'!$I$2:$I$501,"pendente",'Solicitacoes'!$G$2:$G$501,"&lt;"&amp;J305,'Solicitacoes'!$N$2:$N$501,"&gt;"&amp;C305)+COUNTIFS('Solicitacoes'!$F$2:$F$501,B305,'Solicitacoes'!$K$2:$K$501,F305,'Solicitacoes'!$I$2:$I$501,"confirmado",'Solicitacoes'!$G$2:$G$501,"&lt;"&amp;J305,'Solicitacoes'!$N$2:$N$501,"&gt;"&amp;C305)+COUNTIFS('Solicitacoes'!$F$2:$F$501,B305,'Solicitacoes'!$E$2:$E$501,A305,'Solicitacoes'!$I$2:$I$501,"confirmado",'Solicitacoes'!$G$2:$G$501,"&lt;"&amp;J305,'Solicitacoes'!$N$2:$N$501,"&gt;"&amp;C305)&gt;0,"Ocupado","Disponível"))))</x:f>
        <x:v>Revisar escala</x:v>
      </x:c>
      <x:c r="N305" s="2" t="n">
        <x:f>IF(A305="","",ROW()-1)</x:f>
        <x:v>304</x:v>
      </x:c>
    </x:row>
    <x:row r="306" ht="24" customHeight="1">
      <x:c r="A306" s="13" t="str">
        <x:v>Aline Reis</x:v>
      </x:c>
      <x:c r="B306" s="14" t="d">
        <x:v>2026-10-22T00:00:00.000Z</x:v>
      </x:c>
      <x:c r="C306" s="26" t="n">
        <x:v>0.75</x:v>
      </x:c>
      <x:c r="D306" s="13" t="str">
        <x:v>presencial</x:v>
      </x:c>
      <x:c r="E306" s="13" t="str">
        <x:v>não</x:v>
      </x:c>
      <x:c r="F306" s="13" t="str">
        <x:v>Sala 1</x:v>
      </x:c>
      <x:c r="G306" s="12" t="n">
        <x:f>IF(A306="","",'Agenda'!$B$5)</x:f>
        <x:v>50</x:v>
      </x:c>
      <x:c r="H306" s="12" t="n">
        <x:f>IF(A306="","",'Agenda'!$B$6)</x:f>
        <x:v>10</x:v>
      </x:c>
      <x:c r="I306" s="24" t="n">
        <x:f>IF(A306="","",C306+G306/1440)</x:f>
        <x:v>0.7847222222222222</x:v>
      </x:c>
      <x:c r="J306" s="24" t="n">
        <x:f>IF(A306="","",C306+(G306+H306)/1440)</x:f>
        <x:v>0.7916666666666666</x:v>
      </x:c>
      <x:c r="K306" s="27" t="n">
        <x:f>IF(A306="","",IF(E306&lt;&gt;"sim",0,COUNTIFS($B$2:$B$501,B306,$F$2:$F$501,F306,$E$2:$E$501,"sim",$C$2:$C$501,"&lt;"&amp;J306,$J$2:$J$501,"&gt;"&amp;C306)-1))</x:f>
        <x:v>0</x:v>
      </x:c>
      <x:c r="L306" s="27" t="n">
        <x:f>IF(A306="","",IF(E306&lt;&gt;"sim",0,COUNTIFS($B$2:$B$501,B306,$A$2:$A$501,A306,$E$2:$E$501,"sim",$C$2:$C$501,"&lt;"&amp;J306,$J$2:$J$501,"&gt;"&amp;C306)-1))</x:f>
        <x:v>0</x:v>
      </x:c>
      <x:c r="M306" s="2" t="str">
        <x:f>IF(A306="","",IF(E306&lt;&gt;"sim","Revisar escala",IF(OR(K306&gt;0,L306&gt;0),"Conflito de escala",IF(COUNTIFS('Solicitacoes'!$F$2:$F$501,B306,'Solicitacoes'!$K$2:$K$501,F306,'Solicitacoes'!$I$2:$I$501,"pendente",'Solicitacoes'!$G$2:$G$501,"&lt;"&amp;J306,'Solicitacoes'!$N$2:$N$501,"&gt;"&amp;C306)+COUNTIFS('Solicitacoes'!$F$2:$F$501,B306,'Solicitacoes'!$E$2:$E$501,A306,'Solicitacoes'!$I$2:$I$501,"pendente",'Solicitacoes'!$G$2:$G$501,"&lt;"&amp;J306,'Solicitacoes'!$N$2:$N$501,"&gt;"&amp;C306)+COUNTIFS('Solicitacoes'!$F$2:$F$501,B306,'Solicitacoes'!$K$2:$K$501,F306,'Solicitacoes'!$I$2:$I$501,"confirmado",'Solicitacoes'!$G$2:$G$501,"&lt;"&amp;J306,'Solicitacoes'!$N$2:$N$501,"&gt;"&amp;C306)+COUNTIFS('Solicitacoes'!$F$2:$F$501,B306,'Solicitacoes'!$E$2:$E$501,A306,'Solicitacoes'!$I$2:$I$501,"confirmado",'Solicitacoes'!$G$2:$G$501,"&lt;"&amp;J306,'Solicitacoes'!$N$2:$N$501,"&gt;"&amp;C306)&gt;0,"Ocupado","Disponível"))))</x:f>
        <x:v>Revisar escala</x:v>
      </x:c>
      <x:c r="N306" s="2" t="n">
        <x:f>IF(A306="","",ROW()-1)</x:f>
        <x:v>305</x:v>
      </x:c>
    </x:row>
    <x:row r="307" ht="24" customHeight="1">
      <x:c r="A307" s="13" t="str">
        <x:v>Géssyca Martins</x:v>
      </x:c>
      <x:c r="B307" s="14" t="d">
        <x:v>2026-10-22T00:00:00.000Z</x:v>
      </x:c>
      <x:c r="C307" s="26" t="n">
        <x:v>0.75</x:v>
      </x:c>
      <x:c r="D307" s="13" t="str">
        <x:v>presencial</x:v>
      </x:c>
      <x:c r="E307" s="13" t="str">
        <x:v>não</x:v>
      </x:c>
      <x:c r="F307" s="13" t="str">
        <x:v>Sala 2</x:v>
      </x:c>
      <x:c r="G307" s="12" t="n">
        <x:f>IF(A307="","",'Agenda'!$B$5)</x:f>
        <x:v>50</x:v>
      </x:c>
      <x:c r="H307" s="12" t="n">
        <x:f>IF(A307="","",'Agenda'!$B$6)</x:f>
        <x:v>10</x:v>
      </x:c>
      <x:c r="I307" s="24" t="n">
        <x:f>IF(A307="","",C307+G307/1440)</x:f>
        <x:v>0.7847222222222222</x:v>
      </x:c>
      <x:c r="J307" s="24" t="n">
        <x:f>IF(A307="","",C307+(G307+H307)/1440)</x:f>
        <x:v>0.7916666666666666</x:v>
      </x:c>
      <x:c r="K307" s="27" t="n">
        <x:f>IF(A307="","",IF(E307&lt;&gt;"sim",0,COUNTIFS($B$2:$B$501,B307,$F$2:$F$501,F307,$E$2:$E$501,"sim",$C$2:$C$501,"&lt;"&amp;J307,$J$2:$J$501,"&gt;"&amp;C307)-1))</x:f>
        <x:v>0</x:v>
      </x:c>
      <x:c r="L307" s="27" t="n">
        <x:f>IF(A307="","",IF(E307&lt;&gt;"sim",0,COUNTIFS($B$2:$B$501,B307,$A$2:$A$501,A307,$E$2:$E$501,"sim",$C$2:$C$501,"&lt;"&amp;J307,$J$2:$J$501,"&gt;"&amp;C307)-1))</x:f>
        <x:v>0</x:v>
      </x:c>
      <x:c r="M307" s="2" t="str">
        <x:f>IF(A307="","",IF(E307&lt;&gt;"sim","Revisar escala",IF(OR(K307&gt;0,L307&gt;0),"Conflito de escala",IF(COUNTIFS('Solicitacoes'!$F$2:$F$501,B307,'Solicitacoes'!$K$2:$K$501,F307,'Solicitacoes'!$I$2:$I$501,"pendente",'Solicitacoes'!$G$2:$G$501,"&lt;"&amp;J307,'Solicitacoes'!$N$2:$N$501,"&gt;"&amp;C307)+COUNTIFS('Solicitacoes'!$F$2:$F$501,B307,'Solicitacoes'!$E$2:$E$501,A307,'Solicitacoes'!$I$2:$I$501,"pendente",'Solicitacoes'!$G$2:$G$501,"&lt;"&amp;J307,'Solicitacoes'!$N$2:$N$501,"&gt;"&amp;C307)+COUNTIFS('Solicitacoes'!$F$2:$F$501,B307,'Solicitacoes'!$K$2:$K$501,F307,'Solicitacoes'!$I$2:$I$501,"confirmado",'Solicitacoes'!$G$2:$G$501,"&lt;"&amp;J307,'Solicitacoes'!$N$2:$N$501,"&gt;"&amp;C307)+COUNTIFS('Solicitacoes'!$F$2:$F$501,B307,'Solicitacoes'!$E$2:$E$501,A307,'Solicitacoes'!$I$2:$I$501,"confirmado",'Solicitacoes'!$G$2:$G$501,"&lt;"&amp;J307,'Solicitacoes'!$N$2:$N$501,"&gt;"&amp;C307)&gt;0,"Ocupado","Disponível"))))</x:f>
        <x:v>Revisar escala</x:v>
      </x:c>
      <x:c r="N307" s="2" t="n">
        <x:f>IF(A307="","",ROW()-1)</x:f>
        <x:v>306</x:v>
      </x:c>
    </x:row>
    <x:row r="308" ht="24" customHeight="1">
      <x:c r="A308" s="13" t="str">
        <x:v>Aline Reis</x:v>
      </x:c>
      <x:c r="B308" s="14" t="d">
        <x:v>2026-10-22T00:00:00.000Z</x:v>
      </x:c>
      <x:c r="C308" s="26" t="n">
        <x:v>0.7916666666666666</x:v>
      </x:c>
      <x:c r="D308" s="13" t="str">
        <x:v>presencial</x:v>
      </x:c>
      <x:c r="E308" s="13" t="str">
        <x:v>não</x:v>
      </x:c>
      <x:c r="F308" s="13" t="str">
        <x:v>Sala 1</x:v>
      </x:c>
      <x:c r="G308" s="12" t="n">
        <x:f>IF(A308="","",'Agenda'!$B$5)</x:f>
        <x:v>50</x:v>
      </x:c>
      <x:c r="H308" s="12" t="n">
        <x:f>IF(A308="","",'Agenda'!$B$6)</x:f>
        <x:v>10</x:v>
      </x:c>
      <x:c r="I308" s="24" t="n">
        <x:f>IF(A308="","",C308+G308/1440)</x:f>
        <x:v>0.8263888888888888</x:v>
      </x:c>
      <x:c r="J308" s="24" t="n">
        <x:f>IF(A308="","",C308+(G308+H308)/1440)</x:f>
        <x:v>0.8333333333333333</x:v>
      </x:c>
      <x:c r="K308" s="27" t="n">
        <x:f>IF(A308="","",IF(E308&lt;&gt;"sim",0,COUNTIFS($B$2:$B$501,B308,$F$2:$F$501,F308,$E$2:$E$501,"sim",$C$2:$C$501,"&lt;"&amp;J308,$J$2:$J$501,"&gt;"&amp;C308)-1))</x:f>
        <x:v>0</x:v>
      </x:c>
      <x:c r="L308" s="27" t="n">
        <x:f>IF(A308="","",IF(E308&lt;&gt;"sim",0,COUNTIFS($B$2:$B$501,B308,$A$2:$A$501,A308,$E$2:$E$501,"sim",$C$2:$C$501,"&lt;"&amp;J308,$J$2:$J$501,"&gt;"&amp;C308)-1))</x:f>
        <x:v>0</x:v>
      </x:c>
      <x:c r="M308" s="2" t="str">
        <x:f>IF(A308="","",IF(E308&lt;&gt;"sim","Revisar escala",IF(OR(K308&gt;0,L308&gt;0),"Conflito de escala",IF(COUNTIFS('Solicitacoes'!$F$2:$F$501,B308,'Solicitacoes'!$K$2:$K$501,F308,'Solicitacoes'!$I$2:$I$501,"pendente",'Solicitacoes'!$G$2:$G$501,"&lt;"&amp;J308,'Solicitacoes'!$N$2:$N$501,"&gt;"&amp;C308)+COUNTIFS('Solicitacoes'!$F$2:$F$501,B308,'Solicitacoes'!$E$2:$E$501,A308,'Solicitacoes'!$I$2:$I$501,"pendente",'Solicitacoes'!$G$2:$G$501,"&lt;"&amp;J308,'Solicitacoes'!$N$2:$N$501,"&gt;"&amp;C308)+COUNTIFS('Solicitacoes'!$F$2:$F$501,B308,'Solicitacoes'!$K$2:$K$501,F308,'Solicitacoes'!$I$2:$I$501,"confirmado",'Solicitacoes'!$G$2:$G$501,"&lt;"&amp;J308,'Solicitacoes'!$N$2:$N$501,"&gt;"&amp;C308)+COUNTIFS('Solicitacoes'!$F$2:$F$501,B308,'Solicitacoes'!$E$2:$E$501,A308,'Solicitacoes'!$I$2:$I$501,"confirmado",'Solicitacoes'!$G$2:$G$501,"&lt;"&amp;J308,'Solicitacoes'!$N$2:$N$501,"&gt;"&amp;C308)&gt;0,"Ocupado","Disponível"))))</x:f>
        <x:v>Revisar escala</x:v>
      </x:c>
      <x:c r="N308" s="2" t="n">
        <x:f>IF(A308="","",ROW()-1)</x:f>
        <x:v>307</x:v>
      </x:c>
    </x:row>
    <x:row r="309" ht="24" customHeight="1">
      <x:c r="A309" s="13" t="str">
        <x:v>Géssyca Martins</x:v>
      </x:c>
      <x:c r="B309" s="14" t="d">
        <x:v>2026-10-22T00:00:00.000Z</x:v>
      </x:c>
      <x:c r="C309" s="26" t="n">
        <x:v>0.7916666666666666</x:v>
      </x:c>
      <x:c r="D309" s="13" t="str">
        <x:v>presencial</x:v>
      </x:c>
      <x:c r="E309" s="13" t="str">
        <x:v>não</x:v>
      </x:c>
      <x:c r="F309" s="13" t="str">
        <x:v>Sala 2</x:v>
      </x:c>
      <x:c r="G309" s="12" t="n">
        <x:f>IF(A309="","",'Agenda'!$B$5)</x:f>
        <x:v>50</x:v>
      </x:c>
      <x:c r="H309" s="12" t="n">
        <x:f>IF(A309="","",'Agenda'!$B$6)</x:f>
        <x:v>10</x:v>
      </x:c>
      <x:c r="I309" s="24" t="n">
        <x:f>IF(A309="","",C309+G309/1440)</x:f>
        <x:v>0.8263888888888888</x:v>
      </x:c>
      <x:c r="J309" s="24" t="n">
        <x:f>IF(A309="","",C309+(G309+H309)/1440)</x:f>
        <x:v>0.8333333333333333</x:v>
      </x:c>
      <x:c r="K309" s="27" t="n">
        <x:f>IF(A309="","",IF(E309&lt;&gt;"sim",0,COUNTIFS($B$2:$B$501,B309,$F$2:$F$501,F309,$E$2:$E$501,"sim",$C$2:$C$501,"&lt;"&amp;J309,$J$2:$J$501,"&gt;"&amp;C309)-1))</x:f>
        <x:v>0</x:v>
      </x:c>
      <x:c r="L309" s="27" t="n">
        <x:f>IF(A309="","",IF(E309&lt;&gt;"sim",0,COUNTIFS($B$2:$B$501,B309,$A$2:$A$501,A309,$E$2:$E$501,"sim",$C$2:$C$501,"&lt;"&amp;J309,$J$2:$J$501,"&gt;"&amp;C309)-1))</x:f>
        <x:v>0</x:v>
      </x:c>
      <x:c r="M309" s="2" t="str">
        <x:f>IF(A309="","",IF(E309&lt;&gt;"sim","Revisar escala",IF(OR(K309&gt;0,L309&gt;0),"Conflito de escala",IF(COUNTIFS('Solicitacoes'!$F$2:$F$501,B309,'Solicitacoes'!$K$2:$K$501,F309,'Solicitacoes'!$I$2:$I$501,"pendente",'Solicitacoes'!$G$2:$G$501,"&lt;"&amp;J309,'Solicitacoes'!$N$2:$N$501,"&gt;"&amp;C309)+COUNTIFS('Solicitacoes'!$F$2:$F$501,B309,'Solicitacoes'!$E$2:$E$501,A309,'Solicitacoes'!$I$2:$I$501,"pendente",'Solicitacoes'!$G$2:$G$501,"&lt;"&amp;J309,'Solicitacoes'!$N$2:$N$501,"&gt;"&amp;C309)+COUNTIFS('Solicitacoes'!$F$2:$F$501,B309,'Solicitacoes'!$K$2:$K$501,F309,'Solicitacoes'!$I$2:$I$501,"confirmado",'Solicitacoes'!$G$2:$G$501,"&lt;"&amp;J309,'Solicitacoes'!$N$2:$N$501,"&gt;"&amp;C309)+COUNTIFS('Solicitacoes'!$F$2:$F$501,B309,'Solicitacoes'!$E$2:$E$501,A309,'Solicitacoes'!$I$2:$I$501,"confirmado",'Solicitacoes'!$G$2:$G$501,"&lt;"&amp;J309,'Solicitacoes'!$N$2:$N$501,"&gt;"&amp;C309)&gt;0,"Ocupado","Disponível"))))</x:f>
        <x:v>Revisar escala</x:v>
      </x:c>
      <x:c r="N309" s="2" t="n">
        <x:f>IF(A309="","",ROW()-1)</x:f>
        <x:v>308</x:v>
      </x:c>
    </x:row>
    <x:row r="310" ht="24" customHeight="1">
      <x:c r="A310" s="13" t="str">
        <x:v>Laura Casanova</x:v>
      </x:c>
      <x:c r="B310" s="14" t="d">
        <x:v>2026-10-23T00:00:00.000Z</x:v>
      </x:c>
      <x:c r="C310" s="26" t="n">
        <x:v>0.375</x:v>
      </x:c>
      <x:c r="D310" s="13" t="str">
        <x:v>presencial</x:v>
      </x:c>
      <x:c r="E310" s="13" t="str">
        <x:v>não</x:v>
      </x:c>
      <x:c r="F310" s="13" t="str">
        <x:v>Sala 1</x:v>
      </x:c>
      <x:c r="G310" s="12" t="n">
        <x:f>IF(A310="","",'Agenda'!$B$5)</x:f>
        <x:v>50</x:v>
      </x:c>
      <x:c r="H310" s="12" t="n">
        <x:f>IF(A310="","",'Agenda'!$B$6)</x:f>
        <x:v>10</x:v>
      </x:c>
      <x:c r="I310" s="24" t="n">
        <x:f>IF(A310="","",C310+G310/1440)</x:f>
        <x:v>0.4097222222222222</x:v>
      </x:c>
      <x:c r="J310" s="24" t="n">
        <x:f>IF(A310="","",C310+(G310+H310)/1440)</x:f>
        <x:v>0.4166666666666667</x:v>
      </x:c>
      <x:c r="K310" s="27" t="n">
        <x:f>IF(A310="","",IF(E310&lt;&gt;"sim",0,COUNTIFS($B$2:$B$501,B310,$F$2:$F$501,F310,$E$2:$E$501,"sim",$C$2:$C$501,"&lt;"&amp;J310,$J$2:$J$501,"&gt;"&amp;C310)-1))</x:f>
        <x:v>0</x:v>
      </x:c>
      <x:c r="L310" s="27" t="n">
        <x:f>IF(A310="","",IF(E310&lt;&gt;"sim",0,COUNTIFS($B$2:$B$501,B310,$A$2:$A$501,A310,$E$2:$E$501,"sim",$C$2:$C$501,"&lt;"&amp;J310,$J$2:$J$501,"&gt;"&amp;C310)-1))</x:f>
        <x:v>0</x:v>
      </x:c>
      <x:c r="M310" s="2" t="str">
        <x:f>IF(A310="","",IF(E310&lt;&gt;"sim","Revisar escala",IF(OR(K310&gt;0,L310&gt;0),"Conflito de escala",IF(COUNTIFS('Solicitacoes'!$F$2:$F$501,B310,'Solicitacoes'!$K$2:$K$501,F310,'Solicitacoes'!$I$2:$I$501,"pendente",'Solicitacoes'!$G$2:$G$501,"&lt;"&amp;J310,'Solicitacoes'!$N$2:$N$501,"&gt;"&amp;C310)+COUNTIFS('Solicitacoes'!$F$2:$F$501,B310,'Solicitacoes'!$E$2:$E$501,A310,'Solicitacoes'!$I$2:$I$501,"pendente",'Solicitacoes'!$G$2:$G$501,"&lt;"&amp;J310,'Solicitacoes'!$N$2:$N$501,"&gt;"&amp;C310)+COUNTIFS('Solicitacoes'!$F$2:$F$501,B310,'Solicitacoes'!$K$2:$K$501,F310,'Solicitacoes'!$I$2:$I$501,"confirmado",'Solicitacoes'!$G$2:$G$501,"&lt;"&amp;J310,'Solicitacoes'!$N$2:$N$501,"&gt;"&amp;C310)+COUNTIFS('Solicitacoes'!$F$2:$F$501,B310,'Solicitacoes'!$E$2:$E$501,A310,'Solicitacoes'!$I$2:$I$501,"confirmado",'Solicitacoes'!$G$2:$G$501,"&lt;"&amp;J310,'Solicitacoes'!$N$2:$N$501,"&gt;"&amp;C310)&gt;0,"Ocupado","Disponível"))))</x:f>
        <x:v>Revisar escala</x:v>
      </x:c>
      <x:c r="N310" s="2" t="n">
        <x:f>IF(A310="","",ROW()-1)</x:f>
        <x:v>309</x:v>
      </x:c>
    </x:row>
    <x:row r="311" ht="24" customHeight="1">
      <x:c r="A311" s="13" t="str">
        <x:v>Aline Reis</x:v>
      </x:c>
      <x:c r="B311" s="14" t="d">
        <x:v>2026-10-23T00:00:00.000Z</x:v>
      </x:c>
      <x:c r="C311" s="26" t="n">
        <x:v>0.375</x:v>
      </x:c>
      <x:c r="D311" s="13" t="str">
        <x:v>presencial</x:v>
      </x:c>
      <x:c r="E311" s="13" t="str">
        <x:v>não</x:v>
      </x:c>
      <x:c r="F311" s="13" t="str">
        <x:v>Sala 2</x:v>
      </x:c>
      <x:c r="G311" s="12" t="n">
        <x:f>IF(A311="","",'Agenda'!$B$5)</x:f>
        <x:v>50</x:v>
      </x:c>
      <x:c r="H311" s="12" t="n">
        <x:f>IF(A311="","",'Agenda'!$B$6)</x:f>
        <x:v>10</x:v>
      </x:c>
      <x:c r="I311" s="24" t="n">
        <x:f>IF(A311="","",C311+G311/1440)</x:f>
        <x:v>0.4097222222222222</x:v>
      </x:c>
      <x:c r="J311" s="24" t="n">
        <x:f>IF(A311="","",C311+(G311+H311)/1440)</x:f>
        <x:v>0.4166666666666667</x:v>
      </x:c>
      <x:c r="K311" s="27" t="n">
        <x:f>IF(A311="","",IF(E311&lt;&gt;"sim",0,COUNTIFS($B$2:$B$501,B311,$F$2:$F$501,F311,$E$2:$E$501,"sim",$C$2:$C$501,"&lt;"&amp;J311,$J$2:$J$501,"&gt;"&amp;C311)-1))</x:f>
        <x:v>0</x:v>
      </x:c>
      <x:c r="L311" s="27" t="n">
        <x:f>IF(A311="","",IF(E311&lt;&gt;"sim",0,COUNTIFS($B$2:$B$501,B311,$A$2:$A$501,A311,$E$2:$E$501,"sim",$C$2:$C$501,"&lt;"&amp;J311,$J$2:$J$501,"&gt;"&amp;C311)-1))</x:f>
        <x:v>0</x:v>
      </x:c>
      <x:c r="M311" s="2" t="str">
        <x:f>IF(A311="","",IF(E311&lt;&gt;"sim","Revisar escala",IF(OR(K311&gt;0,L311&gt;0),"Conflito de escala",IF(COUNTIFS('Solicitacoes'!$F$2:$F$501,B311,'Solicitacoes'!$K$2:$K$501,F311,'Solicitacoes'!$I$2:$I$501,"pendente",'Solicitacoes'!$G$2:$G$501,"&lt;"&amp;J311,'Solicitacoes'!$N$2:$N$501,"&gt;"&amp;C311)+COUNTIFS('Solicitacoes'!$F$2:$F$501,B311,'Solicitacoes'!$E$2:$E$501,A311,'Solicitacoes'!$I$2:$I$501,"pendente",'Solicitacoes'!$G$2:$G$501,"&lt;"&amp;J311,'Solicitacoes'!$N$2:$N$501,"&gt;"&amp;C311)+COUNTIFS('Solicitacoes'!$F$2:$F$501,B311,'Solicitacoes'!$K$2:$K$501,F311,'Solicitacoes'!$I$2:$I$501,"confirmado",'Solicitacoes'!$G$2:$G$501,"&lt;"&amp;J311,'Solicitacoes'!$N$2:$N$501,"&gt;"&amp;C311)+COUNTIFS('Solicitacoes'!$F$2:$F$501,B311,'Solicitacoes'!$E$2:$E$501,A311,'Solicitacoes'!$I$2:$I$501,"confirmado",'Solicitacoes'!$G$2:$G$501,"&lt;"&amp;J311,'Solicitacoes'!$N$2:$N$501,"&gt;"&amp;C311)&gt;0,"Ocupado","Disponível"))))</x:f>
        <x:v>Revisar escala</x:v>
      </x:c>
      <x:c r="N311" s="2" t="n">
        <x:f>IF(A311="","",ROW()-1)</x:f>
        <x:v>310</x:v>
      </x:c>
    </x:row>
    <x:row r="312" ht="24" customHeight="1">
      <x:c r="A312" s="13" t="str">
        <x:v>Laura Casanova</x:v>
      </x:c>
      <x:c r="B312" s="14" t="d">
        <x:v>2026-10-23T00:00:00.000Z</x:v>
      </x:c>
      <x:c r="C312" s="26" t="n">
        <x:v>0.4166666666666667</x:v>
      </x:c>
      <x:c r="D312" s="13" t="str">
        <x:v>presencial</x:v>
      </x:c>
      <x:c r="E312" s="13" t="str">
        <x:v>não</x:v>
      </x:c>
      <x:c r="F312" s="13" t="str">
        <x:v>Sala 1</x:v>
      </x:c>
      <x:c r="G312" s="12" t="n">
        <x:f>IF(A312="","",'Agenda'!$B$5)</x:f>
        <x:v>50</x:v>
      </x:c>
      <x:c r="H312" s="12" t="n">
        <x:f>IF(A312="","",'Agenda'!$B$6)</x:f>
        <x:v>10</x:v>
      </x:c>
      <x:c r="I312" s="24" t="n">
        <x:f>IF(A312="","",C312+G312/1440)</x:f>
        <x:v>0.4513888888888889</x:v>
      </x:c>
      <x:c r="J312" s="24" t="n">
        <x:f>IF(A312="","",C312+(G312+H312)/1440)</x:f>
        <x:v>0.45833333333333337</x:v>
      </x:c>
      <x:c r="K312" s="27" t="n">
        <x:f>IF(A312="","",IF(E312&lt;&gt;"sim",0,COUNTIFS($B$2:$B$501,B312,$F$2:$F$501,F312,$E$2:$E$501,"sim",$C$2:$C$501,"&lt;"&amp;J312,$J$2:$J$501,"&gt;"&amp;C312)-1))</x:f>
        <x:v>0</x:v>
      </x:c>
      <x:c r="L312" s="27" t="n">
        <x:f>IF(A312="","",IF(E312&lt;&gt;"sim",0,COUNTIFS($B$2:$B$501,B312,$A$2:$A$501,A312,$E$2:$E$501,"sim",$C$2:$C$501,"&lt;"&amp;J312,$J$2:$J$501,"&gt;"&amp;C312)-1))</x:f>
        <x:v>0</x:v>
      </x:c>
      <x:c r="M312" s="2" t="str">
        <x:f>IF(A312="","",IF(E312&lt;&gt;"sim","Revisar escala",IF(OR(K312&gt;0,L312&gt;0),"Conflito de escala",IF(COUNTIFS('Solicitacoes'!$F$2:$F$501,B312,'Solicitacoes'!$K$2:$K$501,F312,'Solicitacoes'!$I$2:$I$501,"pendente",'Solicitacoes'!$G$2:$G$501,"&lt;"&amp;J312,'Solicitacoes'!$N$2:$N$501,"&gt;"&amp;C312)+COUNTIFS('Solicitacoes'!$F$2:$F$501,B312,'Solicitacoes'!$E$2:$E$501,A312,'Solicitacoes'!$I$2:$I$501,"pendente",'Solicitacoes'!$G$2:$G$501,"&lt;"&amp;J312,'Solicitacoes'!$N$2:$N$501,"&gt;"&amp;C312)+COUNTIFS('Solicitacoes'!$F$2:$F$501,B312,'Solicitacoes'!$K$2:$K$501,F312,'Solicitacoes'!$I$2:$I$501,"confirmado",'Solicitacoes'!$G$2:$G$501,"&lt;"&amp;J312,'Solicitacoes'!$N$2:$N$501,"&gt;"&amp;C312)+COUNTIFS('Solicitacoes'!$F$2:$F$501,B312,'Solicitacoes'!$E$2:$E$501,A312,'Solicitacoes'!$I$2:$I$501,"confirmado",'Solicitacoes'!$G$2:$G$501,"&lt;"&amp;J312,'Solicitacoes'!$N$2:$N$501,"&gt;"&amp;C312)&gt;0,"Ocupado","Disponível"))))</x:f>
        <x:v>Revisar escala</x:v>
      </x:c>
      <x:c r="N312" s="2" t="n">
        <x:f>IF(A312="","",ROW()-1)</x:f>
        <x:v>311</x:v>
      </x:c>
    </x:row>
    <x:row r="313" ht="24" customHeight="1">
      <x:c r="A313" s="13" t="str">
        <x:v>Aline Reis</x:v>
      </x:c>
      <x:c r="B313" s="14" t="d">
        <x:v>2026-10-23T00:00:00.000Z</x:v>
      </x:c>
      <x:c r="C313" s="26" t="n">
        <x:v>0.4166666666666667</x:v>
      </x:c>
      <x:c r="D313" s="13" t="str">
        <x:v>presencial</x:v>
      </x:c>
      <x:c r="E313" s="13" t="str">
        <x:v>não</x:v>
      </x:c>
      <x:c r="F313" s="13" t="str">
        <x:v>Sala 2</x:v>
      </x:c>
      <x:c r="G313" s="12" t="n">
        <x:f>IF(A313="","",'Agenda'!$B$5)</x:f>
        <x:v>50</x:v>
      </x:c>
      <x:c r="H313" s="12" t="n">
        <x:f>IF(A313="","",'Agenda'!$B$6)</x:f>
        <x:v>10</x:v>
      </x:c>
      <x:c r="I313" s="24" t="n">
        <x:f>IF(A313="","",C313+G313/1440)</x:f>
        <x:v>0.4513888888888889</x:v>
      </x:c>
      <x:c r="J313" s="24" t="n">
        <x:f>IF(A313="","",C313+(G313+H313)/1440)</x:f>
        <x:v>0.45833333333333337</x:v>
      </x:c>
      <x:c r="K313" s="27" t="n">
        <x:f>IF(A313="","",IF(E313&lt;&gt;"sim",0,COUNTIFS($B$2:$B$501,B313,$F$2:$F$501,F313,$E$2:$E$501,"sim",$C$2:$C$501,"&lt;"&amp;J313,$J$2:$J$501,"&gt;"&amp;C313)-1))</x:f>
        <x:v>0</x:v>
      </x:c>
      <x:c r="L313" s="27" t="n">
        <x:f>IF(A313="","",IF(E313&lt;&gt;"sim",0,COUNTIFS($B$2:$B$501,B313,$A$2:$A$501,A313,$E$2:$E$501,"sim",$C$2:$C$501,"&lt;"&amp;J313,$J$2:$J$501,"&gt;"&amp;C313)-1))</x:f>
        <x:v>0</x:v>
      </x:c>
      <x:c r="M313" s="2" t="str">
        <x:f>IF(A313="","",IF(E313&lt;&gt;"sim","Revisar escala",IF(OR(K313&gt;0,L313&gt;0),"Conflito de escala",IF(COUNTIFS('Solicitacoes'!$F$2:$F$501,B313,'Solicitacoes'!$K$2:$K$501,F313,'Solicitacoes'!$I$2:$I$501,"pendente",'Solicitacoes'!$G$2:$G$501,"&lt;"&amp;J313,'Solicitacoes'!$N$2:$N$501,"&gt;"&amp;C313)+COUNTIFS('Solicitacoes'!$F$2:$F$501,B313,'Solicitacoes'!$E$2:$E$501,A313,'Solicitacoes'!$I$2:$I$501,"pendente",'Solicitacoes'!$G$2:$G$501,"&lt;"&amp;J313,'Solicitacoes'!$N$2:$N$501,"&gt;"&amp;C313)+COUNTIFS('Solicitacoes'!$F$2:$F$501,B313,'Solicitacoes'!$K$2:$K$501,F313,'Solicitacoes'!$I$2:$I$501,"confirmado",'Solicitacoes'!$G$2:$G$501,"&lt;"&amp;J313,'Solicitacoes'!$N$2:$N$501,"&gt;"&amp;C313)+COUNTIFS('Solicitacoes'!$F$2:$F$501,B313,'Solicitacoes'!$E$2:$E$501,A313,'Solicitacoes'!$I$2:$I$501,"confirmado",'Solicitacoes'!$G$2:$G$501,"&lt;"&amp;J313,'Solicitacoes'!$N$2:$N$501,"&gt;"&amp;C313)&gt;0,"Ocupado","Disponível"))))</x:f>
        <x:v>Revisar escala</x:v>
      </x:c>
      <x:c r="N313" s="2" t="n">
        <x:f>IF(A313="","",ROW()-1)</x:f>
        <x:v>312</x:v>
      </x:c>
    </x:row>
    <x:row r="314" ht="24" customHeight="1">
      <x:c r="A314" s="13" t="str">
        <x:v>Laura Casanova</x:v>
      </x:c>
      <x:c r="B314" s="14" t="d">
        <x:v>2026-10-23T00:00:00.000Z</x:v>
      </x:c>
      <x:c r="C314" s="26" t="n">
        <x:v>0.4583333333333333</x:v>
      </x:c>
      <x:c r="D314" s="13" t="str">
        <x:v>presencial</x:v>
      </x:c>
      <x:c r="E314" s="13" t="str">
        <x:v>não</x:v>
      </x:c>
      <x:c r="F314" s="13" t="str">
        <x:v>Sala 1</x:v>
      </x:c>
      <x:c r="G314" s="12" t="n">
        <x:f>IF(A314="","",'Agenda'!$B$5)</x:f>
        <x:v>50</x:v>
      </x:c>
      <x:c r="H314" s="12" t="n">
        <x:f>IF(A314="","",'Agenda'!$B$6)</x:f>
        <x:v>10</x:v>
      </x:c>
      <x:c r="I314" s="24" t="n">
        <x:f>IF(A314="","",C314+G314/1440)</x:f>
        <x:v>0.4930555555555555</x:v>
      </x:c>
      <x:c r="J314" s="24" t="n">
        <x:f>IF(A314="","",C314+(G314+H314)/1440)</x:f>
        <x:v>0.5</x:v>
      </x:c>
      <x:c r="K314" s="27" t="n">
        <x:f>IF(A314="","",IF(E314&lt;&gt;"sim",0,COUNTIFS($B$2:$B$501,B314,$F$2:$F$501,F314,$E$2:$E$501,"sim",$C$2:$C$501,"&lt;"&amp;J314,$J$2:$J$501,"&gt;"&amp;C314)-1))</x:f>
        <x:v>0</x:v>
      </x:c>
      <x:c r="L314" s="27" t="n">
        <x:f>IF(A314="","",IF(E314&lt;&gt;"sim",0,COUNTIFS($B$2:$B$501,B314,$A$2:$A$501,A314,$E$2:$E$501,"sim",$C$2:$C$501,"&lt;"&amp;J314,$J$2:$J$501,"&gt;"&amp;C314)-1))</x:f>
        <x:v>0</x:v>
      </x:c>
      <x:c r="M314" s="2" t="str">
        <x:f>IF(A314="","",IF(E314&lt;&gt;"sim","Revisar escala",IF(OR(K314&gt;0,L314&gt;0),"Conflito de escala",IF(COUNTIFS('Solicitacoes'!$F$2:$F$501,B314,'Solicitacoes'!$K$2:$K$501,F314,'Solicitacoes'!$I$2:$I$501,"pendente",'Solicitacoes'!$G$2:$G$501,"&lt;"&amp;J314,'Solicitacoes'!$N$2:$N$501,"&gt;"&amp;C314)+COUNTIFS('Solicitacoes'!$F$2:$F$501,B314,'Solicitacoes'!$E$2:$E$501,A314,'Solicitacoes'!$I$2:$I$501,"pendente",'Solicitacoes'!$G$2:$G$501,"&lt;"&amp;J314,'Solicitacoes'!$N$2:$N$501,"&gt;"&amp;C314)+COUNTIFS('Solicitacoes'!$F$2:$F$501,B314,'Solicitacoes'!$K$2:$K$501,F314,'Solicitacoes'!$I$2:$I$501,"confirmado",'Solicitacoes'!$G$2:$G$501,"&lt;"&amp;J314,'Solicitacoes'!$N$2:$N$501,"&gt;"&amp;C314)+COUNTIFS('Solicitacoes'!$F$2:$F$501,B314,'Solicitacoes'!$E$2:$E$501,A314,'Solicitacoes'!$I$2:$I$501,"confirmado",'Solicitacoes'!$G$2:$G$501,"&lt;"&amp;J314,'Solicitacoes'!$N$2:$N$501,"&gt;"&amp;C314)&gt;0,"Ocupado","Disponível"))))</x:f>
        <x:v>Revisar escala</x:v>
      </x:c>
      <x:c r="N314" s="2" t="n">
        <x:f>IF(A314="","",ROW()-1)</x:f>
        <x:v>313</x:v>
      </x:c>
    </x:row>
    <x:row r="315" ht="24" customHeight="1">
      <x:c r="A315" s="13" t="str">
        <x:v>Aline Reis</x:v>
      </x:c>
      <x:c r="B315" s="14" t="d">
        <x:v>2026-10-23T00:00:00.000Z</x:v>
      </x:c>
      <x:c r="C315" s="26" t="n">
        <x:v>0.4583333333333333</x:v>
      </x:c>
      <x:c r="D315" s="13" t="str">
        <x:v>presencial</x:v>
      </x:c>
      <x:c r="E315" s="13" t="str">
        <x:v>não</x:v>
      </x:c>
      <x:c r="F315" s="13" t="str">
        <x:v>Sala 2</x:v>
      </x:c>
      <x:c r="G315" s="12" t="n">
        <x:f>IF(A315="","",'Agenda'!$B$5)</x:f>
        <x:v>50</x:v>
      </x:c>
      <x:c r="H315" s="12" t="n">
        <x:f>IF(A315="","",'Agenda'!$B$6)</x:f>
        <x:v>10</x:v>
      </x:c>
      <x:c r="I315" s="24" t="n">
        <x:f>IF(A315="","",C315+G315/1440)</x:f>
        <x:v>0.4930555555555555</x:v>
      </x:c>
      <x:c r="J315" s="24" t="n">
        <x:f>IF(A315="","",C315+(G315+H315)/1440)</x:f>
        <x:v>0.5</x:v>
      </x:c>
      <x:c r="K315" s="27" t="n">
        <x:f>IF(A315="","",IF(E315&lt;&gt;"sim",0,COUNTIFS($B$2:$B$501,B315,$F$2:$F$501,F315,$E$2:$E$501,"sim",$C$2:$C$501,"&lt;"&amp;J315,$J$2:$J$501,"&gt;"&amp;C315)-1))</x:f>
        <x:v>0</x:v>
      </x:c>
      <x:c r="L315" s="27" t="n">
        <x:f>IF(A315="","",IF(E315&lt;&gt;"sim",0,COUNTIFS($B$2:$B$501,B315,$A$2:$A$501,A315,$E$2:$E$501,"sim",$C$2:$C$501,"&lt;"&amp;J315,$J$2:$J$501,"&gt;"&amp;C315)-1))</x:f>
        <x:v>0</x:v>
      </x:c>
      <x:c r="M315" s="2" t="str">
        <x:f>IF(A315="","",IF(E315&lt;&gt;"sim","Revisar escala",IF(OR(K315&gt;0,L315&gt;0),"Conflito de escala",IF(COUNTIFS('Solicitacoes'!$F$2:$F$501,B315,'Solicitacoes'!$K$2:$K$501,F315,'Solicitacoes'!$I$2:$I$501,"pendente",'Solicitacoes'!$G$2:$G$501,"&lt;"&amp;J315,'Solicitacoes'!$N$2:$N$501,"&gt;"&amp;C315)+COUNTIFS('Solicitacoes'!$F$2:$F$501,B315,'Solicitacoes'!$E$2:$E$501,A315,'Solicitacoes'!$I$2:$I$501,"pendente",'Solicitacoes'!$G$2:$G$501,"&lt;"&amp;J315,'Solicitacoes'!$N$2:$N$501,"&gt;"&amp;C315)+COUNTIFS('Solicitacoes'!$F$2:$F$501,B315,'Solicitacoes'!$K$2:$K$501,F315,'Solicitacoes'!$I$2:$I$501,"confirmado",'Solicitacoes'!$G$2:$G$501,"&lt;"&amp;J315,'Solicitacoes'!$N$2:$N$501,"&gt;"&amp;C315)+COUNTIFS('Solicitacoes'!$F$2:$F$501,B315,'Solicitacoes'!$E$2:$E$501,A315,'Solicitacoes'!$I$2:$I$501,"confirmado",'Solicitacoes'!$G$2:$G$501,"&lt;"&amp;J315,'Solicitacoes'!$N$2:$N$501,"&gt;"&amp;C315)&gt;0,"Ocupado","Disponível"))))</x:f>
        <x:v>Revisar escala</x:v>
      </x:c>
      <x:c r="N315" s="2" t="n">
        <x:f>IF(A315="","",ROW()-1)</x:f>
        <x:v>314</x:v>
      </x:c>
    </x:row>
    <x:row r="316" ht="24" customHeight="1">
      <x:c r="A316" s="13" t="str">
        <x:v>Laura Casanova</x:v>
      </x:c>
      <x:c r="B316" s="14" t="d">
        <x:v>2026-10-23T00:00:00.000Z</x:v>
      </x:c>
      <x:c r="C316" s="26" t="n">
        <x:v>0.5</x:v>
      </x:c>
      <x:c r="D316" s="13" t="str">
        <x:v>presencial</x:v>
      </x:c>
      <x:c r="E316" s="13" t="str">
        <x:v>não</x:v>
      </x:c>
      <x:c r="F316" s="13" t="str">
        <x:v>Sala 1</x:v>
      </x:c>
      <x:c r="G316" s="12" t="n">
        <x:f>IF(A316="","",'Agenda'!$B$5)</x:f>
        <x:v>50</x:v>
      </x:c>
      <x:c r="H316" s="12" t="n">
        <x:f>IF(A316="","",'Agenda'!$B$6)</x:f>
        <x:v>10</x:v>
      </x:c>
      <x:c r="I316" s="24" t="n">
        <x:f>IF(A316="","",C316+G316/1440)</x:f>
        <x:v>0.5347222222222222</x:v>
      </x:c>
      <x:c r="J316" s="24" t="n">
        <x:f>IF(A316="","",C316+(G316+H316)/1440)</x:f>
        <x:v>0.5416666666666666</x:v>
      </x:c>
      <x:c r="K316" s="27" t="n">
        <x:f>IF(A316="","",IF(E316&lt;&gt;"sim",0,COUNTIFS($B$2:$B$501,B316,$F$2:$F$501,F316,$E$2:$E$501,"sim",$C$2:$C$501,"&lt;"&amp;J316,$J$2:$J$501,"&gt;"&amp;C316)-1))</x:f>
        <x:v>0</x:v>
      </x:c>
      <x:c r="L316" s="27" t="n">
        <x:f>IF(A316="","",IF(E316&lt;&gt;"sim",0,COUNTIFS($B$2:$B$501,B316,$A$2:$A$501,A316,$E$2:$E$501,"sim",$C$2:$C$501,"&lt;"&amp;J316,$J$2:$J$501,"&gt;"&amp;C316)-1))</x:f>
        <x:v>0</x:v>
      </x:c>
      <x:c r="M316" s="2" t="str">
        <x:f>IF(A316="","",IF(E316&lt;&gt;"sim","Revisar escala",IF(OR(K316&gt;0,L316&gt;0),"Conflito de escala",IF(COUNTIFS('Solicitacoes'!$F$2:$F$501,B316,'Solicitacoes'!$K$2:$K$501,F316,'Solicitacoes'!$I$2:$I$501,"pendente",'Solicitacoes'!$G$2:$G$501,"&lt;"&amp;J316,'Solicitacoes'!$N$2:$N$501,"&gt;"&amp;C316)+COUNTIFS('Solicitacoes'!$F$2:$F$501,B316,'Solicitacoes'!$E$2:$E$501,A316,'Solicitacoes'!$I$2:$I$501,"pendente",'Solicitacoes'!$G$2:$G$501,"&lt;"&amp;J316,'Solicitacoes'!$N$2:$N$501,"&gt;"&amp;C316)+COUNTIFS('Solicitacoes'!$F$2:$F$501,B316,'Solicitacoes'!$K$2:$K$501,F316,'Solicitacoes'!$I$2:$I$501,"confirmado",'Solicitacoes'!$G$2:$G$501,"&lt;"&amp;J316,'Solicitacoes'!$N$2:$N$501,"&gt;"&amp;C316)+COUNTIFS('Solicitacoes'!$F$2:$F$501,B316,'Solicitacoes'!$E$2:$E$501,A316,'Solicitacoes'!$I$2:$I$501,"confirmado",'Solicitacoes'!$G$2:$G$501,"&lt;"&amp;J316,'Solicitacoes'!$N$2:$N$501,"&gt;"&amp;C316)&gt;0,"Ocupado","Disponível"))))</x:f>
        <x:v>Revisar escala</x:v>
      </x:c>
      <x:c r="N316" s="2" t="n">
        <x:f>IF(A316="","",ROW()-1)</x:f>
        <x:v>315</x:v>
      </x:c>
    </x:row>
    <x:row r="317" ht="24" customHeight="1">
      <x:c r="A317" s="13" t="str">
        <x:v>Aline Reis</x:v>
      </x:c>
      <x:c r="B317" s="14" t="d">
        <x:v>2026-10-23T00:00:00.000Z</x:v>
      </x:c>
      <x:c r="C317" s="26" t="n">
        <x:v>0.5</x:v>
      </x:c>
      <x:c r="D317" s="13" t="str">
        <x:v>presencial</x:v>
      </x:c>
      <x:c r="E317" s="13" t="str">
        <x:v>não</x:v>
      </x:c>
      <x:c r="F317" s="13" t="str">
        <x:v>Sala 2</x:v>
      </x:c>
      <x:c r="G317" s="12" t="n">
        <x:f>IF(A317="","",'Agenda'!$B$5)</x:f>
        <x:v>50</x:v>
      </x:c>
      <x:c r="H317" s="12" t="n">
        <x:f>IF(A317="","",'Agenda'!$B$6)</x:f>
        <x:v>10</x:v>
      </x:c>
      <x:c r="I317" s="24" t="n">
        <x:f>IF(A317="","",C317+G317/1440)</x:f>
        <x:v>0.5347222222222222</x:v>
      </x:c>
      <x:c r="J317" s="24" t="n">
        <x:f>IF(A317="","",C317+(G317+H317)/1440)</x:f>
        <x:v>0.5416666666666666</x:v>
      </x:c>
      <x:c r="K317" s="27" t="n">
        <x:f>IF(A317="","",IF(E317&lt;&gt;"sim",0,COUNTIFS($B$2:$B$501,B317,$F$2:$F$501,F317,$E$2:$E$501,"sim",$C$2:$C$501,"&lt;"&amp;J317,$J$2:$J$501,"&gt;"&amp;C317)-1))</x:f>
        <x:v>0</x:v>
      </x:c>
      <x:c r="L317" s="27" t="n">
        <x:f>IF(A317="","",IF(E317&lt;&gt;"sim",0,COUNTIFS($B$2:$B$501,B317,$A$2:$A$501,A317,$E$2:$E$501,"sim",$C$2:$C$501,"&lt;"&amp;J317,$J$2:$J$501,"&gt;"&amp;C317)-1))</x:f>
        <x:v>0</x:v>
      </x:c>
      <x:c r="M317" s="2" t="str">
        <x:f>IF(A317="","",IF(E317&lt;&gt;"sim","Revisar escala",IF(OR(K317&gt;0,L317&gt;0),"Conflito de escala",IF(COUNTIFS('Solicitacoes'!$F$2:$F$501,B317,'Solicitacoes'!$K$2:$K$501,F317,'Solicitacoes'!$I$2:$I$501,"pendente",'Solicitacoes'!$G$2:$G$501,"&lt;"&amp;J317,'Solicitacoes'!$N$2:$N$501,"&gt;"&amp;C317)+COUNTIFS('Solicitacoes'!$F$2:$F$501,B317,'Solicitacoes'!$E$2:$E$501,A317,'Solicitacoes'!$I$2:$I$501,"pendente",'Solicitacoes'!$G$2:$G$501,"&lt;"&amp;J317,'Solicitacoes'!$N$2:$N$501,"&gt;"&amp;C317)+COUNTIFS('Solicitacoes'!$F$2:$F$501,B317,'Solicitacoes'!$K$2:$K$501,F317,'Solicitacoes'!$I$2:$I$501,"confirmado",'Solicitacoes'!$G$2:$G$501,"&lt;"&amp;J317,'Solicitacoes'!$N$2:$N$501,"&gt;"&amp;C317)+COUNTIFS('Solicitacoes'!$F$2:$F$501,B317,'Solicitacoes'!$E$2:$E$501,A317,'Solicitacoes'!$I$2:$I$501,"confirmado",'Solicitacoes'!$G$2:$G$501,"&lt;"&amp;J317,'Solicitacoes'!$N$2:$N$501,"&gt;"&amp;C317)&gt;0,"Ocupado","Disponível"))))</x:f>
        <x:v>Revisar escala</x:v>
      </x:c>
      <x:c r="N317" s="2" t="n">
        <x:f>IF(A317="","",ROW()-1)</x:f>
        <x:v>316</x:v>
      </x:c>
    </x:row>
    <x:row r="318" ht="24" customHeight="1">
      <x:c r="A318" s="13" t="str">
        <x:v>Laura Casanova</x:v>
      </x:c>
      <x:c r="B318" s="14" t="d">
        <x:v>2026-10-23T00:00:00.000Z</x:v>
      </x:c>
      <x:c r="C318" s="26" t="n">
        <x:v>0.5416666666666666</x:v>
      </x:c>
      <x:c r="D318" s="13" t="str">
        <x:v>presencial</x:v>
      </x:c>
      <x:c r="E318" s="13" t="str">
        <x:v>não</x:v>
      </x:c>
      <x:c r="F318" s="13" t="str">
        <x:v>Sala 1</x:v>
      </x:c>
      <x:c r="G318" s="12" t="n">
        <x:f>IF(A318="","",'Agenda'!$B$5)</x:f>
        <x:v>50</x:v>
      </x:c>
      <x:c r="H318" s="12" t="n">
        <x:f>IF(A318="","",'Agenda'!$B$6)</x:f>
        <x:v>10</x:v>
      </x:c>
      <x:c r="I318" s="24" t="n">
        <x:f>IF(A318="","",C318+G318/1440)</x:f>
        <x:v>0.5763888888888888</x:v>
      </x:c>
      <x:c r="J318" s="24" t="n">
        <x:f>IF(A318="","",C318+(G318+H318)/1440)</x:f>
        <x:v>0.5833333333333333</x:v>
      </x:c>
      <x:c r="K318" s="27" t="n">
        <x:f>IF(A318="","",IF(E318&lt;&gt;"sim",0,COUNTIFS($B$2:$B$501,B318,$F$2:$F$501,F318,$E$2:$E$501,"sim",$C$2:$C$501,"&lt;"&amp;J318,$J$2:$J$501,"&gt;"&amp;C318)-1))</x:f>
        <x:v>0</x:v>
      </x:c>
      <x:c r="L318" s="27" t="n">
        <x:f>IF(A318="","",IF(E318&lt;&gt;"sim",0,COUNTIFS($B$2:$B$501,B318,$A$2:$A$501,A318,$E$2:$E$501,"sim",$C$2:$C$501,"&lt;"&amp;J318,$J$2:$J$501,"&gt;"&amp;C318)-1))</x:f>
        <x:v>0</x:v>
      </x:c>
      <x:c r="M318" s="2" t="str">
        <x:f>IF(A318="","",IF(E318&lt;&gt;"sim","Revisar escala",IF(OR(K318&gt;0,L318&gt;0),"Conflito de escala",IF(COUNTIFS('Solicitacoes'!$F$2:$F$501,B318,'Solicitacoes'!$K$2:$K$501,F318,'Solicitacoes'!$I$2:$I$501,"pendente",'Solicitacoes'!$G$2:$G$501,"&lt;"&amp;J318,'Solicitacoes'!$N$2:$N$501,"&gt;"&amp;C318)+COUNTIFS('Solicitacoes'!$F$2:$F$501,B318,'Solicitacoes'!$E$2:$E$501,A318,'Solicitacoes'!$I$2:$I$501,"pendente",'Solicitacoes'!$G$2:$G$501,"&lt;"&amp;J318,'Solicitacoes'!$N$2:$N$501,"&gt;"&amp;C318)+COUNTIFS('Solicitacoes'!$F$2:$F$501,B318,'Solicitacoes'!$K$2:$K$501,F318,'Solicitacoes'!$I$2:$I$501,"confirmado",'Solicitacoes'!$G$2:$G$501,"&lt;"&amp;J318,'Solicitacoes'!$N$2:$N$501,"&gt;"&amp;C318)+COUNTIFS('Solicitacoes'!$F$2:$F$501,B318,'Solicitacoes'!$E$2:$E$501,A318,'Solicitacoes'!$I$2:$I$501,"confirmado",'Solicitacoes'!$G$2:$G$501,"&lt;"&amp;J318,'Solicitacoes'!$N$2:$N$501,"&gt;"&amp;C318)&gt;0,"Ocupado","Disponível"))))</x:f>
        <x:v>Revisar escala</x:v>
      </x:c>
      <x:c r="N318" s="2" t="n">
        <x:f>IF(A318="","",ROW()-1)</x:f>
        <x:v>317</x:v>
      </x:c>
    </x:row>
    <x:row r="319" ht="24" customHeight="1">
      <x:c r="A319" s="13" t="str">
        <x:v>Aline Reis</x:v>
      </x:c>
      <x:c r="B319" s="14" t="d">
        <x:v>2026-10-23T00:00:00.000Z</x:v>
      </x:c>
      <x:c r="C319" s="26" t="n">
        <x:v>0.5416666666666666</x:v>
      </x:c>
      <x:c r="D319" s="13" t="str">
        <x:v>presencial</x:v>
      </x:c>
      <x:c r="E319" s="13" t="str">
        <x:v>não</x:v>
      </x:c>
      <x:c r="F319" s="13" t="str">
        <x:v>Sala 2</x:v>
      </x:c>
      <x:c r="G319" s="12" t="n">
        <x:f>IF(A319="","",'Agenda'!$B$5)</x:f>
        <x:v>50</x:v>
      </x:c>
      <x:c r="H319" s="12" t="n">
        <x:f>IF(A319="","",'Agenda'!$B$6)</x:f>
        <x:v>10</x:v>
      </x:c>
      <x:c r="I319" s="24" t="n">
        <x:f>IF(A319="","",C319+G319/1440)</x:f>
        <x:v>0.5763888888888888</x:v>
      </x:c>
      <x:c r="J319" s="24" t="n">
        <x:f>IF(A319="","",C319+(G319+H319)/1440)</x:f>
        <x:v>0.5833333333333333</x:v>
      </x:c>
      <x:c r="K319" s="27" t="n">
        <x:f>IF(A319="","",IF(E319&lt;&gt;"sim",0,COUNTIFS($B$2:$B$501,B319,$F$2:$F$501,F319,$E$2:$E$501,"sim",$C$2:$C$501,"&lt;"&amp;J319,$J$2:$J$501,"&gt;"&amp;C319)-1))</x:f>
        <x:v>0</x:v>
      </x:c>
      <x:c r="L319" s="27" t="n">
        <x:f>IF(A319="","",IF(E319&lt;&gt;"sim",0,COUNTIFS($B$2:$B$501,B319,$A$2:$A$501,A319,$E$2:$E$501,"sim",$C$2:$C$501,"&lt;"&amp;J319,$J$2:$J$501,"&gt;"&amp;C319)-1))</x:f>
        <x:v>0</x:v>
      </x:c>
      <x:c r="M319" s="2" t="str">
        <x:f>IF(A319="","",IF(E319&lt;&gt;"sim","Revisar escala",IF(OR(K319&gt;0,L319&gt;0),"Conflito de escala",IF(COUNTIFS('Solicitacoes'!$F$2:$F$501,B319,'Solicitacoes'!$K$2:$K$501,F319,'Solicitacoes'!$I$2:$I$501,"pendente",'Solicitacoes'!$G$2:$G$501,"&lt;"&amp;J319,'Solicitacoes'!$N$2:$N$501,"&gt;"&amp;C319)+COUNTIFS('Solicitacoes'!$F$2:$F$501,B319,'Solicitacoes'!$E$2:$E$501,A319,'Solicitacoes'!$I$2:$I$501,"pendente",'Solicitacoes'!$G$2:$G$501,"&lt;"&amp;J319,'Solicitacoes'!$N$2:$N$501,"&gt;"&amp;C319)+COUNTIFS('Solicitacoes'!$F$2:$F$501,B319,'Solicitacoes'!$K$2:$K$501,F319,'Solicitacoes'!$I$2:$I$501,"confirmado",'Solicitacoes'!$G$2:$G$501,"&lt;"&amp;J319,'Solicitacoes'!$N$2:$N$501,"&gt;"&amp;C319)+COUNTIFS('Solicitacoes'!$F$2:$F$501,B319,'Solicitacoes'!$E$2:$E$501,A319,'Solicitacoes'!$I$2:$I$501,"confirmado",'Solicitacoes'!$G$2:$G$501,"&lt;"&amp;J319,'Solicitacoes'!$N$2:$N$501,"&gt;"&amp;C319)&gt;0,"Ocupado","Disponível"))))</x:f>
        <x:v>Revisar escala</x:v>
      </x:c>
      <x:c r="N319" s="2" t="n">
        <x:f>IF(A319="","",ROW()-1)</x:f>
        <x:v>318</x:v>
      </x:c>
    </x:row>
    <x:row r="320" ht="24" customHeight="1">
      <x:c r="A320" s="13" t="str">
        <x:v>Géssyca Martins</x:v>
      </x:c>
      <x:c r="B320" s="14" t="d">
        <x:v>2026-10-23T00:00:00.000Z</x:v>
      </x:c>
      <x:c r="C320" s="26" t="n">
        <x:v>0.5833333333333334</x:v>
      </x:c>
      <x:c r="D320" s="13" t="str">
        <x:v>presencial</x:v>
      </x:c>
      <x:c r="E320" s="13" t="str">
        <x:v>não</x:v>
      </x:c>
      <x:c r="F320" s="13" t="str">
        <x:v>Sala 1</x:v>
      </x:c>
      <x:c r="G320" s="12" t="n">
        <x:f>IF(A320="","",'Agenda'!$B$5)</x:f>
        <x:v>50</x:v>
      </x:c>
      <x:c r="H320" s="12" t="n">
        <x:f>IF(A320="","",'Agenda'!$B$6)</x:f>
        <x:v>10</x:v>
      </x:c>
      <x:c r="I320" s="24" t="n">
        <x:f>IF(A320="","",C320+G320/1440)</x:f>
        <x:v>0.6180555555555556</x:v>
      </x:c>
      <x:c r="J320" s="24" t="n">
        <x:f>IF(A320="","",C320+(G320+H320)/1440)</x:f>
        <x:v>0.625</x:v>
      </x:c>
      <x:c r="K320" s="27" t="n">
        <x:f>IF(A320="","",IF(E320&lt;&gt;"sim",0,COUNTIFS($B$2:$B$501,B320,$F$2:$F$501,F320,$E$2:$E$501,"sim",$C$2:$C$501,"&lt;"&amp;J320,$J$2:$J$501,"&gt;"&amp;C320)-1))</x:f>
        <x:v>0</x:v>
      </x:c>
      <x:c r="L320" s="27" t="n">
        <x:f>IF(A320="","",IF(E320&lt;&gt;"sim",0,COUNTIFS($B$2:$B$501,B320,$A$2:$A$501,A320,$E$2:$E$501,"sim",$C$2:$C$501,"&lt;"&amp;J320,$J$2:$J$501,"&gt;"&amp;C320)-1))</x:f>
        <x:v>0</x:v>
      </x:c>
      <x:c r="M320" s="2" t="str">
        <x:f>IF(A320="","",IF(E320&lt;&gt;"sim","Revisar escala",IF(OR(K320&gt;0,L320&gt;0),"Conflito de escala",IF(COUNTIFS('Solicitacoes'!$F$2:$F$501,B320,'Solicitacoes'!$K$2:$K$501,F320,'Solicitacoes'!$I$2:$I$501,"pendente",'Solicitacoes'!$G$2:$G$501,"&lt;"&amp;J320,'Solicitacoes'!$N$2:$N$501,"&gt;"&amp;C320)+COUNTIFS('Solicitacoes'!$F$2:$F$501,B320,'Solicitacoes'!$E$2:$E$501,A320,'Solicitacoes'!$I$2:$I$501,"pendente",'Solicitacoes'!$G$2:$G$501,"&lt;"&amp;J320,'Solicitacoes'!$N$2:$N$501,"&gt;"&amp;C320)+COUNTIFS('Solicitacoes'!$F$2:$F$501,B320,'Solicitacoes'!$K$2:$K$501,F320,'Solicitacoes'!$I$2:$I$501,"confirmado",'Solicitacoes'!$G$2:$G$501,"&lt;"&amp;J320,'Solicitacoes'!$N$2:$N$501,"&gt;"&amp;C320)+COUNTIFS('Solicitacoes'!$F$2:$F$501,B320,'Solicitacoes'!$E$2:$E$501,A320,'Solicitacoes'!$I$2:$I$501,"confirmado",'Solicitacoes'!$G$2:$G$501,"&lt;"&amp;J320,'Solicitacoes'!$N$2:$N$501,"&gt;"&amp;C320)&gt;0,"Ocupado","Disponível"))))</x:f>
        <x:v>Revisar escala</x:v>
      </x:c>
      <x:c r="N320" s="2" t="n">
        <x:f>IF(A320="","",ROW()-1)</x:f>
        <x:v>319</x:v>
      </x:c>
    </x:row>
    <x:row r="321" ht="24" customHeight="1">
      <x:c r="A321" s="13" t="str">
        <x:v>Laura Casanova</x:v>
      </x:c>
      <x:c r="B321" s="14" t="d">
        <x:v>2026-10-23T00:00:00.000Z</x:v>
      </x:c>
      <x:c r="C321" s="26" t="n">
        <x:v>0.5833333333333334</x:v>
      </x:c>
      <x:c r="D321" s="13" t="str">
        <x:v>presencial</x:v>
      </x:c>
      <x:c r="E321" s="13" t="str">
        <x:v>não</x:v>
      </x:c>
      <x:c r="F321" s="13" t="str">
        <x:v>Sala 2</x:v>
      </x:c>
      <x:c r="G321" s="12" t="n">
        <x:f>IF(A321="","",'Agenda'!$B$5)</x:f>
        <x:v>50</x:v>
      </x:c>
      <x:c r="H321" s="12" t="n">
        <x:f>IF(A321="","",'Agenda'!$B$6)</x:f>
        <x:v>10</x:v>
      </x:c>
      <x:c r="I321" s="24" t="n">
        <x:f>IF(A321="","",C321+G321/1440)</x:f>
        <x:v>0.6180555555555556</x:v>
      </x:c>
      <x:c r="J321" s="24" t="n">
        <x:f>IF(A321="","",C321+(G321+H321)/1440)</x:f>
        <x:v>0.625</x:v>
      </x:c>
      <x:c r="K321" s="27" t="n">
        <x:f>IF(A321="","",IF(E321&lt;&gt;"sim",0,COUNTIFS($B$2:$B$501,B321,$F$2:$F$501,F321,$E$2:$E$501,"sim",$C$2:$C$501,"&lt;"&amp;J321,$J$2:$J$501,"&gt;"&amp;C321)-1))</x:f>
        <x:v>0</x:v>
      </x:c>
      <x:c r="L321" s="27" t="n">
        <x:f>IF(A321="","",IF(E321&lt;&gt;"sim",0,COUNTIFS($B$2:$B$501,B321,$A$2:$A$501,A321,$E$2:$E$501,"sim",$C$2:$C$501,"&lt;"&amp;J321,$J$2:$J$501,"&gt;"&amp;C321)-1))</x:f>
        <x:v>0</x:v>
      </x:c>
      <x:c r="M321" s="2" t="str">
        <x:f>IF(A321="","",IF(E321&lt;&gt;"sim","Revisar escala",IF(OR(K321&gt;0,L321&gt;0),"Conflito de escala",IF(COUNTIFS('Solicitacoes'!$F$2:$F$501,B321,'Solicitacoes'!$K$2:$K$501,F321,'Solicitacoes'!$I$2:$I$501,"pendente",'Solicitacoes'!$G$2:$G$501,"&lt;"&amp;J321,'Solicitacoes'!$N$2:$N$501,"&gt;"&amp;C321)+COUNTIFS('Solicitacoes'!$F$2:$F$501,B321,'Solicitacoes'!$E$2:$E$501,A321,'Solicitacoes'!$I$2:$I$501,"pendente",'Solicitacoes'!$G$2:$G$501,"&lt;"&amp;J321,'Solicitacoes'!$N$2:$N$501,"&gt;"&amp;C321)+COUNTIFS('Solicitacoes'!$F$2:$F$501,B321,'Solicitacoes'!$K$2:$K$501,F321,'Solicitacoes'!$I$2:$I$501,"confirmado",'Solicitacoes'!$G$2:$G$501,"&lt;"&amp;J321,'Solicitacoes'!$N$2:$N$501,"&gt;"&amp;C321)+COUNTIFS('Solicitacoes'!$F$2:$F$501,B321,'Solicitacoes'!$E$2:$E$501,A321,'Solicitacoes'!$I$2:$I$501,"confirmado",'Solicitacoes'!$G$2:$G$501,"&lt;"&amp;J321,'Solicitacoes'!$N$2:$N$501,"&gt;"&amp;C321)&gt;0,"Ocupado","Disponível"))))</x:f>
        <x:v>Revisar escala</x:v>
      </x:c>
      <x:c r="N321" s="2" t="n">
        <x:f>IF(A321="","",ROW()-1)</x:f>
        <x:v>320</x:v>
      </x:c>
    </x:row>
    <x:row r="322" ht="24" customHeight="1">
      <x:c r="A322" s="13" t="str">
        <x:v>Géssyca Martins</x:v>
      </x:c>
      <x:c r="B322" s="14" t="d">
        <x:v>2026-10-23T00:00:00.000Z</x:v>
      </x:c>
      <x:c r="C322" s="26" t="n">
        <x:v>0.625</x:v>
      </x:c>
      <x:c r="D322" s="13" t="str">
        <x:v>presencial</x:v>
      </x:c>
      <x:c r="E322" s="13" t="str">
        <x:v>não</x:v>
      </x:c>
      <x:c r="F322" s="13" t="str">
        <x:v>Sala 1</x:v>
      </x:c>
      <x:c r="G322" s="12" t="n">
        <x:f>IF(A322="","",'Agenda'!$B$5)</x:f>
        <x:v>50</x:v>
      </x:c>
      <x:c r="H322" s="12" t="n">
        <x:f>IF(A322="","",'Agenda'!$B$6)</x:f>
        <x:v>10</x:v>
      </x:c>
      <x:c r="I322" s="24" t="n">
        <x:f>IF(A322="","",C322+G322/1440)</x:f>
        <x:v>0.6597222222222222</x:v>
      </x:c>
      <x:c r="J322" s="24" t="n">
        <x:f>IF(A322="","",C322+(G322+H322)/1440)</x:f>
        <x:v>0.6666666666666666</x:v>
      </x:c>
      <x:c r="K322" s="27" t="n">
        <x:f>IF(A322="","",IF(E322&lt;&gt;"sim",0,COUNTIFS($B$2:$B$501,B322,$F$2:$F$501,F322,$E$2:$E$501,"sim",$C$2:$C$501,"&lt;"&amp;J322,$J$2:$J$501,"&gt;"&amp;C322)-1))</x:f>
        <x:v>0</x:v>
      </x:c>
      <x:c r="L322" s="27" t="n">
        <x:f>IF(A322="","",IF(E322&lt;&gt;"sim",0,COUNTIFS($B$2:$B$501,B322,$A$2:$A$501,A322,$E$2:$E$501,"sim",$C$2:$C$501,"&lt;"&amp;J322,$J$2:$J$501,"&gt;"&amp;C322)-1))</x:f>
        <x:v>0</x:v>
      </x:c>
      <x:c r="M322" s="2" t="str">
        <x:f>IF(A322="","",IF(E322&lt;&gt;"sim","Revisar escala",IF(OR(K322&gt;0,L322&gt;0),"Conflito de escala",IF(COUNTIFS('Solicitacoes'!$F$2:$F$501,B322,'Solicitacoes'!$K$2:$K$501,F322,'Solicitacoes'!$I$2:$I$501,"pendente",'Solicitacoes'!$G$2:$G$501,"&lt;"&amp;J322,'Solicitacoes'!$N$2:$N$501,"&gt;"&amp;C322)+COUNTIFS('Solicitacoes'!$F$2:$F$501,B322,'Solicitacoes'!$E$2:$E$501,A322,'Solicitacoes'!$I$2:$I$501,"pendente",'Solicitacoes'!$G$2:$G$501,"&lt;"&amp;J322,'Solicitacoes'!$N$2:$N$501,"&gt;"&amp;C322)+COUNTIFS('Solicitacoes'!$F$2:$F$501,B322,'Solicitacoes'!$K$2:$K$501,F322,'Solicitacoes'!$I$2:$I$501,"confirmado",'Solicitacoes'!$G$2:$G$501,"&lt;"&amp;J322,'Solicitacoes'!$N$2:$N$501,"&gt;"&amp;C322)+COUNTIFS('Solicitacoes'!$F$2:$F$501,B322,'Solicitacoes'!$E$2:$E$501,A322,'Solicitacoes'!$I$2:$I$501,"confirmado",'Solicitacoes'!$G$2:$G$501,"&lt;"&amp;J322,'Solicitacoes'!$N$2:$N$501,"&gt;"&amp;C322)&gt;0,"Ocupado","Disponível"))))</x:f>
        <x:v>Revisar escala</x:v>
      </x:c>
      <x:c r="N322" s="2" t="n">
        <x:f>IF(A322="","",ROW()-1)</x:f>
        <x:v>321</x:v>
      </x:c>
    </x:row>
    <x:row r="323" ht="24" customHeight="1">
      <x:c r="A323" s="13" t="str">
        <x:v>Laura Casanova</x:v>
      </x:c>
      <x:c r="B323" s="14" t="d">
        <x:v>2026-10-23T00:00:00.000Z</x:v>
      </x:c>
      <x:c r="C323" s="26" t="n">
        <x:v>0.625</x:v>
      </x:c>
      <x:c r="D323" s="13" t="str">
        <x:v>presencial</x:v>
      </x:c>
      <x:c r="E323" s="13" t="str">
        <x:v>não</x:v>
      </x:c>
      <x:c r="F323" s="13" t="str">
        <x:v>Sala 2</x:v>
      </x:c>
      <x:c r="G323" s="12" t="n">
        <x:f>IF(A323="","",'Agenda'!$B$5)</x:f>
        <x:v>50</x:v>
      </x:c>
      <x:c r="H323" s="12" t="n">
        <x:f>IF(A323="","",'Agenda'!$B$6)</x:f>
        <x:v>10</x:v>
      </x:c>
      <x:c r="I323" s="24" t="n">
        <x:f>IF(A323="","",C323+G323/1440)</x:f>
        <x:v>0.6597222222222222</x:v>
      </x:c>
      <x:c r="J323" s="24" t="n">
        <x:f>IF(A323="","",C323+(G323+H323)/1440)</x:f>
        <x:v>0.6666666666666666</x:v>
      </x:c>
      <x:c r="K323" s="27" t="n">
        <x:f>IF(A323="","",IF(E323&lt;&gt;"sim",0,COUNTIFS($B$2:$B$501,B323,$F$2:$F$501,F323,$E$2:$E$501,"sim",$C$2:$C$501,"&lt;"&amp;J323,$J$2:$J$501,"&gt;"&amp;C323)-1))</x:f>
        <x:v>0</x:v>
      </x:c>
      <x:c r="L323" s="27" t="n">
        <x:f>IF(A323="","",IF(E323&lt;&gt;"sim",0,COUNTIFS($B$2:$B$501,B323,$A$2:$A$501,A323,$E$2:$E$501,"sim",$C$2:$C$501,"&lt;"&amp;J323,$J$2:$J$501,"&gt;"&amp;C323)-1))</x:f>
        <x:v>0</x:v>
      </x:c>
      <x:c r="M323" s="2" t="str">
        <x:f>IF(A323="","",IF(E323&lt;&gt;"sim","Revisar escala",IF(OR(K323&gt;0,L323&gt;0),"Conflito de escala",IF(COUNTIFS('Solicitacoes'!$F$2:$F$501,B323,'Solicitacoes'!$K$2:$K$501,F323,'Solicitacoes'!$I$2:$I$501,"pendente",'Solicitacoes'!$G$2:$G$501,"&lt;"&amp;J323,'Solicitacoes'!$N$2:$N$501,"&gt;"&amp;C323)+COUNTIFS('Solicitacoes'!$F$2:$F$501,B323,'Solicitacoes'!$E$2:$E$501,A323,'Solicitacoes'!$I$2:$I$501,"pendente",'Solicitacoes'!$G$2:$G$501,"&lt;"&amp;J323,'Solicitacoes'!$N$2:$N$501,"&gt;"&amp;C323)+COUNTIFS('Solicitacoes'!$F$2:$F$501,B323,'Solicitacoes'!$K$2:$K$501,F323,'Solicitacoes'!$I$2:$I$501,"confirmado",'Solicitacoes'!$G$2:$G$501,"&lt;"&amp;J323,'Solicitacoes'!$N$2:$N$501,"&gt;"&amp;C323)+COUNTIFS('Solicitacoes'!$F$2:$F$501,B323,'Solicitacoes'!$E$2:$E$501,A323,'Solicitacoes'!$I$2:$I$501,"confirmado",'Solicitacoes'!$G$2:$G$501,"&lt;"&amp;J323,'Solicitacoes'!$N$2:$N$501,"&gt;"&amp;C323)&gt;0,"Ocupado","Disponível"))))</x:f>
        <x:v>Revisar escala</x:v>
      </x:c>
      <x:c r="N323" s="2" t="n">
        <x:f>IF(A323="","",ROW()-1)</x:f>
        <x:v>322</x:v>
      </x:c>
    </x:row>
    <x:row r="324" ht="24" customHeight="1">
      <x:c r="A324" s="13" t="str">
        <x:v>Géssyca Martins</x:v>
      </x:c>
      <x:c r="B324" s="14" t="d">
        <x:v>2026-10-23T00:00:00.000Z</x:v>
      </x:c>
      <x:c r="C324" s="26" t="n">
        <x:v>0.6666666666666666</x:v>
      </x:c>
      <x:c r="D324" s="13" t="str">
        <x:v>presencial</x:v>
      </x:c>
      <x:c r="E324" s="13" t="str">
        <x:v>não</x:v>
      </x:c>
      <x:c r="F324" s="13" t="str">
        <x:v>Sala 1</x:v>
      </x:c>
      <x:c r="G324" s="12" t="n">
        <x:f>IF(A324="","",'Agenda'!$B$5)</x:f>
        <x:v>50</x:v>
      </x:c>
      <x:c r="H324" s="12" t="n">
        <x:f>IF(A324="","",'Agenda'!$B$6)</x:f>
        <x:v>10</x:v>
      </x:c>
      <x:c r="I324" s="24" t="n">
        <x:f>IF(A324="","",C324+G324/1440)</x:f>
        <x:v>0.7013888888888888</x:v>
      </x:c>
      <x:c r="J324" s="24" t="n">
        <x:f>IF(A324="","",C324+(G324+H324)/1440)</x:f>
        <x:v>0.7083333333333333</x:v>
      </x:c>
      <x:c r="K324" s="27" t="n">
        <x:f>IF(A324="","",IF(E324&lt;&gt;"sim",0,COUNTIFS($B$2:$B$501,B324,$F$2:$F$501,F324,$E$2:$E$501,"sim",$C$2:$C$501,"&lt;"&amp;J324,$J$2:$J$501,"&gt;"&amp;C324)-1))</x:f>
        <x:v>0</x:v>
      </x:c>
      <x:c r="L324" s="27" t="n">
        <x:f>IF(A324="","",IF(E324&lt;&gt;"sim",0,COUNTIFS($B$2:$B$501,B324,$A$2:$A$501,A324,$E$2:$E$501,"sim",$C$2:$C$501,"&lt;"&amp;J324,$J$2:$J$501,"&gt;"&amp;C324)-1))</x:f>
        <x:v>0</x:v>
      </x:c>
      <x:c r="M324" s="2" t="str">
        <x:f>IF(A324="","",IF(E324&lt;&gt;"sim","Revisar escala",IF(OR(K324&gt;0,L324&gt;0),"Conflito de escala",IF(COUNTIFS('Solicitacoes'!$F$2:$F$501,B324,'Solicitacoes'!$K$2:$K$501,F324,'Solicitacoes'!$I$2:$I$501,"pendente",'Solicitacoes'!$G$2:$G$501,"&lt;"&amp;J324,'Solicitacoes'!$N$2:$N$501,"&gt;"&amp;C324)+COUNTIFS('Solicitacoes'!$F$2:$F$501,B324,'Solicitacoes'!$E$2:$E$501,A324,'Solicitacoes'!$I$2:$I$501,"pendente",'Solicitacoes'!$G$2:$G$501,"&lt;"&amp;J324,'Solicitacoes'!$N$2:$N$501,"&gt;"&amp;C324)+COUNTIFS('Solicitacoes'!$F$2:$F$501,B324,'Solicitacoes'!$K$2:$K$501,F324,'Solicitacoes'!$I$2:$I$501,"confirmado",'Solicitacoes'!$G$2:$G$501,"&lt;"&amp;J324,'Solicitacoes'!$N$2:$N$501,"&gt;"&amp;C324)+COUNTIFS('Solicitacoes'!$F$2:$F$501,B324,'Solicitacoes'!$E$2:$E$501,A324,'Solicitacoes'!$I$2:$I$501,"confirmado",'Solicitacoes'!$G$2:$G$501,"&lt;"&amp;J324,'Solicitacoes'!$N$2:$N$501,"&gt;"&amp;C324)&gt;0,"Ocupado","Disponível"))))</x:f>
        <x:v>Revisar escala</x:v>
      </x:c>
      <x:c r="N324" s="2" t="n">
        <x:f>IF(A324="","",ROW()-1)</x:f>
        <x:v>323</x:v>
      </x:c>
    </x:row>
    <x:row r="325" ht="24" customHeight="1">
      <x:c r="A325" s="13" t="str">
        <x:v>Laura Casanova</x:v>
      </x:c>
      <x:c r="B325" s="14" t="d">
        <x:v>2026-10-23T00:00:00.000Z</x:v>
      </x:c>
      <x:c r="C325" s="26" t="n">
        <x:v>0.6666666666666666</x:v>
      </x:c>
      <x:c r="D325" s="13" t="str">
        <x:v>presencial</x:v>
      </x:c>
      <x:c r="E325" s="13" t="str">
        <x:v>não</x:v>
      </x:c>
      <x:c r="F325" s="13" t="str">
        <x:v>Sala 2</x:v>
      </x:c>
      <x:c r="G325" s="12" t="n">
        <x:f>IF(A325="","",'Agenda'!$B$5)</x:f>
        <x:v>50</x:v>
      </x:c>
      <x:c r="H325" s="12" t="n">
        <x:f>IF(A325="","",'Agenda'!$B$6)</x:f>
        <x:v>10</x:v>
      </x:c>
      <x:c r="I325" s="24" t="n">
        <x:f>IF(A325="","",C325+G325/1440)</x:f>
        <x:v>0.7013888888888888</x:v>
      </x:c>
      <x:c r="J325" s="24" t="n">
        <x:f>IF(A325="","",C325+(G325+H325)/1440)</x:f>
        <x:v>0.7083333333333333</x:v>
      </x:c>
      <x:c r="K325" s="27" t="n">
        <x:f>IF(A325="","",IF(E325&lt;&gt;"sim",0,COUNTIFS($B$2:$B$501,B325,$F$2:$F$501,F325,$E$2:$E$501,"sim",$C$2:$C$501,"&lt;"&amp;J325,$J$2:$J$501,"&gt;"&amp;C325)-1))</x:f>
        <x:v>0</x:v>
      </x:c>
      <x:c r="L325" s="27" t="n">
        <x:f>IF(A325="","",IF(E325&lt;&gt;"sim",0,COUNTIFS($B$2:$B$501,B325,$A$2:$A$501,A325,$E$2:$E$501,"sim",$C$2:$C$501,"&lt;"&amp;J325,$J$2:$J$501,"&gt;"&amp;C325)-1))</x:f>
        <x:v>0</x:v>
      </x:c>
      <x:c r="M325" s="2" t="str">
        <x:f>IF(A325="","",IF(E325&lt;&gt;"sim","Revisar escala",IF(OR(K325&gt;0,L325&gt;0),"Conflito de escala",IF(COUNTIFS('Solicitacoes'!$F$2:$F$501,B325,'Solicitacoes'!$K$2:$K$501,F325,'Solicitacoes'!$I$2:$I$501,"pendente",'Solicitacoes'!$G$2:$G$501,"&lt;"&amp;J325,'Solicitacoes'!$N$2:$N$501,"&gt;"&amp;C325)+COUNTIFS('Solicitacoes'!$F$2:$F$501,B325,'Solicitacoes'!$E$2:$E$501,A325,'Solicitacoes'!$I$2:$I$501,"pendente",'Solicitacoes'!$G$2:$G$501,"&lt;"&amp;J325,'Solicitacoes'!$N$2:$N$501,"&gt;"&amp;C325)+COUNTIFS('Solicitacoes'!$F$2:$F$501,B325,'Solicitacoes'!$K$2:$K$501,F325,'Solicitacoes'!$I$2:$I$501,"confirmado",'Solicitacoes'!$G$2:$G$501,"&lt;"&amp;J325,'Solicitacoes'!$N$2:$N$501,"&gt;"&amp;C325)+COUNTIFS('Solicitacoes'!$F$2:$F$501,B325,'Solicitacoes'!$E$2:$E$501,A325,'Solicitacoes'!$I$2:$I$501,"confirmado",'Solicitacoes'!$G$2:$G$501,"&lt;"&amp;J325,'Solicitacoes'!$N$2:$N$501,"&gt;"&amp;C325)&gt;0,"Ocupado","Disponível"))))</x:f>
        <x:v>Revisar escala</x:v>
      </x:c>
      <x:c r="N325" s="2" t="n">
        <x:f>IF(A325="","",ROW()-1)</x:f>
        <x:v>324</x:v>
      </x:c>
    </x:row>
    <x:row r="326" ht="24" customHeight="1">
      <x:c r="A326" s="13" t="str">
        <x:v>Géssyca Martins</x:v>
      </x:c>
      <x:c r="B326" s="14" t="d">
        <x:v>2026-10-23T00:00:00.000Z</x:v>
      </x:c>
      <x:c r="C326" s="26" t="n">
        <x:v>0.7083333333333334</x:v>
      </x:c>
      <x:c r="D326" s="13" t="str">
        <x:v>presencial</x:v>
      </x:c>
      <x:c r="E326" s="13" t="str">
        <x:v>não</x:v>
      </x:c>
      <x:c r="F326" s="13" t="str">
        <x:v>Sala 1</x:v>
      </x:c>
      <x:c r="G326" s="12" t="n">
        <x:f>IF(A326="","",'Agenda'!$B$5)</x:f>
        <x:v>50</x:v>
      </x:c>
      <x:c r="H326" s="12" t="n">
        <x:f>IF(A326="","",'Agenda'!$B$6)</x:f>
        <x:v>10</x:v>
      </x:c>
      <x:c r="I326" s="24" t="n">
        <x:f>IF(A326="","",C326+G326/1440)</x:f>
        <x:v>0.7430555555555556</x:v>
      </x:c>
      <x:c r="J326" s="24" t="n">
        <x:f>IF(A326="","",C326+(G326+H326)/1440)</x:f>
        <x:v>0.75</x:v>
      </x:c>
      <x:c r="K326" s="27" t="n">
        <x:f>IF(A326="","",IF(E326&lt;&gt;"sim",0,COUNTIFS($B$2:$B$501,B326,$F$2:$F$501,F326,$E$2:$E$501,"sim",$C$2:$C$501,"&lt;"&amp;J326,$J$2:$J$501,"&gt;"&amp;C326)-1))</x:f>
        <x:v>0</x:v>
      </x:c>
      <x:c r="L326" s="27" t="n">
        <x:f>IF(A326="","",IF(E326&lt;&gt;"sim",0,COUNTIFS($B$2:$B$501,B326,$A$2:$A$501,A326,$E$2:$E$501,"sim",$C$2:$C$501,"&lt;"&amp;J326,$J$2:$J$501,"&gt;"&amp;C326)-1))</x:f>
        <x:v>0</x:v>
      </x:c>
      <x:c r="M326" s="2" t="str">
        <x:f>IF(A326="","",IF(E326&lt;&gt;"sim","Revisar escala",IF(OR(K326&gt;0,L326&gt;0),"Conflito de escala",IF(COUNTIFS('Solicitacoes'!$F$2:$F$501,B326,'Solicitacoes'!$K$2:$K$501,F326,'Solicitacoes'!$I$2:$I$501,"pendente",'Solicitacoes'!$G$2:$G$501,"&lt;"&amp;J326,'Solicitacoes'!$N$2:$N$501,"&gt;"&amp;C326)+COUNTIFS('Solicitacoes'!$F$2:$F$501,B326,'Solicitacoes'!$E$2:$E$501,A326,'Solicitacoes'!$I$2:$I$501,"pendente",'Solicitacoes'!$G$2:$G$501,"&lt;"&amp;J326,'Solicitacoes'!$N$2:$N$501,"&gt;"&amp;C326)+COUNTIFS('Solicitacoes'!$F$2:$F$501,B326,'Solicitacoes'!$K$2:$K$501,F326,'Solicitacoes'!$I$2:$I$501,"confirmado",'Solicitacoes'!$G$2:$G$501,"&lt;"&amp;J326,'Solicitacoes'!$N$2:$N$501,"&gt;"&amp;C326)+COUNTIFS('Solicitacoes'!$F$2:$F$501,B326,'Solicitacoes'!$E$2:$E$501,A326,'Solicitacoes'!$I$2:$I$501,"confirmado",'Solicitacoes'!$G$2:$G$501,"&lt;"&amp;J326,'Solicitacoes'!$N$2:$N$501,"&gt;"&amp;C326)&gt;0,"Ocupado","Disponível"))))</x:f>
        <x:v>Revisar escala</x:v>
      </x:c>
      <x:c r="N326" s="2" t="n">
        <x:f>IF(A326="","",ROW()-1)</x:f>
        <x:v>325</x:v>
      </x:c>
    </x:row>
    <x:row r="327" ht="24" customHeight="1">
      <x:c r="A327" s="13" t="str">
        <x:v>Laura Casanova</x:v>
      </x:c>
      <x:c r="B327" s="14" t="d">
        <x:v>2026-10-23T00:00:00.000Z</x:v>
      </x:c>
      <x:c r="C327" s="26" t="n">
        <x:v>0.7083333333333334</x:v>
      </x:c>
      <x:c r="D327" s="13" t="str">
        <x:v>presencial</x:v>
      </x:c>
      <x:c r="E327" s="13" t="str">
        <x:v>não</x:v>
      </x:c>
      <x:c r="F327" s="13" t="str">
        <x:v>Sala 2</x:v>
      </x:c>
      <x:c r="G327" s="12" t="n">
        <x:f>IF(A327="","",'Agenda'!$B$5)</x:f>
        <x:v>50</x:v>
      </x:c>
      <x:c r="H327" s="12" t="n">
        <x:f>IF(A327="","",'Agenda'!$B$6)</x:f>
        <x:v>10</x:v>
      </x:c>
      <x:c r="I327" s="24" t="n">
        <x:f>IF(A327="","",C327+G327/1440)</x:f>
        <x:v>0.7430555555555556</x:v>
      </x:c>
      <x:c r="J327" s="24" t="n">
        <x:f>IF(A327="","",C327+(G327+H327)/1440)</x:f>
        <x:v>0.75</x:v>
      </x:c>
      <x:c r="K327" s="27" t="n">
        <x:f>IF(A327="","",IF(E327&lt;&gt;"sim",0,COUNTIFS($B$2:$B$501,B327,$F$2:$F$501,F327,$E$2:$E$501,"sim",$C$2:$C$501,"&lt;"&amp;J327,$J$2:$J$501,"&gt;"&amp;C327)-1))</x:f>
        <x:v>0</x:v>
      </x:c>
      <x:c r="L327" s="27" t="n">
        <x:f>IF(A327="","",IF(E327&lt;&gt;"sim",0,COUNTIFS($B$2:$B$501,B327,$A$2:$A$501,A327,$E$2:$E$501,"sim",$C$2:$C$501,"&lt;"&amp;J327,$J$2:$J$501,"&gt;"&amp;C327)-1))</x:f>
        <x:v>0</x:v>
      </x:c>
      <x:c r="M327" s="2" t="str">
        <x:f>IF(A327="","",IF(E327&lt;&gt;"sim","Revisar escala",IF(OR(K327&gt;0,L327&gt;0),"Conflito de escala",IF(COUNTIFS('Solicitacoes'!$F$2:$F$501,B327,'Solicitacoes'!$K$2:$K$501,F327,'Solicitacoes'!$I$2:$I$501,"pendente",'Solicitacoes'!$G$2:$G$501,"&lt;"&amp;J327,'Solicitacoes'!$N$2:$N$501,"&gt;"&amp;C327)+COUNTIFS('Solicitacoes'!$F$2:$F$501,B327,'Solicitacoes'!$E$2:$E$501,A327,'Solicitacoes'!$I$2:$I$501,"pendente",'Solicitacoes'!$G$2:$G$501,"&lt;"&amp;J327,'Solicitacoes'!$N$2:$N$501,"&gt;"&amp;C327)+COUNTIFS('Solicitacoes'!$F$2:$F$501,B327,'Solicitacoes'!$K$2:$K$501,F327,'Solicitacoes'!$I$2:$I$501,"confirmado",'Solicitacoes'!$G$2:$G$501,"&lt;"&amp;J327,'Solicitacoes'!$N$2:$N$501,"&gt;"&amp;C327)+COUNTIFS('Solicitacoes'!$F$2:$F$501,B327,'Solicitacoes'!$E$2:$E$501,A327,'Solicitacoes'!$I$2:$I$501,"confirmado",'Solicitacoes'!$G$2:$G$501,"&lt;"&amp;J327,'Solicitacoes'!$N$2:$N$501,"&gt;"&amp;C327)&gt;0,"Ocupado","Disponível"))))</x:f>
        <x:v>Revisar escala</x:v>
      </x:c>
      <x:c r="N327" s="2" t="n">
        <x:f>IF(A327="","",ROW()-1)</x:f>
        <x:v>326</x:v>
      </x:c>
    </x:row>
    <x:row r="328" ht="24" customHeight="1">
      <x:c r="A328" s="13" t="str">
        <x:v>Géssyca Martins</x:v>
      </x:c>
      <x:c r="B328" s="14" t="d">
        <x:v>2026-10-23T00:00:00.000Z</x:v>
      </x:c>
      <x:c r="C328" s="26" t="n">
        <x:v>0.75</x:v>
      </x:c>
      <x:c r="D328" s="13" t="str">
        <x:v>presencial</x:v>
      </x:c>
      <x:c r="E328" s="13" t="str">
        <x:v>não</x:v>
      </x:c>
      <x:c r="F328" s="13" t="str">
        <x:v>Sala 1</x:v>
      </x:c>
      <x:c r="G328" s="12" t="n">
        <x:f>IF(A328="","",'Agenda'!$B$5)</x:f>
        <x:v>50</x:v>
      </x:c>
      <x:c r="H328" s="12" t="n">
        <x:f>IF(A328="","",'Agenda'!$B$6)</x:f>
        <x:v>10</x:v>
      </x:c>
      <x:c r="I328" s="24" t="n">
        <x:f>IF(A328="","",C328+G328/1440)</x:f>
        <x:v>0.7847222222222222</x:v>
      </x:c>
      <x:c r="J328" s="24" t="n">
        <x:f>IF(A328="","",C328+(G328+H328)/1440)</x:f>
        <x:v>0.7916666666666666</x:v>
      </x:c>
      <x:c r="K328" s="27" t="n">
        <x:f>IF(A328="","",IF(E328&lt;&gt;"sim",0,COUNTIFS($B$2:$B$501,B328,$F$2:$F$501,F328,$E$2:$E$501,"sim",$C$2:$C$501,"&lt;"&amp;J328,$J$2:$J$501,"&gt;"&amp;C328)-1))</x:f>
        <x:v>0</x:v>
      </x:c>
      <x:c r="L328" s="27" t="n">
        <x:f>IF(A328="","",IF(E328&lt;&gt;"sim",0,COUNTIFS($B$2:$B$501,B328,$A$2:$A$501,A328,$E$2:$E$501,"sim",$C$2:$C$501,"&lt;"&amp;J328,$J$2:$J$501,"&gt;"&amp;C328)-1))</x:f>
        <x:v>0</x:v>
      </x:c>
      <x:c r="M328" s="2" t="str">
        <x:f>IF(A328="","",IF(E328&lt;&gt;"sim","Revisar escala",IF(OR(K328&gt;0,L328&gt;0),"Conflito de escala",IF(COUNTIFS('Solicitacoes'!$F$2:$F$501,B328,'Solicitacoes'!$K$2:$K$501,F328,'Solicitacoes'!$I$2:$I$501,"pendente",'Solicitacoes'!$G$2:$G$501,"&lt;"&amp;J328,'Solicitacoes'!$N$2:$N$501,"&gt;"&amp;C328)+COUNTIFS('Solicitacoes'!$F$2:$F$501,B328,'Solicitacoes'!$E$2:$E$501,A328,'Solicitacoes'!$I$2:$I$501,"pendente",'Solicitacoes'!$G$2:$G$501,"&lt;"&amp;J328,'Solicitacoes'!$N$2:$N$501,"&gt;"&amp;C328)+COUNTIFS('Solicitacoes'!$F$2:$F$501,B328,'Solicitacoes'!$K$2:$K$501,F328,'Solicitacoes'!$I$2:$I$501,"confirmado",'Solicitacoes'!$G$2:$G$501,"&lt;"&amp;J328,'Solicitacoes'!$N$2:$N$501,"&gt;"&amp;C328)+COUNTIFS('Solicitacoes'!$F$2:$F$501,B328,'Solicitacoes'!$E$2:$E$501,A328,'Solicitacoes'!$I$2:$I$501,"confirmado",'Solicitacoes'!$G$2:$G$501,"&lt;"&amp;J328,'Solicitacoes'!$N$2:$N$501,"&gt;"&amp;C328)&gt;0,"Ocupado","Disponível"))))</x:f>
        <x:v>Revisar escala</x:v>
      </x:c>
      <x:c r="N328" s="2" t="n">
        <x:f>IF(A328="","",ROW()-1)</x:f>
        <x:v>327</x:v>
      </x:c>
    </x:row>
    <x:row r="329" ht="24" customHeight="1">
      <x:c r="A329" s="13" t="str">
        <x:v>Laura Casanova</x:v>
      </x:c>
      <x:c r="B329" s="14" t="d">
        <x:v>2026-10-23T00:00:00.000Z</x:v>
      </x:c>
      <x:c r="C329" s="26" t="n">
        <x:v>0.75</x:v>
      </x:c>
      <x:c r="D329" s="13" t="str">
        <x:v>presencial</x:v>
      </x:c>
      <x:c r="E329" s="13" t="str">
        <x:v>não</x:v>
      </x:c>
      <x:c r="F329" s="13" t="str">
        <x:v>Sala 2</x:v>
      </x:c>
      <x:c r="G329" s="12" t="n">
        <x:f>IF(A329="","",'Agenda'!$B$5)</x:f>
        <x:v>50</x:v>
      </x:c>
      <x:c r="H329" s="12" t="n">
        <x:f>IF(A329="","",'Agenda'!$B$6)</x:f>
        <x:v>10</x:v>
      </x:c>
      <x:c r="I329" s="24" t="n">
        <x:f>IF(A329="","",C329+G329/1440)</x:f>
        <x:v>0.7847222222222222</x:v>
      </x:c>
      <x:c r="J329" s="24" t="n">
        <x:f>IF(A329="","",C329+(G329+H329)/1440)</x:f>
        <x:v>0.7916666666666666</x:v>
      </x:c>
      <x:c r="K329" s="27" t="n">
        <x:f>IF(A329="","",IF(E329&lt;&gt;"sim",0,COUNTIFS($B$2:$B$501,B329,$F$2:$F$501,F329,$E$2:$E$501,"sim",$C$2:$C$501,"&lt;"&amp;J329,$J$2:$J$501,"&gt;"&amp;C329)-1))</x:f>
        <x:v>0</x:v>
      </x:c>
      <x:c r="L329" s="27" t="n">
        <x:f>IF(A329="","",IF(E329&lt;&gt;"sim",0,COUNTIFS($B$2:$B$501,B329,$A$2:$A$501,A329,$E$2:$E$501,"sim",$C$2:$C$501,"&lt;"&amp;J329,$J$2:$J$501,"&gt;"&amp;C329)-1))</x:f>
        <x:v>0</x:v>
      </x:c>
      <x:c r="M329" s="2" t="str">
        <x:f>IF(A329="","",IF(E329&lt;&gt;"sim","Revisar escala",IF(OR(K329&gt;0,L329&gt;0),"Conflito de escala",IF(COUNTIFS('Solicitacoes'!$F$2:$F$501,B329,'Solicitacoes'!$K$2:$K$501,F329,'Solicitacoes'!$I$2:$I$501,"pendente",'Solicitacoes'!$G$2:$G$501,"&lt;"&amp;J329,'Solicitacoes'!$N$2:$N$501,"&gt;"&amp;C329)+COUNTIFS('Solicitacoes'!$F$2:$F$501,B329,'Solicitacoes'!$E$2:$E$501,A329,'Solicitacoes'!$I$2:$I$501,"pendente",'Solicitacoes'!$G$2:$G$501,"&lt;"&amp;J329,'Solicitacoes'!$N$2:$N$501,"&gt;"&amp;C329)+COUNTIFS('Solicitacoes'!$F$2:$F$501,B329,'Solicitacoes'!$K$2:$K$501,F329,'Solicitacoes'!$I$2:$I$501,"confirmado",'Solicitacoes'!$G$2:$G$501,"&lt;"&amp;J329,'Solicitacoes'!$N$2:$N$501,"&gt;"&amp;C329)+COUNTIFS('Solicitacoes'!$F$2:$F$501,B329,'Solicitacoes'!$E$2:$E$501,A329,'Solicitacoes'!$I$2:$I$501,"confirmado",'Solicitacoes'!$G$2:$G$501,"&lt;"&amp;J329,'Solicitacoes'!$N$2:$N$501,"&gt;"&amp;C329)&gt;0,"Ocupado","Disponível"))))</x:f>
        <x:v>Revisar escala</x:v>
      </x:c>
      <x:c r="N329" s="2" t="n">
        <x:f>IF(A329="","",ROW()-1)</x:f>
        <x:v>328</x:v>
      </x:c>
    </x:row>
    <x:row r="330" ht="24" customHeight="1">
      <x:c r="A330" s="13" t="str">
        <x:v>Géssyca Martins</x:v>
      </x:c>
      <x:c r="B330" s="14" t="d">
        <x:v>2026-10-23T00:00:00.000Z</x:v>
      </x:c>
      <x:c r="C330" s="26" t="n">
        <x:v>0.7916666666666666</x:v>
      </x:c>
      <x:c r="D330" s="13" t="str">
        <x:v>presencial</x:v>
      </x:c>
      <x:c r="E330" s="13" t="str">
        <x:v>não</x:v>
      </x:c>
      <x:c r="F330" s="13" t="str">
        <x:v>Sala 1</x:v>
      </x:c>
      <x:c r="G330" s="12" t="n">
        <x:f>IF(A330="","",'Agenda'!$B$5)</x:f>
        <x:v>50</x:v>
      </x:c>
      <x:c r="H330" s="12" t="n">
        <x:f>IF(A330="","",'Agenda'!$B$6)</x:f>
        <x:v>10</x:v>
      </x:c>
      <x:c r="I330" s="24" t="n">
        <x:f>IF(A330="","",C330+G330/1440)</x:f>
        <x:v>0.8263888888888888</x:v>
      </x:c>
      <x:c r="J330" s="24" t="n">
        <x:f>IF(A330="","",C330+(G330+H330)/1440)</x:f>
        <x:v>0.8333333333333333</x:v>
      </x:c>
      <x:c r="K330" s="27" t="n">
        <x:f>IF(A330="","",IF(E330&lt;&gt;"sim",0,COUNTIFS($B$2:$B$501,B330,$F$2:$F$501,F330,$E$2:$E$501,"sim",$C$2:$C$501,"&lt;"&amp;J330,$J$2:$J$501,"&gt;"&amp;C330)-1))</x:f>
        <x:v>0</x:v>
      </x:c>
      <x:c r="L330" s="27" t="n">
        <x:f>IF(A330="","",IF(E330&lt;&gt;"sim",0,COUNTIFS($B$2:$B$501,B330,$A$2:$A$501,A330,$E$2:$E$501,"sim",$C$2:$C$501,"&lt;"&amp;J330,$J$2:$J$501,"&gt;"&amp;C330)-1))</x:f>
        <x:v>0</x:v>
      </x:c>
      <x:c r="M330" s="2" t="str">
        <x:f>IF(A330="","",IF(E330&lt;&gt;"sim","Revisar escala",IF(OR(K330&gt;0,L330&gt;0),"Conflito de escala",IF(COUNTIFS('Solicitacoes'!$F$2:$F$501,B330,'Solicitacoes'!$K$2:$K$501,F330,'Solicitacoes'!$I$2:$I$501,"pendente",'Solicitacoes'!$G$2:$G$501,"&lt;"&amp;J330,'Solicitacoes'!$N$2:$N$501,"&gt;"&amp;C330)+COUNTIFS('Solicitacoes'!$F$2:$F$501,B330,'Solicitacoes'!$E$2:$E$501,A330,'Solicitacoes'!$I$2:$I$501,"pendente",'Solicitacoes'!$G$2:$G$501,"&lt;"&amp;J330,'Solicitacoes'!$N$2:$N$501,"&gt;"&amp;C330)+COUNTIFS('Solicitacoes'!$F$2:$F$501,B330,'Solicitacoes'!$K$2:$K$501,F330,'Solicitacoes'!$I$2:$I$501,"confirmado",'Solicitacoes'!$G$2:$G$501,"&lt;"&amp;J330,'Solicitacoes'!$N$2:$N$501,"&gt;"&amp;C330)+COUNTIFS('Solicitacoes'!$F$2:$F$501,B330,'Solicitacoes'!$E$2:$E$501,A330,'Solicitacoes'!$I$2:$I$501,"confirmado",'Solicitacoes'!$G$2:$G$501,"&lt;"&amp;J330,'Solicitacoes'!$N$2:$N$501,"&gt;"&amp;C330)&gt;0,"Ocupado","Disponível"))))</x:f>
        <x:v>Revisar escala</x:v>
      </x:c>
      <x:c r="N330" s="2" t="n">
        <x:f>IF(A330="","",ROW()-1)</x:f>
        <x:v>329</x:v>
      </x:c>
    </x:row>
    <x:row r="331" ht="24" customHeight="1">
      <x:c r="A331" s="13" t="str">
        <x:v>Laura Casanova</x:v>
      </x:c>
      <x:c r="B331" s="14" t="d">
        <x:v>2026-10-23T00:00:00.000Z</x:v>
      </x:c>
      <x:c r="C331" s="26" t="n">
        <x:v>0.7916666666666666</x:v>
      </x:c>
      <x:c r="D331" s="13" t="str">
        <x:v>presencial</x:v>
      </x:c>
      <x:c r="E331" s="13" t="str">
        <x:v>não</x:v>
      </x:c>
      <x:c r="F331" s="13" t="str">
        <x:v>Sala 2</x:v>
      </x:c>
      <x:c r="G331" s="12" t="n">
        <x:f>IF(A331="","",'Agenda'!$B$5)</x:f>
        <x:v>50</x:v>
      </x:c>
      <x:c r="H331" s="12" t="n">
        <x:f>IF(A331="","",'Agenda'!$B$6)</x:f>
        <x:v>10</x:v>
      </x:c>
      <x:c r="I331" s="24" t="n">
        <x:f>IF(A331="","",C331+G331/1440)</x:f>
        <x:v>0.8263888888888888</x:v>
      </x:c>
      <x:c r="J331" s="24" t="n">
        <x:f>IF(A331="","",C331+(G331+H331)/1440)</x:f>
        <x:v>0.8333333333333333</x:v>
      </x:c>
      <x:c r="K331" s="27" t="n">
        <x:f>IF(A331="","",IF(E331&lt;&gt;"sim",0,COUNTIFS($B$2:$B$501,B331,$F$2:$F$501,F331,$E$2:$E$501,"sim",$C$2:$C$501,"&lt;"&amp;J331,$J$2:$J$501,"&gt;"&amp;C331)-1))</x:f>
        <x:v>0</x:v>
      </x:c>
      <x:c r="L331" s="27" t="n">
        <x:f>IF(A331="","",IF(E331&lt;&gt;"sim",0,COUNTIFS($B$2:$B$501,B331,$A$2:$A$501,A331,$E$2:$E$501,"sim",$C$2:$C$501,"&lt;"&amp;J331,$J$2:$J$501,"&gt;"&amp;C331)-1))</x:f>
        <x:v>0</x:v>
      </x:c>
      <x:c r="M331" s="2" t="str">
        <x:f>IF(A331="","",IF(E331&lt;&gt;"sim","Revisar escala",IF(OR(K331&gt;0,L331&gt;0),"Conflito de escala",IF(COUNTIFS('Solicitacoes'!$F$2:$F$501,B331,'Solicitacoes'!$K$2:$K$501,F331,'Solicitacoes'!$I$2:$I$501,"pendente",'Solicitacoes'!$G$2:$G$501,"&lt;"&amp;J331,'Solicitacoes'!$N$2:$N$501,"&gt;"&amp;C331)+COUNTIFS('Solicitacoes'!$F$2:$F$501,B331,'Solicitacoes'!$E$2:$E$501,A331,'Solicitacoes'!$I$2:$I$501,"pendente",'Solicitacoes'!$G$2:$G$501,"&lt;"&amp;J331,'Solicitacoes'!$N$2:$N$501,"&gt;"&amp;C331)+COUNTIFS('Solicitacoes'!$F$2:$F$501,B331,'Solicitacoes'!$K$2:$K$501,F331,'Solicitacoes'!$I$2:$I$501,"confirmado",'Solicitacoes'!$G$2:$G$501,"&lt;"&amp;J331,'Solicitacoes'!$N$2:$N$501,"&gt;"&amp;C331)+COUNTIFS('Solicitacoes'!$F$2:$F$501,B331,'Solicitacoes'!$E$2:$E$501,A331,'Solicitacoes'!$I$2:$I$501,"confirmado",'Solicitacoes'!$G$2:$G$501,"&lt;"&amp;J331,'Solicitacoes'!$N$2:$N$501,"&gt;"&amp;C331)&gt;0,"Ocupado","Disponível"))))</x:f>
        <x:v>Revisar escala</x:v>
      </x:c>
      <x:c r="N331" s="2" t="n">
        <x:f>IF(A331="","",ROW()-1)</x:f>
        <x:v>330</x:v>
      </x:c>
    </x:row>
    <x:row r="332" ht="24" customHeight="1">
      <x:c r="A332" s="13" t="str">
        <x:v>Aline Reis</x:v>
      </x:c>
      <x:c r="B332" s="14" t="d">
        <x:v>2026-10-26T00:00:00.000Z</x:v>
      </x:c>
      <x:c r="C332" s="26" t="n">
        <x:v>0.375</x:v>
      </x:c>
      <x:c r="D332" s="13" t="str">
        <x:v>presencial</x:v>
      </x:c>
      <x:c r="E332" s="13" t="str">
        <x:v>não</x:v>
      </x:c>
      <x:c r="F332" s="13" t="str">
        <x:v>Sala 1</x:v>
      </x:c>
      <x:c r="G332" s="12" t="n">
        <x:f>IF(A332="","",'Agenda'!$B$5)</x:f>
        <x:v>50</x:v>
      </x:c>
      <x:c r="H332" s="12" t="n">
        <x:f>IF(A332="","",'Agenda'!$B$6)</x:f>
        <x:v>10</x:v>
      </x:c>
      <x:c r="I332" s="24" t="n">
        <x:f>IF(A332="","",C332+G332/1440)</x:f>
        <x:v>0.4097222222222222</x:v>
      </x:c>
      <x:c r="J332" s="24" t="n">
        <x:f>IF(A332="","",C332+(G332+H332)/1440)</x:f>
        <x:v>0.4166666666666667</x:v>
      </x:c>
      <x:c r="K332" s="27" t="n">
        <x:f>IF(A332="","",IF(E332&lt;&gt;"sim",0,COUNTIFS($B$2:$B$501,B332,$F$2:$F$501,F332,$E$2:$E$501,"sim",$C$2:$C$501,"&lt;"&amp;J332,$J$2:$J$501,"&gt;"&amp;C332)-1))</x:f>
        <x:v>0</x:v>
      </x:c>
      <x:c r="L332" s="27" t="n">
        <x:f>IF(A332="","",IF(E332&lt;&gt;"sim",0,COUNTIFS($B$2:$B$501,B332,$A$2:$A$501,A332,$E$2:$E$501,"sim",$C$2:$C$501,"&lt;"&amp;J332,$J$2:$J$501,"&gt;"&amp;C332)-1))</x:f>
        <x:v>0</x:v>
      </x:c>
      <x:c r="M332" s="2" t="str">
        <x:f>IF(A332="","",IF(E332&lt;&gt;"sim","Revisar escala",IF(OR(K332&gt;0,L332&gt;0),"Conflito de escala",IF(COUNTIFS('Solicitacoes'!$F$2:$F$501,B332,'Solicitacoes'!$K$2:$K$501,F332,'Solicitacoes'!$I$2:$I$501,"pendente",'Solicitacoes'!$G$2:$G$501,"&lt;"&amp;J332,'Solicitacoes'!$N$2:$N$501,"&gt;"&amp;C332)+COUNTIFS('Solicitacoes'!$F$2:$F$501,B332,'Solicitacoes'!$E$2:$E$501,A332,'Solicitacoes'!$I$2:$I$501,"pendente",'Solicitacoes'!$G$2:$G$501,"&lt;"&amp;J332,'Solicitacoes'!$N$2:$N$501,"&gt;"&amp;C332)+COUNTIFS('Solicitacoes'!$F$2:$F$501,B332,'Solicitacoes'!$K$2:$K$501,F332,'Solicitacoes'!$I$2:$I$501,"confirmado",'Solicitacoes'!$G$2:$G$501,"&lt;"&amp;J332,'Solicitacoes'!$N$2:$N$501,"&gt;"&amp;C332)+COUNTIFS('Solicitacoes'!$F$2:$F$501,B332,'Solicitacoes'!$E$2:$E$501,A332,'Solicitacoes'!$I$2:$I$501,"confirmado",'Solicitacoes'!$G$2:$G$501,"&lt;"&amp;J332,'Solicitacoes'!$N$2:$N$501,"&gt;"&amp;C332)&gt;0,"Ocupado","Disponível"))))</x:f>
        <x:v>Revisar escala</x:v>
      </x:c>
      <x:c r="N332" s="2" t="n">
        <x:f>IF(A332="","",ROW()-1)</x:f>
        <x:v>331</x:v>
      </x:c>
    </x:row>
    <x:row r="333" ht="24" customHeight="1">
      <x:c r="A333" s="13" t="str">
        <x:v>Géssyca Martins</x:v>
      </x:c>
      <x:c r="B333" s="14" t="d">
        <x:v>2026-10-26T00:00:00.000Z</x:v>
      </x:c>
      <x:c r="C333" s="26" t="n">
        <x:v>0.375</x:v>
      </x:c>
      <x:c r="D333" s="13" t="str">
        <x:v>presencial</x:v>
      </x:c>
      <x:c r="E333" s="13" t="str">
        <x:v>não</x:v>
      </x:c>
      <x:c r="F333" s="13" t="str">
        <x:v>Sala 2</x:v>
      </x:c>
      <x:c r="G333" s="12" t="n">
        <x:f>IF(A333="","",'Agenda'!$B$5)</x:f>
        <x:v>50</x:v>
      </x:c>
      <x:c r="H333" s="12" t="n">
        <x:f>IF(A333="","",'Agenda'!$B$6)</x:f>
        <x:v>10</x:v>
      </x:c>
      <x:c r="I333" s="24" t="n">
        <x:f>IF(A333="","",C333+G333/1440)</x:f>
        <x:v>0.4097222222222222</x:v>
      </x:c>
      <x:c r="J333" s="24" t="n">
        <x:f>IF(A333="","",C333+(G333+H333)/1440)</x:f>
        <x:v>0.4166666666666667</x:v>
      </x:c>
      <x:c r="K333" s="27" t="n">
        <x:f>IF(A333="","",IF(E333&lt;&gt;"sim",0,COUNTIFS($B$2:$B$501,B333,$F$2:$F$501,F333,$E$2:$E$501,"sim",$C$2:$C$501,"&lt;"&amp;J333,$J$2:$J$501,"&gt;"&amp;C333)-1))</x:f>
        <x:v>0</x:v>
      </x:c>
      <x:c r="L333" s="27" t="n">
        <x:f>IF(A333="","",IF(E333&lt;&gt;"sim",0,COUNTIFS($B$2:$B$501,B333,$A$2:$A$501,A333,$E$2:$E$501,"sim",$C$2:$C$501,"&lt;"&amp;J333,$J$2:$J$501,"&gt;"&amp;C333)-1))</x:f>
        <x:v>0</x:v>
      </x:c>
      <x:c r="M333" s="2" t="str">
        <x:f>IF(A333="","",IF(E333&lt;&gt;"sim","Revisar escala",IF(OR(K333&gt;0,L333&gt;0),"Conflito de escala",IF(COUNTIFS('Solicitacoes'!$F$2:$F$501,B333,'Solicitacoes'!$K$2:$K$501,F333,'Solicitacoes'!$I$2:$I$501,"pendente",'Solicitacoes'!$G$2:$G$501,"&lt;"&amp;J333,'Solicitacoes'!$N$2:$N$501,"&gt;"&amp;C333)+COUNTIFS('Solicitacoes'!$F$2:$F$501,B333,'Solicitacoes'!$E$2:$E$501,A333,'Solicitacoes'!$I$2:$I$501,"pendente",'Solicitacoes'!$G$2:$G$501,"&lt;"&amp;J333,'Solicitacoes'!$N$2:$N$501,"&gt;"&amp;C333)+COUNTIFS('Solicitacoes'!$F$2:$F$501,B333,'Solicitacoes'!$K$2:$K$501,F333,'Solicitacoes'!$I$2:$I$501,"confirmado",'Solicitacoes'!$G$2:$G$501,"&lt;"&amp;J333,'Solicitacoes'!$N$2:$N$501,"&gt;"&amp;C333)+COUNTIFS('Solicitacoes'!$F$2:$F$501,B333,'Solicitacoes'!$E$2:$E$501,A333,'Solicitacoes'!$I$2:$I$501,"confirmado",'Solicitacoes'!$G$2:$G$501,"&lt;"&amp;J333,'Solicitacoes'!$N$2:$N$501,"&gt;"&amp;C333)&gt;0,"Ocupado","Disponível"))))</x:f>
        <x:v>Revisar escala</x:v>
      </x:c>
      <x:c r="N333" s="2" t="n">
        <x:f>IF(A333="","",ROW()-1)</x:f>
        <x:v>332</x:v>
      </x:c>
    </x:row>
    <x:row r="334" ht="24" customHeight="1">
      <x:c r="A334" s="13" t="str">
        <x:v>Aline Reis</x:v>
      </x:c>
      <x:c r="B334" s="14" t="d">
        <x:v>2026-10-26T00:00:00.000Z</x:v>
      </x:c>
      <x:c r="C334" s="26" t="n">
        <x:v>0.4166666666666667</x:v>
      </x:c>
      <x:c r="D334" s="13" t="str">
        <x:v>presencial</x:v>
      </x:c>
      <x:c r="E334" s="13" t="str">
        <x:v>não</x:v>
      </x:c>
      <x:c r="F334" s="13" t="str">
        <x:v>Sala 1</x:v>
      </x:c>
      <x:c r="G334" s="12" t="n">
        <x:f>IF(A334="","",'Agenda'!$B$5)</x:f>
        <x:v>50</x:v>
      </x:c>
      <x:c r="H334" s="12" t="n">
        <x:f>IF(A334="","",'Agenda'!$B$6)</x:f>
        <x:v>10</x:v>
      </x:c>
      <x:c r="I334" s="24" t="n">
        <x:f>IF(A334="","",C334+G334/1440)</x:f>
        <x:v>0.4513888888888889</x:v>
      </x:c>
      <x:c r="J334" s="24" t="n">
        <x:f>IF(A334="","",C334+(G334+H334)/1440)</x:f>
        <x:v>0.45833333333333337</x:v>
      </x:c>
      <x:c r="K334" s="27" t="n">
        <x:f>IF(A334="","",IF(E334&lt;&gt;"sim",0,COUNTIFS($B$2:$B$501,B334,$F$2:$F$501,F334,$E$2:$E$501,"sim",$C$2:$C$501,"&lt;"&amp;J334,$J$2:$J$501,"&gt;"&amp;C334)-1))</x:f>
        <x:v>0</x:v>
      </x:c>
      <x:c r="L334" s="27" t="n">
        <x:f>IF(A334="","",IF(E334&lt;&gt;"sim",0,COUNTIFS($B$2:$B$501,B334,$A$2:$A$501,A334,$E$2:$E$501,"sim",$C$2:$C$501,"&lt;"&amp;J334,$J$2:$J$501,"&gt;"&amp;C334)-1))</x:f>
        <x:v>0</x:v>
      </x:c>
      <x:c r="M334" s="2" t="str">
        <x:f>IF(A334="","",IF(E334&lt;&gt;"sim","Revisar escala",IF(OR(K334&gt;0,L334&gt;0),"Conflito de escala",IF(COUNTIFS('Solicitacoes'!$F$2:$F$501,B334,'Solicitacoes'!$K$2:$K$501,F334,'Solicitacoes'!$I$2:$I$501,"pendente",'Solicitacoes'!$G$2:$G$501,"&lt;"&amp;J334,'Solicitacoes'!$N$2:$N$501,"&gt;"&amp;C334)+COUNTIFS('Solicitacoes'!$F$2:$F$501,B334,'Solicitacoes'!$E$2:$E$501,A334,'Solicitacoes'!$I$2:$I$501,"pendente",'Solicitacoes'!$G$2:$G$501,"&lt;"&amp;J334,'Solicitacoes'!$N$2:$N$501,"&gt;"&amp;C334)+COUNTIFS('Solicitacoes'!$F$2:$F$501,B334,'Solicitacoes'!$K$2:$K$501,F334,'Solicitacoes'!$I$2:$I$501,"confirmado",'Solicitacoes'!$G$2:$G$501,"&lt;"&amp;J334,'Solicitacoes'!$N$2:$N$501,"&gt;"&amp;C334)+COUNTIFS('Solicitacoes'!$F$2:$F$501,B334,'Solicitacoes'!$E$2:$E$501,A334,'Solicitacoes'!$I$2:$I$501,"confirmado",'Solicitacoes'!$G$2:$G$501,"&lt;"&amp;J334,'Solicitacoes'!$N$2:$N$501,"&gt;"&amp;C334)&gt;0,"Ocupado","Disponível"))))</x:f>
        <x:v>Revisar escala</x:v>
      </x:c>
      <x:c r="N334" s="2" t="n">
        <x:f>IF(A334="","",ROW()-1)</x:f>
        <x:v>333</x:v>
      </x:c>
    </x:row>
    <x:row r="335" ht="24" customHeight="1">
      <x:c r="A335" s="13" t="str">
        <x:v>Géssyca Martins</x:v>
      </x:c>
      <x:c r="B335" s="14" t="d">
        <x:v>2026-10-26T00:00:00.000Z</x:v>
      </x:c>
      <x:c r="C335" s="26" t="n">
        <x:v>0.4166666666666667</x:v>
      </x:c>
      <x:c r="D335" s="13" t="str">
        <x:v>presencial</x:v>
      </x:c>
      <x:c r="E335" s="13" t="str">
        <x:v>não</x:v>
      </x:c>
      <x:c r="F335" s="13" t="str">
        <x:v>Sala 2</x:v>
      </x:c>
      <x:c r="G335" s="12" t="n">
        <x:f>IF(A335="","",'Agenda'!$B$5)</x:f>
        <x:v>50</x:v>
      </x:c>
      <x:c r="H335" s="12" t="n">
        <x:f>IF(A335="","",'Agenda'!$B$6)</x:f>
        <x:v>10</x:v>
      </x:c>
      <x:c r="I335" s="24" t="n">
        <x:f>IF(A335="","",C335+G335/1440)</x:f>
        <x:v>0.4513888888888889</x:v>
      </x:c>
      <x:c r="J335" s="24" t="n">
        <x:f>IF(A335="","",C335+(G335+H335)/1440)</x:f>
        <x:v>0.45833333333333337</x:v>
      </x:c>
      <x:c r="K335" s="27" t="n">
        <x:f>IF(A335="","",IF(E335&lt;&gt;"sim",0,COUNTIFS($B$2:$B$501,B335,$F$2:$F$501,F335,$E$2:$E$501,"sim",$C$2:$C$501,"&lt;"&amp;J335,$J$2:$J$501,"&gt;"&amp;C335)-1))</x:f>
        <x:v>0</x:v>
      </x:c>
      <x:c r="L335" s="27" t="n">
        <x:f>IF(A335="","",IF(E335&lt;&gt;"sim",0,COUNTIFS($B$2:$B$501,B335,$A$2:$A$501,A335,$E$2:$E$501,"sim",$C$2:$C$501,"&lt;"&amp;J335,$J$2:$J$501,"&gt;"&amp;C335)-1))</x:f>
        <x:v>0</x:v>
      </x:c>
      <x:c r="M335" s="2" t="str">
        <x:f>IF(A335="","",IF(E335&lt;&gt;"sim","Revisar escala",IF(OR(K335&gt;0,L335&gt;0),"Conflito de escala",IF(COUNTIFS('Solicitacoes'!$F$2:$F$501,B335,'Solicitacoes'!$K$2:$K$501,F335,'Solicitacoes'!$I$2:$I$501,"pendente",'Solicitacoes'!$G$2:$G$501,"&lt;"&amp;J335,'Solicitacoes'!$N$2:$N$501,"&gt;"&amp;C335)+COUNTIFS('Solicitacoes'!$F$2:$F$501,B335,'Solicitacoes'!$E$2:$E$501,A335,'Solicitacoes'!$I$2:$I$501,"pendente",'Solicitacoes'!$G$2:$G$501,"&lt;"&amp;J335,'Solicitacoes'!$N$2:$N$501,"&gt;"&amp;C335)+COUNTIFS('Solicitacoes'!$F$2:$F$501,B335,'Solicitacoes'!$K$2:$K$501,F335,'Solicitacoes'!$I$2:$I$501,"confirmado",'Solicitacoes'!$G$2:$G$501,"&lt;"&amp;J335,'Solicitacoes'!$N$2:$N$501,"&gt;"&amp;C335)+COUNTIFS('Solicitacoes'!$F$2:$F$501,B335,'Solicitacoes'!$E$2:$E$501,A335,'Solicitacoes'!$I$2:$I$501,"confirmado",'Solicitacoes'!$G$2:$G$501,"&lt;"&amp;J335,'Solicitacoes'!$N$2:$N$501,"&gt;"&amp;C335)&gt;0,"Ocupado","Disponível"))))</x:f>
        <x:v>Revisar escala</x:v>
      </x:c>
      <x:c r="N335" s="2" t="n">
        <x:f>IF(A335="","",ROW()-1)</x:f>
        <x:v>334</x:v>
      </x:c>
    </x:row>
    <x:row r="336" ht="24" customHeight="1">
      <x:c r="A336" s="13" t="str">
        <x:v>Aline Reis</x:v>
      </x:c>
      <x:c r="B336" s="14" t="d">
        <x:v>2026-10-26T00:00:00.000Z</x:v>
      </x:c>
      <x:c r="C336" s="26" t="n">
        <x:v>0.4583333333333333</x:v>
      </x:c>
      <x:c r="D336" s="13" t="str">
        <x:v>presencial</x:v>
      </x:c>
      <x:c r="E336" s="13" t="str">
        <x:v>não</x:v>
      </x:c>
      <x:c r="F336" s="13" t="str">
        <x:v>Sala 1</x:v>
      </x:c>
      <x:c r="G336" s="12" t="n">
        <x:f>IF(A336="","",'Agenda'!$B$5)</x:f>
        <x:v>50</x:v>
      </x:c>
      <x:c r="H336" s="12" t="n">
        <x:f>IF(A336="","",'Agenda'!$B$6)</x:f>
        <x:v>10</x:v>
      </x:c>
      <x:c r="I336" s="24" t="n">
        <x:f>IF(A336="","",C336+G336/1440)</x:f>
        <x:v>0.4930555555555555</x:v>
      </x:c>
      <x:c r="J336" s="24" t="n">
        <x:f>IF(A336="","",C336+(G336+H336)/1440)</x:f>
        <x:v>0.5</x:v>
      </x:c>
      <x:c r="K336" s="27" t="n">
        <x:f>IF(A336="","",IF(E336&lt;&gt;"sim",0,COUNTIFS($B$2:$B$501,B336,$F$2:$F$501,F336,$E$2:$E$501,"sim",$C$2:$C$501,"&lt;"&amp;J336,$J$2:$J$501,"&gt;"&amp;C336)-1))</x:f>
        <x:v>0</x:v>
      </x:c>
      <x:c r="L336" s="27" t="n">
        <x:f>IF(A336="","",IF(E336&lt;&gt;"sim",0,COUNTIFS($B$2:$B$501,B336,$A$2:$A$501,A336,$E$2:$E$501,"sim",$C$2:$C$501,"&lt;"&amp;J336,$J$2:$J$501,"&gt;"&amp;C336)-1))</x:f>
        <x:v>0</x:v>
      </x:c>
      <x:c r="M336" s="2" t="str">
        <x:f>IF(A336="","",IF(E336&lt;&gt;"sim","Revisar escala",IF(OR(K336&gt;0,L336&gt;0),"Conflito de escala",IF(COUNTIFS('Solicitacoes'!$F$2:$F$501,B336,'Solicitacoes'!$K$2:$K$501,F336,'Solicitacoes'!$I$2:$I$501,"pendente",'Solicitacoes'!$G$2:$G$501,"&lt;"&amp;J336,'Solicitacoes'!$N$2:$N$501,"&gt;"&amp;C336)+COUNTIFS('Solicitacoes'!$F$2:$F$501,B336,'Solicitacoes'!$E$2:$E$501,A336,'Solicitacoes'!$I$2:$I$501,"pendente",'Solicitacoes'!$G$2:$G$501,"&lt;"&amp;J336,'Solicitacoes'!$N$2:$N$501,"&gt;"&amp;C336)+COUNTIFS('Solicitacoes'!$F$2:$F$501,B336,'Solicitacoes'!$K$2:$K$501,F336,'Solicitacoes'!$I$2:$I$501,"confirmado",'Solicitacoes'!$G$2:$G$501,"&lt;"&amp;J336,'Solicitacoes'!$N$2:$N$501,"&gt;"&amp;C336)+COUNTIFS('Solicitacoes'!$F$2:$F$501,B336,'Solicitacoes'!$E$2:$E$501,A336,'Solicitacoes'!$I$2:$I$501,"confirmado",'Solicitacoes'!$G$2:$G$501,"&lt;"&amp;J336,'Solicitacoes'!$N$2:$N$501,"&gt;"&amp;C336)&gt;0,"Ocupado","Disponível"))))</x:f>
        <x:v>Revisar escala</x:v>
      </x:c>
      <x:c r="N336" s="2" t="n">
        <x:f>IF(A336="","",ROW()-1)</x:f>
        <x:v>335</x:v>
      </x:c>
    </x:row>
    <x:row r="337" ht="24" customHeight="1">
      <x:c r="A337" s="13" t="str">
        <x:v>Géssyca Martins</x:v>
      </x:c>
      <x:c r="B337" s="14" t="d">
        <x:v>2026-10-26T00:00:00.000Z</x:v>
      </x:c>
      <x:c r="C337" s="26" t="n">
        <x:v>0.4583333333333333</x:v>
      </x:c>
      <x:c r="D337" s="13" t="str">
        <x:v>presencial</x:v>
      </x:c>
      <x:c r="E337" s="13" t="str">
        <x:v>não</x:v>
      </x:c>
      <x:c r="F337" s="13" t="str">
        <x:v>Sala 2</x:v>
      </x:c>
      <x:c r="G337" s="12" t="n">
        <x:f>IF(A337="","",'Agenda'!$B$5)</x:f>
        <x:v>50</x:v>
      </x:c>
      <x:c r="H337" s="12" t="n">
        <x:f>IF(A337="","",'Agenda'!$B$6)</x:f>
        <x:v>10</x:v>
      </x:c>
      <x:c r="I337" s="24" t="n">
        <x:f>IF(A337="","",C337+G337/1440)</x:f>
        <x:v>0.4930555555555555</x:v>
      </x:c>
      <x:c r="J337" s="24" t="n">
        <x:f>IF(A337="","",C337+(G337+H337)/1440)</x:f>
        <x:v>0.5</x:v>
      </x:c>
      <x:c r="K337" s="27" t="n">
        <x:f>IF(A337="","",IF(E337&lt;&gt;"sim",0,COUNTIFS($B$2:$B$501,B337,$F$2:$F$501,F337,$E$2:$E$501,"sim",$C$2:$C$501,"&lt;"&amp;J337,$J$2:$J$501,"&gt;"&amp;C337)-1))</x:f>
        <x:v>0</x:v>
      </x:c>
      <x:c r="L337" s="27" t="n">
        <x:f>IF(A337="","",IF(E337&lt;&gt;"sim",0,COUNTIFS($B$2:$B$501,B337,$A$2:$A$501,A337,$E$2:$E$501,"sim",$C$2:$C$501,"&lt;"&amp;J337,$J$2:$J$501,"&gt;"&amp;C337)-1))</x:f>
        <x:v>0</x:v>
      </x:c>
      <x:c r="M337" s="2" t="str">
        <x:f>IF(A337="","",IF(E337&lt;&gt;"sim","Revisar escala",IF(OR(K337&gt;0,L337&gt;0),"Conflito de escala",IF(COUNTIFS('Solicitacoes'!$F$2:$F$501,B337,'Solicitacoes'!$K$2:$K$501,F337,'Solicitacoes'!$I$2:$I$501,"pendente",'Solicitacoes'!$G$2:$G$501,"&lt;"&amp;J337,'Solicitacoes'!$N$2:$N$501,"&gt;"&amp;C337)+COUNTIFS('Solicitacoes'!$F$2:$F$501,B337,'Solicitacoes'!$E$2:$E$501,A337,'Solicitacoes'!$I$2:$I$501,"pendente",'Solicitacoes'!$G$2:$G$501,"&lt;"&amp;J337,'Solicitacoes'!$N$2:$N$501,"&gt;"&amp;C337)+COUNTIFS('Solicitacoes'!$F$2:$F$501,B337,'Solicitacoes'!$K$2:$K$501,F337,'Solicitacoes'!$I$2:$I$501,"confirmado",'Solicitacoes'!$G$2:$G$501,"&lt;"&amp;J337,'Solicitacoes'!$N$2:$N$501,"&gt;"&amp;C337)+COUNTIFS('Solicitacoes'!$F$2:$F$501,B337,'Solicitacoes'!$E$2:$E$501,A337,'Solicitacoes'!$I$2:$I$501,"confirmado",'Solicitacoes'!$G$2:$G$501,"&lt;"&amp;J337,'Solicitacoes'!$N$2:$N$501,"&gt;"&amp;C337)&gt;0,"Ocupado","Disponível"))))</x:f>
        <x:v>Revisar escala</x:v>
      </x:c>
      <x:c r="N337" s="2" t="n">
        <x:f>IF(A337="","",ROW()-1)</x:f>
        <x:v>336</x:v>
      </x:c>
    </x:row>
    <x:row r="338" ht="24" customHeight="1">
      <x:c r="A338" s="13" t="str">
        <x:v>Aline Reis</x:v>
      </x:c>
      <x:c r="B338" s="14" t="d">
        <x:v>2026-10-26T00:00:00.000Z</x:v>
      </x:c>
      <x:c r="C338" s="26" t="n">
        <x:v>0.5</x:v>
      </x:c>
      <x:c r="D338" s="13" t="str">
        <x:v>presencial</x:v>
      </x:c>
      <x:c r="E338" s="13" t="str">
        <x:v>não</x:v>
      </x:c>
      <x:c r="F338" s="13" t="str">
        <x:v>Sala 1</x:v>
      </x:c>
      <x:c r="G338" s="12" t="n">
        <x:f>IF(A338="","",'Agenda'!$B$5)</x:f>
        <x:v>50</x:v>
      </x:c>
      <x:c r="H338" s="12" t="n">
        <x:f>IF(A338="","",'Agenda'!$B$6)</x:f>
        <x:v>10</x:v>
      </x:c>
      <x:c r="I338" s="24" t="n">
        <x:f>IF(A338="","",C338+G338/1440)</x:f>
        <x:v>0.5347222222222222</x:v>
      </x:c>
      <x:c r="J338" s="24" t="n">
        <x:f>IF(A338="","",C338+(G338+H338)/1440)</x:f>
        <x:v>0.5416666666666666</x:v>
      </x:c>
      <x:c r="K338" s="27" t="n">
        <x:f>IF(A338="","",IF(E338&lt;&gt;"sim",0,COUNTIFS($B$2:$B$501,B338,$F$2:$F$501,F338,$E$2:$E$501,"sim",$C$2:$C$501,"&lt;"&amp;J338,$J$2:$J$501,"&gt;"&amp;C338)-1))</x:f>
        <x:v>0</x:v>
      </x:c>
      <x:c r="L338" s="27" t="n">
        <x:f>IF(A338="","",IF(E338&lt;&gt;"sim",0,COUNTIFS($B$2:$B$501,B338,$A$2:$A$501,A338,$E$2:$E$501,"sim",$C$2:$C$501,"&lt;"&amp;J338,$J$2:$J$501,"&gt;"&amp;C338)-1))</x:f>
        <x:v>0</x:v>
      </x:c>
      <x:c r="M338" s="2" t="str">
        <x:f>IF(A338="","",IF(E338&lt;&gt;"sim","Revisar escala",IF(OR(K338&gt;0,L338&gt;0),"Conflito de escala",IF(COUNTIFS('Solicitacoes'!$F$2:$F$501,B338,'Solicitacoes'!$K$2:$K$501,F338,'Solicitacoes'!$I$2:$I$501,"pendente",'Solicitacoes'!$G$2:$G$501,"&lt;"&amp;J338,'Solicitacoes'!$N$2:$N$501,"&gt;"&amp;C338)+COUNTIFS('Solicitacoes'!$F$2:$F$501,B338,'Solicitacoes'!$E$2:$E$501,A338,'Solicitacoes'!$I$2:$I$501,"pendente",'Solicitacoes'!$G$2:$G$501,"&lt;"&amp;J338,'Solicitacoes'!$N$2:$N$501,"&gt;"&amp;C338)+COUNTIFS('Solicitacoes'!$F$2:$F$501,B338,'Solicitacoes'!$K$2:$K$501,F338,'Solicitacoes'!$I$2:$I$501,"confirmado",'Solicitacoes'!$G$2:$G$501,"&lt;"&amp;J338,'Solicitacoes'!$N$2:$N$501,"&gt;"&amp;C338)+COUNTIFS('Solicitacoes'!$F$2:$F$501,B338,'Solicitacoes'!$E$2:$E$501,A338,'Solicitacoes'!$I$2:$I$501,"confirmado",'Solicitacoes'!$G$2:$G$501,"&lt;"&amp;J338,'Solicitacoes'!$N$2:$N$501,"&gt;"&amp;C338)&gt;0,"Ocupado","Disponível"))))</x:f>
        <x:v>Revisar escala</x:v>
      </x:c>
      <x:c r="N338" s="2" t="n">
        <x:f>IF(A338="","",ROW()-1)</x:f>
        <x:v>337</x:v>
      </x:c>
    </x:row>
    <x:row r="339" ht="24" customHeight="1">
      <x:c r="A339" s="13" t="str">
        <x:v>Géssyca Martins</x:v>
      </x:c>
      <x:c r="B339" s="14" t="d">
        <x:v>2026-10-26T00:00:00.000Z</x:v>
      </x:c>
      <x:c r="C339" s="26" t="n">
        <x:v>0.5</x:v>
      </x:c>
      <x:c r="D339" s="13" t="str">
        <x:v>presencial</x:v>
      </x:c>
      <x:c r="E339" s="13" t="str">
        <x:v>não</x:v>
      </x:c>
      <x:c r="F339" s="13" t="str">
        <x:v>Sala 2</x:v>
      </x:c>
      <x:c r="G339" s="12" t="n">
        <x:f>IF(A339="","",'Agenda'!$B$5)</x:f>
        <x:v>50</x:v>
      </x:c>
      <x:c r="H339" s="12" t="n">
        <x:f>IF(A339="","",'Agenda'!$B$6)</x:f>
        <x:v>10</x:v>
      </x:c>
      <x:c r="I339" s="24" t="n">
        <x:f>IF(A339="","",C339+G339/1440)</x:f>
        <x:v>0.5347222222222222</x:v>
      </x:c>
      <x:c r="J339" s="24" t="n">
        <x:f>IF(A339="","",C339+(G339+H339)/1440)</x:f>
        <x:v>0.5416666666666666</x:v>
      </x:c>
      <x:c r="K339" s="27" t="n">
        <x:f>IF(A339="","",IF(E339&lt;&gt;"sim",0,COUNTIFS($B$2:$B$501,B339,$F$2:$F$501,F339,$E$2:$E$501,"sim",$C$2:$C$501,"&lt;"&amp;J339,$J$2:$J$501,"&gt;"&amp;C339)-1))</x:f>
        <x:v>0</x:v>
      </x:c>
      <x:c r="L339" s="27" t="n">
        <x:f>IF(A339="","",IF(E339&lt;&gt;"sim",0,COUNTIFS($B$2:$B$501,B339,$A$2:$A$501,A339,$E$2:$E$501,"sim",$C$2:$C$501,"&lt;"&amp;J339,$J$2:$J$501,"&gt;"&amp;C339)-1))</x:f>
        <x:v>0</x:v>
      </x:c>
      <x:c r="M339" s="2" t="str">
        <x:f>IF(A339="","",IF(E339&lt;&gt;"sim","Revisar escala",IF(OR(K339&gt;0,L339&gt;0),"Conflito de escala",IF(COUNTIFS('Solicitacoes'!$F$2:$F$501,B339,'Solicitacoes'!$K$2:$K$501,F339,'Solicitacoes'!$I$2:$I$501,"pendente",'Solicitacoes'!$G$2:$G$501,"&lt;"&amp;J339,'Solicitacoes'!$N$2:$N$501,"&gt;"&amp;C339)+COUNTIFS('Solicitacoes'!$F$2:$F$501,B339,'Solicitacoes'!$E$2:$E$501,A339,'Solicitacoes'!$I$2:$I$501,"pendente",'Solicitacoes'!$G$2:$G$501,"&lt;"&amp;J339,'Solicitacoes'!$N$2:$N$501,"&gt;"&amp;C339)+COUNTIFS('Solicitacoes'!$F$2:$F$501,B339,'Solicitacoes'!$K$2:$K$501,F339,'Solicitacoes'!$I$2:$I$501,"confirmado",'Solicitacoes'!$G$2:$G$501,"&lt;"&amp;J339,'Solicitacoes'!$N$2:$N$501,"&gt;"&amp;C339)+COUNTIFS('Solicitacoes'!$F$2:$F$501,B339,'Solicitacoes'!$E$2:$E$501,A339,'Solicitacoes'!$I$2:$I$501,"confirmado",'Solicitacoes'!$G$2:$G$501,"&lt;"&amp;J339,'Solicitacoes'!$N$2:$N$501,"&gt;"&amp;C339)&gt;0,"Ocupado","Disponível"))))</x:f>
        <x:v>Revisar escala</x:v>
      </x:c>
      <x:c r="N339" s="2" t="n">
        <x:f>IF(A339="","",ROW()-1)</x:f>
        <x:v>338</x:v>
      </x:c>
    </x:row>
    <x:row r="340" ht="24" customHeight="1">
      <x:c r="A340" s="13" t="str">
        <x:v>Aline Reis</x:v>
      </x:c>
      <x:c r="B340" s="14" t="d">
        <x:v>2026-10-26T00:00:00.000Z</x:v>
      </x:c>
      <x:c r="C340" s="26" t="n">
        <x:v>0.5416666666666666</x:v>
      </x:c>
      <x:c r="D340" s="13" t="str">
        <x:v>presencial</x:v>
      </x:c>
      <x:c r="E340" s="13" t="str">
        <x:v>não</x:v>
      </x:c>
      <x:c r="F340" s="13" t="str">
        <x:v>Sala 1</x:v>
      </x:c>
      <x:c r="G340" s="12" t="n">
        <x:f>IF(A340="","",'Agenda'!$B$5)</x:f>
        <x:v>50</x:v>
      </x:c>
      <x:c r="H340" s="12" t="n">
        <x:f>IF(A340="","",'Agenda'!$B$6)</x:f>
        <x:v>10</x:v>
      </x:c>
      <x:c r="I340" s="24" t="n">
        <x:f>IF(A340="","",C340+G340/1440)</x:f>
        <x:v>0.5763888888888888</x:v>
      </x:c>
      <x:c r="J340" s="24" t="n">
        <x:f>IF(A340="","",C340+(G340+H340)/1440)</x:f>
        <x:v>0.5833333333333333</x:v>
      </x:c>
      <x:c r="K340" s="27" t="n">
        <x:f>IF(A340="","",IF(E340&lt;&gt;"sim",0,COUNTIFS($B$2:$B$501,B340,$F$2:$F$501,F340,$E$2:$E$501,"sim",$C$2:$C$501,"&lt;"&amp;J340,$J$2:$J$501,"&gt;"&amp;C340)-1))</x:f>
        <x:v>0</x:v>
      </x:c>
      <x:c r="L340" s="27" t="n">
        <x:f>IF(A340="","",IF(E340&lt;&gt;"sim",0,COUNTIFS($B$2:$B$501,B340,$A$2:$A$501,A340,$E$2:$E$501,"sim",$C$2:$C$501,"&lt;"&amp;J340,$J$2:$J$501,"&gt;"&amp;C340)-1))</x:f>
        <x:v>0</x:v>
      </x:c>
      <x:c r="M340" s="2" t="str">
        <x:f>IF(A340="","",IF(E340&lt;&gt;"sim","Revisar escala",IF(OR(K340&gt;0,L340&gt;0),"Conflito de escala",IF(COUNTIFS('Solicitacoes'!$F$2:$F$501,B340,'Solicitacoes'!$K$2:$K$501,F340,'Solicitacoes'!$I$2:$I$501,"pendente",'Solicitacoes'!$G$2:$G$501,"&lt;"&amp;J340,'Solicitacoes'!$N$2:$N$501,"&gt;"&amp;C340)+COUNTIFS('Solicitacoes'!$F$2:$F$501,B340,'Solicitacoes'!$E$2:$E$501,A340,'Solicitacoes'!$I$2:$I$501,"pendente",'Solicitacoes'!$G$2:$G$501,"&lt;"&amp;J340,'Solicitacoes'!$N$2:$N$501,"&gt;"&amp;C340)+COUNTIFS('Solicitacoes'!$F$2:$F$501,B340,'Solicitacoes'!$K$2:$K$501,F340,'Solicitacoes'!$I$2:$I$501,"confirmado",'Solicitacoes'!$G$2:$G$501,"&lt;"&amp;J340,'Solicitacoes'!$N$2:$N$501,"&gt;"&amp;C340)+COUNTIFS('Solicitacoes'!$F$2:$F$501,B340,'Solicitacoes'!$E$2:$E$501,A340,'Solicitacoes'!$I$2:$I$501,"confirmado",'Solicitacoes'!$G$2:$G$501,"&lt;"&amp;J340,'Solicitacoes'!$N$2:$N$501,"&gt;"&amp;C340)&gt;0,"Ocupado","Disponível"))))</x:f>
        <x:v>Revisar escala</x:v>
      </x:c>
      <x:c r="N340" s="2" t="n">
        <x:f>IF(A340="","",ROW()-1)</x:f>
        <x:v>339</x:v>
      </x:c>
    </x:row>
    <x:row r="341" ht="24" customHeight="1">
      <x:c r="A341" s="13" t="str">
        <x:v>Géssyca Martins</x:v>
      </x:c>
      <x:c r="B341" s="14" t="d">
        <x:v>2026-10-26T00:00:00.000Z</x:v>
      </x:c>
      <x:c r="C341" s="26" t="n">
        <x:v>0.5416666666666666</x:v>
      </x:c>
      <x:c r="D341" s="13" t="str">
        <x:v>presencial</x:v>
      </x:c>
      <x:c r="E341" s="13" t="str">
        <x:v>não</x:v>
      </x:c>
      <x:c r="F341" s="13" t="str">
        <x:v>Sala 2</x:v>
      </x:c>
      <x:c r="G341" s="12" t="n">
        <x:f>IF(A341="","",'Agenda'!$B$5)</x:f>
        <x:v>50</x:v>
      </x:c>
      <x:c r="H341" s="12" t="n">
        <x:f>IF(A341="","",'Agenda'!$B$6)</x:f>
        <x:v>10</x:v>
      </x:c>
      <x:c r="I341" s="24" t="n">
        <x:f>IF(A341="","",C341+G341/1440)</x:f>
        <x:v>0.5763888888888888</x:v>
      </x:c>
      <x:c r="J341" s="24" t="n">
        <x:f>IF(A341="","",C341+(G341+H341)/1440)</x:f>
        <x:v>0.5833333333333333</x:v>
      </x:c>
      <x:c r="K341" s="27" t="n">
        <x:f>IF(A341="","",IF(E341&lt;&gt;"sim",0,COUNTIFS($B$2:$B$501,B341,$F$2:$F$501,F341,$E$2:$E$501,"sim",$C$2:$C$501,"&lt;"&amp;J341,$J$2:$J$501,"&gt;"&amp;C341)-1))</x:f>
        <x:v>0</x:v>
      </x:c>
      <x:c r="L341" s="27" t="n">
        <x:f>IF(A341="","",IF(E341&lt;&gt;"sim",0,COUNTIFS($B$2:$B$501,B341,$A$2:$A$501,A341,$E$2:$E$501,"sim",$C$2:$C$501,"&lt;"&amp;J341,$J$2:$J$501,"&gt;"&amp;C341)-1))</x:f>
        <x:v>0</x:v>
      </x:c>
      <x:c r="M341" s="2" t="str">
        <x:f>IF(A341="","",IF(E341&lt;&gt;"sim","Revisar escala",IF(OR(K341&gt;0,L341&gt;0),"Conflito de escala",IF(COUNTIFS('Solicitacoes'!$F$2:$F$501,B341,'Solicitacoes'!$K$2:$K$501,F341,'Solicitacoes'!$I$2:$I$501,"pendente",'Solicitacoes'!$G$2:$G$501,"&lt;"&amp;J341,'Solicitacoes'!$N$2:$N$501,"&gt;"&amp;C341)+COUNTIFS('Solicitacoes'!$F$2:$F$501,B341,'Solicitacoes'!$E$2:$E$501,A341,'Solicitacoes'!$I$2:$I$501,"pendente",'Solicitacoes'!$G$2:$G$501,"&lt;"&amp;J341,'Solicitacoes'!$N$2:$N$501,"&gt;"&amp;C341)+COUNTIFS('Solicitacoes'!$F$2:$F$501,B341,'Solicitacoes'!$K$2:$K$501,F341,'Solicitacoes'!$I$2:$I$501,"confirmado",'Solicitacoes'!$G$2:$G$501,"&lt;"&amp;J341,'Solicitacoes'!$N$2:$N$501,"&gt;"&amp;C341)+COUNTIFS('Solicitacoes'!$F$2:$F$501,B341,'Solicitacoes'!$E$2:$E$501,A341,'Solicitacoes'!$I$2:$I$501,"confirmado",'Solicitacoes'!$G$2:$G$501,"&lt;"&amp;J341,'Solicitacoes'!$N$2:$N$501,"&gt;"&amp;C341)&gt;0,"Ocupado","Disponível"))))</x:f>
        <x:v>Revisar escala</x:v>
      </x:c>
      <x:c r="N341" s="2" t="n">
        <x:f>IF(A341="","",ROW()-1)</x:f>
        <x:v>340</x:v>
      </x:c>
    </x:row>
    <x:row r="342" ht="24" customHeight="1">
      <x:c r="A342" s="13" t="str">
        <x:v>Laura Casanova</x:v>
      </x:c>
      <x:c r="B342" s="14" t="d">
        <x:v>2026-10-26T00:00:00.000Z</x:v>
      </x:c>
      <x:c r="C342" s="26" t="n">
        <x:v>0.5833333333333334</x:v>
      </x:c>
      <x:c r="D342" s="13" t="str">
        <x:v>presencial</x:v>
      </x:c>
      <x:c r="E342" s="13" t="str">
        <x:v>não</x:v>
      </x:c>
      <x:c r="F342" s="13" t="str">
        <x:v>Sala 1</x:v>
      </x:c>
      <x:c r="G342" s="12" t="n">
        <x:f>IF(A342="","",'Agenda'!$B$5)</x:f>
        <x:v>50</x:v>
      </x:c>
      <x:c r="H342" s="12" t="n">
        <x:f>IF(A342="","",'Agenda'!$B$6)</x:f>
        <x:v>10</x:v>
      </x:c>
      <x:c r="I342" s="24" t="n">
        <x:f>IF(A342="","",C342+G342/1440)</x:f>
        <x:v>0.6180555555555556</x:v>
      </x:c>
      <x:c r="J342" s="24" t="n">
        <x:f>IF(A342="","",C342+(G342+H342)/1440)</x:f>
        <x:v>0.625</x:v>
      </x:c>
      <x:c r="K342" s="27" t="n">
        <x:f>IF(A342="","",IF(E342&lt;&gt;"sim",0,COUNTIFS($B$2:$B$501,B342,$F$2:$F$501,F342,$E$2:$E$501,"sim",$C$2:$C$501,"&lt;"&amp;J342,$J$2:$J$501,"&gt;"&amp;C342)-1))</x:f>
        <x:v>0</x:v>
      </x:c>
      <x:c r="L342" s="27" t="n">
        <x:f>IF(A342="","",IF(E342&lt;&gt;"sim",0,COUNTIFS($B$2:$B$501,B342,$A$2:$A$501,A342,$E$2:$E$501,"sim",$C$2:$C$501,"&lt;"&amp;J342,$J$2:$J$501,"&gt;"&amp;C342)-1))</x:f>
        <x:v>0</x:v>
      </x:c>
      <x:c r="M342" s="2" t="str">
        <x:f>IF(A342="","",IF(E342&lt;&gt;"sim","Revisar escala",IF(OR(K342&gt;0,L342&gt;0),"Conflito de escala",IF(COUNTIFS('Solicitacoes'!$F$2:$F$501,B342,'Solicitacoes'!$K$2:$K$501,F342,'Solicitacoes'!$I$2:$I$501,"pendente",'Solicitacoes'!$G$2:$G$501,"&lt;"&amp;J342,'Solicitacoes'!$N$2:$N$501,"&gt;"&amp;C342)+COUNTIFS('Solicitacoes'!$F$2:$F$501,B342,'Solicitacoes'!$E$2:$E$501,A342,'Solicitacoes'!$I$2:$I$501,"pendente",'Solicitacoes'!$G$2:$G$501,"&lt;"&amp;J342,'Solicitacoes'!$N$2:$N$501,"&gt;"&amp;C342)+COUNTIFS('Solicitacoes'!$F$2:$F$501,B342,'Solicitacoes'!$K$2:$K$501,F342,'Solicitacoes'!$I$2:$I$501,"confirmado",'Solicitacoes'!$G$2:$G$501,"&lt;"&amp;J342,'Solicitacoes'!$N$2:$N$501,"&gt;"&amp;C342)+COUNTIFS('Solicitacoes'!$F$2:$F$501,B342,'Solicitacoes'!$E$2:$E$501,A342,'Solicitacoes'!$I$2:$I$501,"confirmado",'Solicitacoes'!$G$2:$G$501,"&lt;"&amp;J342,'Solicitacoes'!$N$2:$N$501,"&gt;"&amp;C342)&gt;0,"Ocupado","Disponível"))))</x:f>
        <x:v>Revisar escala</x:v>
      </x:c>
      <x:c r="N342" s="2" t="n">
        <x:f>IF(A342="","",ROW()-1)</x:f>
        <x:v>341</x:v>
      </x:c>
    </x:row>
    <x:row r="343" ht="24" customHeight="1">
      <x:c r="A343" s="13" t="str">
        <x:v>Aline Reis</x:v>
      </x:c>
      <x:c r="B343" s="14" t="d">
        <x:v>2026-10-26T00:00:00.000Z</x:v>
      </x:c>
      <x:c r="C343" s="26" t="n">
        <x:v>0.5833333333333334</x:v>
      </x:c>
      <x:c r="D343" s="13" t="str">
        <x:v>presencial</x:v>
      </x:c>
      <x:c r="E343" s="13" t="str">
        <x:v>não</x:v>
      </x:c>
      <x:c r="F343" s="13" t="str">
        <x:v>Sala 2</x:v>
      </x:c>
      <x:c r="G343" s="12" t="n">
        <x:f>IF(A343="","",'Agenda'!$B$5)</x:f>
        <x:v>50</x:v>
      </x:c>
      <x:c r="H343" s="12" t="n">
        <x:f>IF(A343="","",'Agenda'!$B$6)</x:f>
        <x:v>10</x:v>
      </x:c>
      <x:c r="I343" s="24" t="n">
        <x:f>IF(A343="","",C343+G343/1440)</x:f>
        <x:v>0.6180555555555556</x:v>
      </x:c>
      <x:c r="J343" s="24" t="n">
        <x:f>IF(A343="","",C343+(G343+H343)/1440)</x:f>
        <x:v>0.625</x:v>
      </x:c>
      <x:c r="K343" s="27" t="n">
        <x:f>IF(A343="","",IF(E343&lt;&gt;"sim",0,COUNTIFS($B$2:$B$501,B343,$F$2:$F$501,F343,$E$2:$E$501,"sim",$C$2:$C$501,"&lt;"&amp;J343,$J$2:$J$501,"&gt;"&amp;C343)-1))</x:f>
        <x:v>0</x:v>
      </x:c>
      <x:c r="L343" s="27" t="n">
        <x:f>IF(A343="","",IF(E343&lt;&gt;"sim",0,COUNTIFS($B$2:$B$501,B343,$A$2:$A$501,A343,$E$2:$E$501,"sim",$C$2:$C$501,"&lt;"&amp;J343,$J$2:$J$501,"&gt;"&amp;C343)-1))</x:f>
        <x:v>0</x:v>
      </x:c>
      <x:c r="M343" s="2" t="str">
        <x:f>IF(A343="","",IF(E343&lt;&gt;"sim","Revisar escala",IF(OR(K343&gt;0,L343&gt;0),"Conflito de escala",IF(COUNTIFS('Solicitacoes'!$F$2:$F$501,B343,'Solicitacoes'!$K$2:$K$501,F343,'Solicitacoes'!$I$2:$I$501,"pendente",'Solicitacoes'!$G$2:$G$501,"&lt;"&amp;J343,'Solicitacoes'!$N$2:$N$501,"&gt;"&amp;C343)+COUNTIFS('Solicitacoes'!$F$2:$F$501,B343,'Solicitacoes'!$E$2:$E$501,A343,'Solicitacoes'!$I$2:$I$501,"pendente",'Solicitacoes'!$G$2:$G$501,"&lt;"&amp;J343,'Solicitacoes'!$N$2:$N$501,"&gt;"&amp;C343)+COUNTIFS('Solicitacoes'!$F$2:$F$501,B343,'Solicitacoes'!$K$2:$K$501,F343,'Solicitacoes'!$I$2:$I$501,"confirmado",'Solicitacoes'!$G$2:$G$501,"&lt;"&amp;J343,'Solicitacoes'!$N$2:$N$501,"&gt;"&amp;C343)+COUNTIFS('Solicitacoes'!$F$2:$F$501,B343,'Solicitacoes'!$E$2:$E$501,A343,'Solicitacoes'!$I$2:$I$501,"confirmado",'Solicitacoes'!$G$2:$G$501,"&lt;"&amp;J343,'Solicitacoes'!$N$2:$N$501,"&gt;"&amp;C343)&gt;0,"Ocupado","Disponível"))))</x:f>
        <x:v>Revisar escala</x:v>
      </x:c>
      <x:c r="N343" s="2" t="n">
        <x:f>IF(A343="","",ROW()-1)</x:f>
        <x:v>342</x:v>
      </x:c>
    </x:row>
    <x:row r="344" ht="24" customHeight="1">
      <x:c r="A344" s="13" t="str">
        <x:v>Laura Casanova</x:v>
      </x:c>
      <x:c r="B344" s="14" t="d">
        <x:v>2026-10-26T00:00:00.000Z</x:v>
      </x:c>
      <x:c r="C344" s="26" t="n">
        <x:v>0.625</x:v>
      </x:c>
      <x:c r="D344" s="13" t="str">
        <x:v>presencial</x:v>
      </x:c>
      <x:c r="E344" s="13" t="str">
        <x:v>não</x:v>
      </x:c>
      <x:c r="F344" s="13" t="str">
        <x:v>Sala 1</x:v>
      </x:c>
      <x:c r="G344" s="12" t="n">
        <x:f>IF(A344="","",'Agenda'!$B$5)</x:f>
        <x:v>50</x:v>
      </x:c>
      <x:c r="H344" s="12" t="n">
        <x:f>IF(A344="","",'Agenda'!$B$6)</x:f>
        <x:v>10</x:v>
      </x:c>
      <x:c r="I344" s="24" t="n">
        <x:f>IF(A344="","",C344+G344/1440)</x:f>
        <x:v>0.6597222222222222</x:v>
      </x:c>
      <x:c r="J344" s="24" t="n">
        <x:f>IF(A344="","",C344+(G344+H344)/1440)</x:f>
        <x:v>0.6666666666666666</x:v>
      </x:c>
      <x:c r="K344" s="27" t="n">
        <x:f>IF(A344="","",IF(E344&lt;&gt;"sim",0,COUNTIFS($B$2:$B$501,B344,$F$2:$F$501,F344,$E$2:$E$501,"sim",$C$2:$C$501,"&lt;"&amp;J344,$J$2:$J$501,"&gt;"&amp;C344)-1))</x:f>
        <x:v>0</x:v>
      </x:c>
      <x:c r="L344" s="27" t="n">
        <x:f>IF(A344="","",IF(E344&lt;&gt;"sim",0,COUNTIFS($B$2:$B$501,B344,$A$2:$A$501,A344,$E$2:$E$501,"sim",$C$2:$C$501,"&lt;"&amp;J344,$J$2:$J$501,"&gt;"&amp;C344)-1))</x:f>
        <x:v>0</x:v>
      </x:c>
      <x:c r="M344" s="2" t="str">
        <x:f>IF(A344="","",IF(E344&lt;&gt;"sim","Revisar escala",IF(OR(K344&gt;0,L344&gt;0),"Conflito de escala",IF(COUNTIFS('Solicitacoes'!$F$2:$F$501,B344,'Solicitacoes'!$K$2:$K$501,F344,'Solicitacoes'!$I$2:$I$501,"pendente",'Solicitacoes'!$G$2:$G$501,"&lt;"&amp;J344,'Solicitacoes'!$N$2:$N$501,"&gt;"&amp;C344)+COUNTIFS('Solicitacoes'!$F$2:$F$501,B344,'Solicitacoes'!$E$2:$E$501,A344,'Solicitacoes'!$I$2:$I$501,"pendente",'Solicitacoes'!$G$2:$G$501,"&lt;"&amp;J344,'Solicitacoes'!$N$2:$N$501,"&gt;"&amp;C344)+COUNTIFS('Solicitacoes'!$F$2:$F$501,B344,'Solicitacoes'!$K$2:$K$501,F344,'Solicitacoes'!$I$2:$I$501,"confirmado",'Solicitacoes'!$G$2:$G$501,"&lt;"&amp;J344,'Solicitacoes'!$N$2:$N$501,"&gt;"&amp;C344)+COUNTIFS('Solicitacoes'!$F$2:$F$501,B344,'Solicitacoes'!$E$2:$E$501,A344,'Solicitacoes'!$I$2:$I$501,"confirmado",'Solicitacoes'!$G$2:$G$501,"&lt;"&amp;J344,'Solicitacoes'!$N$2:$N$501,"&gt;"&amp;C344)&gt;0,"Ocupado","Disponível"))))</x:f>
        <x:v>Revisar escala</x:v>
      </x:c>
      <x:c r="N344" s="2" t="n">
        <x:f>IF(A344="","",ROW()-1)</x:f>
        <x:v>343</x:v>
      </x:c>
    </x:row>
    <x:row r="345" ht="24" customHeight="1">
      <x:c r="A345" s="13" t="str">
        <x:v>Aline Reis</x:v>
      </x:c>
      <x:c r="B345" s="14" t="d">
        <x:v>2026-10-26T00:00:00.000Z</x:v>
      </x:c>
      <x:c r="C345" s="26" t="n">
        <x:v>0.625</x:v>
      </x:c>
      <x:c r="D345" s="13" t="str">
        <x:v>presencial</x:v>
      </x:c>
      <x:c r="E345" s="13" t="str">
        <x:v>não</x:v>
      </x:c>
      <x:c r="F345" s="13" t="str">
        <x:v>Sala 2</x:v>
      </x:c>
      <x:c r="G345" s="12" t="n">
        <x:f>IF(A345="","",'Agenda'!$B$5)</x:f>
        <x:v>50</x:v>
      </x:c>
      <x:c r="H345" s="12" t="n">
        <x:f>IF(A345="","",'Agenda'!$B$6)</x:f>
        <x:v>10</x:v>
      </x:c>
      <x:c r="I345" s="24" t="n">
        <x:f>IF(A345="","",C345+G345/1440)</x:f>
        <x:v>0.6597222222222222</x:v>
      </x:c>
      <x:c r="J345" s="24" t="n">
        <x:f>IF(A345="","",C345+(G345+H345)/1440)</x:f>
        <x:v>0.6666666666666666</x:v>
      </x:c>
      <x:c r="K345" s="27" t="n">
        <x:f>IF(A345="","",IF(E345&lt;&gt;"sim",0,COUNTIFS($B$2:$B$501,B345,$F$2:$F$501,F345,$E$2:$E$501,"sim",$C$2:$C$501,"&lt;"&amp;J345,$J$2:$J$501,"&gt;"&amp;C345)-1))</x:f>
        <x:v>0</x:v>
      </x:c>
      <x:c r="L345" s="27" t="n">
        <x:f>IF(A345="","",IF(E345&lt;&gt;"sim",0,COUNTIFS($B$2:$B$501,B345,$A$2:$A$501,A345,$E$2:$E$501,"sim",$C$2:$C$501,"&lt;"&amp;J345,$J$2:$J$501,"&gt;"&amp;C345)-1))</x:f>
        <x:v>0</x:v>
      </x:c>
      <x:c r="M345" s="2" t="str">
        <x:f>IF(A345="","",IF(E345&lt;&gt;"sim","Revisar escala",IF(OR(K345&gt;0,L345&gt;0),"Conflito de escala",IF(COUNTIFS('Solicitacoes'!$F$2:$F$501,B345,'Solicitacoes'!$K$2:$K$501,F345,'Solicitacoes'!$I$2:$I$501,"pendente",'Solicitacoes'!$G$2:$G$501,"&lt;"&amp;J345,'Solicitacoes'!$N$2:$N$501,"&gt;"&amp;C345)+COUNTIFS('Solicitacoes'!$F$2:$F$501,B345,'Solicitacoes'!$E$2:$E$501,A345,'Solicitacoes'!$I$2:$I$501,"pendente",'Solicitacoes'!$G$2:$G$501,"&lt;"&amp;J345,'Solicitacoes'!$N$2:$N$501,"&gt;"&amp;C345)+COUNTIFS('Solicitacoes'!$F$2:$F$501,B345,'Solicitacoes'!$K$2:$K$501,F345,'Solicitacoes'!$I$2:$I$501,"confirmado",'Solicitacoes'!$G$2:$G$501,"&lt;"&amp;J345,'Solicitacoes'!$N$2:$N$501,"&gt;"&amp;C345)+COUNTIFS('Solicitacoes'!$F$2:$F$501,B345,'Solicitacoes'!$E$2:$E$501,A345,'Solicitacoes'!$I$2:$I$501,"confirmado",'Solicitacoes'!$G$2:$G$501,"&lt;"&amp;J345,'Solicitacoes'!$N$2:$N$501,"&gt;"&amp;C345)&gt;0,"Ocupado","Disponível"))))</x:f>
        <x:v>Revisar escala</x:v>
      </x:c>
      <x:c r="N345" s="2" t="n">
        <x:f>IF(A345="","",ROW()-1)</x:f>
        <x:v>344</x:v>
      </x:c>
    </x:row>
    <x:row r="346" ht="24" customHeight="1">
      <x:c r="A346" s="13" t="str">
        <x:v>Laura Casanova</x:v>
      </x:c>
      <x:c r="B346" s="14" t="d">
        <x:v>2026-10-26T00:00:00.000Z</x:v>
      </x:c>
      <x:c r="C346" s="26" t="n">
        <x:v>0.6666666666666666</x:v>
      </x:c>
      <x:c r="D346" s="13" t="str">
        <x:v>presencial</x:v>
      </x:c>
      <x:c r="E346" s="13" t="str">
        <x:v>não</x:v>
      </x:c>
      <x:c r="F346" s="13" t="str">
        <x:v>Sala 1</x:v>
      </x:c>
      <x:c r="G346" s="12" t="n">
        <x:f>IF(A346="","",'Agenda'!$B$5)</x:f>
        <x:v>50</x:v>
      </x:c>
      <x:c r="H346" s="12" t="n">
        <x:f>IF(A346="","",'Agenda'!$B$6)</x:f>
        <x:v>10</x:v>
      </x:c>
      <x:c r="I346" s="24" t="n">
        <x:f>IF(A346="","",C346+G346/1440)</x:f>
        <x:v>0.7013888888888888</x:v>
      </x:c>
      <x:c r="J346" s="24" t="n">
        <x:f>IF(A346="","",C346+(G346+H346)/1440)</x:f>
        <x:v>0.7083333333333333</x:v>
      </x:c>
      <x:c r="K346" s="27" t="n">
        <x:f>IF(A346="","",IF(E346&lt;&gt;"sim",0,COUNTIFS($B$2:$B$501,B346,$F$2:$F$501,F346,$E$2:$E$501,"sim",$C$2:$C$501,"&lt;"&amp;J346,$J$2:$J$501,"&gt;"&amp;C346)-1))</x:f>
        <x:v>0</x:v>
      </x:c>
      <x:c r="L346" s="27" t="n">
        <x:f>IF(A346="","",IF(E346&lt;&gt;"sim",0,COUNTIFS($B$2:$B$501,B346,$A$2:$A$501,A346,$E$2:$E$501,"sim",$C$2:$C$501,"&lt;"&amp;J346,$J$2:$J$501,"&gt;"&amp;C346)-1))</x:f>
        <x:v>0</x:v>
      </x:c>
      <x:c r="M346" s="2" t="str">
        <x:f>IF(A346="","",IF(E346&lt;&gt;"sim","Revisar escala",IF(OR(K346&gt;0,L346&gt;0),"Conflito de escala",IF(COUNTIFS('Solicitacoes'!$F$2:$F$501,B346,'Solicitacoes'!$K$2:$K$501,F346,'Solicitacoes'!$I$2:$I$501,"pendente",'Solicitacoes'!$G$2:$G$501,"&lt;"&amp;J346,'Solicitacoes'!$N$2:$N$501,"&gt;"&amp;C346)+COUNTIFS('Solicitacoes'!$F$2:$F$501,B346,'Solicitacoes'!$E$2:$E$501,A346,'Solicitacoes'!$I$2:$I$501,"pendente",'Solicitacoes'!$G$2:$G$501,"&lt;"&amp;J346,'Solicitacoes'!$N$2:$N$501,"&gt;"&amp;C346)+COUNTIFS('Solicitacoes'!$F$2:$F$501,B346,'Solicitacoes'!$K$2:$K$501,F346,'Solicitacoes'!$I$2:$I$501,"confirmado",'Solicitacoes'!$G$2:$G$501,"&lt;"&amp;J346,'Solicitacoes'!$N$2:$N$501,"&gt;"&amp;C346)+COUNTIFS('Solicitacoes'!$F$2:$F$501,B346,'Solicitacoes'!$E$2:$E$501,A346,'Solicitacoes'!$I$2:$I$501,"confirmado",'Solicitacoes'!$G$2:$G$501,"&lt;"&amp;J346,'Solicitacoes'!$N$2:$N$501,"&gt;"&amp;C346)&gt;0,"Ocupado","Disponível"))))</x:f>
        <x:v>Revisar escala</x:v>
      </x:c>
      <x:c r="N346" s="2" t="n">
        <x:f>IF(A346="","",ROW()-1)</x:f>
        <x:v>345</x:v>
      </x:c>
    </x:row>
    <x:row r="347" ht="24" customHeight="1">
      <x:c r="A347" s="13" t="str">
        <x:v>Aline Reis</x:v>
      </x:c>
      <x:c r="B347" s="14" t="d">
        <x:v>2026-10-26T00:00:00.000Z</x:v>
      </x:c>
      <x:c r="C347" s="26" t="n">
        <x:v>0.6666666666666666</x:v>
      </x:c>
      <x:c r="D347" s="13" t="str">
        <x:v>presencial</x:v>
      </x:c>
      <x:c r="E347" s="13" t="str">
        <x:v>não</x:v>
      </x:c>
      <x:c r="F347" s="13" t="str">
        <x:v>Sala 2</x:v>
      </x:c>
      <x:c r="G347" s="12" t="n">
        <x:f>IF(A347="","",'Agenda'!$B$5)</x:f>
        <x:v>50</x:v>
      </x:c>
      <x:c r="H347" s="12" t="n">
        <x:f>IF(A347="","",'Agenda'!$B$6)</x:f>
        <x:v>10</x:v>
      </x:c>
      <x:c r="I347" s="24" t="n">
        <x:f>IF(A347="","",C347+G347/1440)</x:f>
        <x:v>0.7013888888888888</x:v>
      </x:c>
      <x:c r="J347" s="24" t="n">
        <x:f>IF(A347="","",C347+(G347+H347)/1440)</x:f>
        <x:v>0.7083333333333333</x:v>
      </x:c>
      <x:c r="K347" s="27" t="n">
        <x:f>IF(A347="","",IF(E347&lt;&gt;"sim",0,COUNTIFS($B$2:$B$501,B347,$F$2:$F$501,F347,$E$2:$E$501,"sim",$C$2:$C$501,"&lt;"&amp;J347,$J$2:$J$501,"&gt;"&amp;C347)-1))</x:f>
        <x:v>0</x:v>
      </x:c>
      <x:c r="L347" s="27" t="n">
        <x:f>IF(A347="","",IF(E347&lt;&gt;"sim",0,COUNTIFS($B$2:$B$501,B347,$A$2:$A$501,A347,$E$2:$E$501,"sim",$C$2:$C$501,"&lt;"&amp;J347,$J$2:$J$501,"&gt;"&amp;C347)-1))</x:f>
        <x:v>0</x:v>
      </x:c>
      <x:c r="M347" s="2" t="str">
        <x:f>IF(A347="","",IF(E347&lt;&gt;"sim","Revisar escala",IF(OR(K347&gt;0,L347&gt;0),"Conflito de escala",IF(COUNTIFS('Solicitacoes'!$F$2:$F$501,B347,'Solicitacoes'!$K$2:$K$501,F347,'Solicitacoes'!$I$2:$I$501,"pendente",'Solicitacoes'!$G$2:$G$501,"&lt;"&amp;J347,'Solicitacoes'!$N$2:$N$501,"&gt;"&amp;C347)+COUNTIFS('Solicitacoes'!$F$2:$F$501,B347,'Solicitacoes'!$E$2:$E$501,A347,'Solicitacoes'!$I$2:$I$501,"pendente",'Solicitacoes'!$G$2:$G$501,"&lt;"&amp;J347,'Solicitacoes'!$N$2:$N$501,"&gt;"&amp;C347)+COUNTIFS('Solicitacoes'!$F$2:$F$501,B347,'Solicitacoes'!$K$2:$K$501,F347,'Solicitacoes'!$I$2:$I$501,"confirmado",'Solicitacoes'!$G$2:$G$501,"&lt;"&amp;J347,'Solicitacoes'!$N$2:$N$501,"&gt;"&amp;C347)+COUNTIFS('Solicitacoes'!$F$2:$F$501,B347,'Solicitacoes'!$E$2:$E$501,A347,'Solicitacoes'!$I$2:$I$501,"confirmado",'Solicitacoes'!$G$2:$G$501,"&lt;"&amp;J347,'Solicitacoes'!$N$2:$N$501,"&gt;"&amp;C347)&gt;0,"Ocupado","Disponível"))))</x:f>
        <x:v>Revisar escala</x:v>
      </x:c>
      <x:c r="N347" s="2" t="n">
        <x:f>IF(A347="","",ROW()-1)</x:f>
        <x:v>346</x:v>
      </x:c>
    </x:row>
    <x:row r="348" ht="24" customHeight="1">
      <x:c r="A348" s="13" t="str">
        <x:v>Laura Casanova</x:v>
      </x:c>
      <x:c r="B348" s="14" t="d">
        <x:v>2026-10-26T00:00:00.000Z</x:v>
      </x:c>
      <x:c r="C348" s="26" t="n">
        <x:v>0.7083333333333334</x:v>
      </x:c>
      <x:c r="D348" s="13" t="str">
        <x:v>presencial</x:v>
      </x:c>
      <x:c r="E348" s="13" t="str">
        <x:v>não</x:v>
      </x:c>
      <x:c r="F348" s="13" t="str">
        <x:v>Sala 1</x:v>
      </x:c>
      <x:c r="G348" s="12" t="n">
        <x:f>IF(A348="","",'Agenda'!$B$5)</x:f>
        <x:v>50</x:v>
      </x:c>
      <x:c r="H348" s="12" t="n">
        <x:f>IF(A348="","",'Agenda'!$B$6)</x:f>
        <x:v>10</x:v>
      </x:c>
      <x:c r="I348" s="24" t="n">
        <x:f>IF(A348="","",C348+G348/1440)</x:f>
        <x:v>0.7430555555555556</x:v>
      </x:c>
      <x:c r="J348" s="24" t="n">
        <x:f>IF(A348="","",C348+(G348+H348)/1440)</x:f>
        <x:v>0.75</x:v>
      </x:c>
      <x:c r="K348" s="27" t="n">
        <x:f>IF(A348="","",IF(E348&lt;&gt;"sim",0,COUNTIFS($B$2:$B$501,B348,$F$2:$F$501,F348,$E$2:$E$501,"sim",$C$2:$C$501,"&lt;"&amp;J348,$J$2:$J$501,"&gt;"&amp;C348)-1))</x:f>
        <x:v>0</x:v>
      </x:c>
      <x:c r="L348" s="27" t="n">
        <x:f>IF(A348="","",IF(E348&lt;&gt;"sim",0,COUNTIFS($B$2:$B$501,B348,$A$2:$A$501,A348,$E$2:$E$501,"sim",$C$2:$C$501,"&lt;"&amp;J348,$J$2:$J$501,"&gt;"&amp;C348)-1))</x:f>
        <x:v>0</x:v>
      </x:c>
      <x:c r="M348" s="2" t="str">
        <x:f>IF(A348="","",IF(E348&lt;&gt;"sim","Revisar escala",IF(OR(K348&gt;0,L348&gt;0),"Conflito de escala",IF(COUNTIFS('Solicitacoes'!$F$2:$F$501,B348,'Solicitacoes'!$K$2:$K$501,F348,'Solicitacoes'!$I$2:$I$501,"pendente",'Solicitacoes'!$G$2:$G$501,"&lt;"&amp;J348,'Solicitacoes'!$N$2:$N$501,"&gt;"&amp;C348)+COUNTIFS('Solicitacoes'!$F$2:$F$501,B348,'Solicitacoes'!$E$2:$E$501,A348,'Solicitacoes'!$I$2:$I$501,"pendente",'Solicitacoes'!$G$2:$G$501,"&lt;"&amp;J348,'Solicitacoes'!$N$2:$N$501,"&gt;"&amp;C348)+COUNTIFS('Solicitacoes'!$F$2:$F$501,B348,'Solicitacoes'!$K$2:$K$501,F348,'Solicitacoes'!$I$2:$I$501,"confirmado",'Solicitacoes'!$G$2:$G$501,"&lt;"&amp;J348,'Solicitacoes'!$N$2:$N$501,"&gt;"&amp;C348)+COUNTIFS('Solicitacoes'!$F$2:$F$501,B348,'Solicitacoes'!$E$2:$E$501,A348,'Solicitacoes'!$I$2:$I$501,"confirmado",'Solicitacoes'!$G$2:$G$501,"&lt;"&amp;J348,'Solicitacoes'!$N$2:$N$501,"&gt;"&amp;C348)&gt;0,"Ocupado","Disponível"))))</x:f>
        <x:v>Revisar escala</x:v>
      </x:c>
      <x:c r="N348" s="2" t="n">
        <x:f>IF(A348="","",ROW()-1)</x:f>
        <x:v>347</x:v>
      </x:c>
    </x:row>
    <x:row r="349" ht="24" customHeight="1">
      <x:c r="A349" s="13" t="str">
        <x:v>Aline Reis</x:v>
      </x:c>
      <x:c r="B349" s="14" t="d">
        <x:v>2026-10-26T00:00:00.000Z</x:v>
      </x:c>
      <x:c r="C349" s="26" t="n">
        <x:v>0.7083333333333334</x:v>
      </x:c>
      <x:c r="D349" s="13" t="str">
        <x:v>presencial</x:v>
      </x:c>
      <x:c r="E349" s="13" t="str">
        <x:v>não</x:v>
      </x:c>
      <x:c r="F349" s="13" t="str">
        <x:v>Sala 2</x:v>
      </x:c>
      <x:c r="G349" s="12" t="n">
        <x:f>IF(A349="","",'Agenda'!$B$5)</x:f>
        <x:v>50</x:v>
      </x:c>
      <x:c r="H349" s="12" t="n">
        <x:f>IF(A349="","",'Agenda'!$B$6)</x:f>
        <x:v>10</x:v>
      </x:c>
      <x:c r="I349" s="24" t="n">
        <x:f>IF(A349="","",C349+G349/1440)</x:f>
        <x:v>0.7430555555555556</x:v>
      </x:c>
      <x:c r="J349" s="24" t="n">
        <x:f>IF(A349="","",C349+(G349+H349)/1440)</x:f>
        <x:v>0.75</x:v>
      </x:c>
      <x:c r="K349" s="27" t="n">
        <x:f>IF(A349="","",IF(E349&lt;&gt;"sim",0,COUNTIFS($B$2:$B$501,B349,$F$2:$F$501,F349,$E$2:$E$501,"sim",$C$2:$C$501,"&lt;"&amp;J349,$J$2:$J$501,"&gt;"&amp;C349)-1))</x:f>
        <x:v>0</x:v>
      </x:c>
      <x:c r="L349" s="27" t="n">
        <x:f>IF(A349="","",IF(E349&lt;&gt;"sim",0,COUNTIFS($B$2:$B$501,B349,$A$2:$A$501,A349,$E$2:$E$501,"sim",$C$2:$C$501,"&lt;"&amp;J349,$J$2:$J$501,"&gt;"&amp;C349)-1))</x:f>
        <x:v>0</x:v>
      </x:c>
      <x:c r="M349" s="2" t="str">
        <x:f>IF(A349="","",IF(E349&lt;&gt;"sim","Revisar escala",IF(OR(K349&gt;0,L349&gt;0),"Conflito de escala",IF(COUNTIFS('Solicitacoes'!$F$2:$F$501,B349,'Solicitacoes'!$K$2:$K$501,F349,'Solicitacoes'!$I$2:$I$501,"pendente",'Solicitacoes'!$G$2:$G$501,"&lt;"&amp;J349,'Solicitacoes'!$N$2:$N$501,"&gt;"&amp;C349)+COUNTIFS('Solicitacoes'!$F$2:$F$501,B349,'Solicitacoes'!$E$2:$E$501,A349,'Solicitacoes'!$I$2:$I$501,"pendente",'Solicitacoes'!$G$2:$G$501,"&lt;"&amp;J349,'Solicitacoes'!$N$2:$N$501,"&gt;"&amp;C349)+COUNTIFS('Solicitacoes'!$F$2:$F$501,B349,'Solicitacoes'!$K$2:$K$501,F349,'Solicitacoes'!$I$2:$I$501,"confirmado",'Solicitacoes'!$G$2:$G$501,"&lt;"&amp;J349,'Solicitacoes'!$N$2:$N$501,"&gt;"&amp;C349)+COUNTIFS('Solicitacoes'!$F$2:$F$501,B349,'Solicitacoes'!$E$2:$E$501,A349,'Solicitacoes'!$I$2:$I$501,"confirmado",'Solicitacoes'!$G$2:$G$501,"&lt;"&amp;J349,'Solicitacoes'!$N$2:$N$501,"&gt;"&amp;C349)&gt;0,"Ocupado","Disponível"))))</x:f>
        <x:v>Revisar escala</x:v>
      </x:c>
      <x:c r="N349" s="2" t="n">
        <x:f>IF(A349="","",ROW()-1)</x:f>
        <x:v>348</x:v>
      </x:c>
    </x:row>
    <x:row r="350" ht="24" customHeight="1">
      <x:c r="A350" s="13" t="str">
        <x:v>Laura Casanova</x:v>
      </x:c>
      <x:c r="B350" s="14" t="d">
        <x:v>2026-10-26T00:00:00.000Z</x:v>
      </x:c>
      <x:c r="C350" s="26" t="n">
        <x:v>0.75</x:v>
      </x:c>
      <x:c r="D350" s="13" t="str">
        <x:v>presencial</x:v>
      </x:c>
      <x:c r="E350" s="13" t="str">
        <x:v>não</x:v>
      </x:c>
      <x:c r="F350" s="13" t="str">
        <x:v>Sala 1</x:v>
      </x:c>
      <x:c r="G350" s="12" t="n">
        <x:f>IF(A350="","",'Agenda'!$B$5)</x:f>
        <x:v>50</x:v>
      </x:c>
      <x:c r="H350" s="12" t="n">
        <x:f>IF(A350="","",'Agenda'!$B$6)</x:f>
        <x:v>10</x:v>
      </x:c>
      <x:c r="I350" s="24" t="n">
        <x:f>IF(A350="","",C350+G350/1440)</x:f>
        <x:v>0.7847222222222222</x:v>
      </x:c>
      <x:c r="J350" s="24" t="n">
        <x:f>IF(A350="","",C350+(G350+H350)/1440)</x:f>
        <x:v>0.7916666666666666</x:v>
      </x:c>
      <x:c r="K350" s="27" t="n">
        <x:f>IF(A350="","",IF(E350&lt;&gt;"sim",0,COUNTIFS($B$2:$B$501,B350,$F$2:$F$501,F350,$E$2:$E$501,"sim",$C$2:$C$501,"&lt;"&amp;J350,$J$2:$J$501,"&gt;"&amp;C350)-1))</x:f>
        <x:v>0</x:v>
      </x:c>
      <x:c r="L350" s="27" t="n">
        <x:f>IF(A350="","",IF(E350&lt;&gt;"sim",0,COUNTIFS($B$2:$B$501,B350,$A$2:$A$501,A350,$E$2:$E$501,"sim",$C$2:$C$501,"&lt;"&amp;J350,$J$2:$J$501,"&gt;"&amp;C350)-1))</x:f>
        <x:v>0</x:v>
      </x:c>
      <x:c r="M350" s="2" t="str">
        <x:f>IF(A350="","",IF(E350&lt;&gt;"sim","Revisar escala",IF(OR(K350&gt;0,L350&gt;0),"Conflito de escala",IF(COUNTIFS('Solicitacoes'!$F$2:$F$501,B350,'Solicitacoes'!$K$2:$K$501,F350,'Solicitacoes'!$I$2:$I$501,"pendente",'Solicitacoes'!$G$2:$G$501,"&lt;"&amp;J350,'Solicitacoes'!$N$2:$N$501,"&gt;"&amp;C350)+COUNTIFS('Solicitacoes'!$F$2:$F$501,B350,'Solicitacoes'!$E$2:$E$501,A350,'Solicitacoes'!$I$2:$I$501,"pendente",'Solicitacoes'!$G$2:$G$501,"&lt;"&amp;J350,'Solicitacoes'!$N$2:$N$501,"&gt;"&amp;C350)+COUNTIFS('Solicitacoes'!$F$2:$F$501,B350,'Solicitacoes'!$K$2:$K$501,F350,'Solicitacoes'!$I$2:$I$501,"confirmado",'Solicitacoes'!$G$2:$G$501,"&lt;"&amp;J350,'Solicitacoes'!$N$2:$N$501,"&gt;"&amp;C350)+COUNTIFS('Solicitacoes'!$F$2:$F$501,B350,'Solicitacoes'!$E$2:$E$501,A350,'Solicitacoes'!$I$2:$I$501,"confirmado",'Solicitacoes'!$G$2:$G$501,"&lt;"&amp;J350,'Solicitacoes'!$N$2:$N$501,"&gt;"&amp;C350)&gt;0,"Ocupado","Disponível"))))</x:f>
        <x:v>Revisar escala</x:v>
      </x:c>
      <x:c r="N350" s="2" t="n">
        <x:f>IF(A350="","",ROW()-1)</x:f>
        <x:v>349</x:v>
      </x:c>
    </x:row>
    <x:row r="351" ht="24" customHeight="1">
      <x:c r="A351" s="13" t="str">
        <x:v>Aline Reis</x:v>
      </x:c>
      <x:c r="B351" s="14" t="d">
        <x:v>2026-10-26T00:00:00.000Z</x:v>
      </x:c>
      <x:c r="C351" s="26" t="n">
        <x:v>0.75</x:v>
      </x:c>
      <x:c r="D351" s="13" t="str">
        <x:v>presencial</x:v>
      </x:c>
      <x:c r="E351" s="13" t="str">
        <x:v>não</x:v>
      </x:c>
      <x:c r="F351" s="13" t="str">
        <x:v>Sala 2</x:v>
      </x:c>
      <x:c r="G351" s="12" t="n">
        <x:f>IF(A351="","",'Agenda'!$B$5)</x:f>
        <x:v>50</x:v>
      </x:c>
      <x:c r="H351" s="12" t="n">
        <x:f>IF(A351="","",'Agenda'!$B$6)</x:f>
        <x:v>10</x:v>
      </x:c>
      <x:c r="I351" s="24" t="n">
        <x:f>IF(A351="","",C351+G351/1440)</x:f>
        <x:v>0.7847222222222222</x:v>
      </x:c>
      <x:c r="J351" s="24" t="n">
        <x:f>IF(A351="","",C351+(G351+H351)/1440)</x:f>
        <x:v>0.7916666666666666</x:v>
      </x:c>
      <x:c r="K351" s="27" t="n">
        <x:f>IF(A351="","",IF(E351&lt;&gt;"sim",0,COUNTIFS($B$2:$B$501,B351,$F$2:$F$501,F351,$E$2:$E$501,"sim",$C$2:$C$501,"&lt;"&amp;J351,$J$2:$J$501,"&gt;"&amp;C351)-1))</x:f>
        <x:v>0</x:v>
      </x:c>
      <x:c r="L351" s="27" t="n">
        <x:f>IF(A351="","",IF(E351&lt;&gt;"sim",0,COUNTIFS($B$2:$B$501,B351,$A$2:$A$501,A351,$E$2:$E$501,"sim",$C$2:$C$501,"&lt;"&amp;J351,$J$2:$J$501,"&gt;"&amp;C351)-1))</x:f>
        <x:v>0</x:v>
      </x:c>
      <x:c r="M351" s="2" t="str">
        <x:f>IF(A351="","",IF(E351&lt;&gt;"sim","Revisar escala",IF(OR(K351&gt;0,L351&gt;0),"Conflito de escala",IF(COUNTIFS('Solicitacoes'!$F$2:$F$501,B351,'Solicitacoes'!$K$2:$K$501,F351,'Solicitacoes'!$I$2:$I$501,"pendente",'Solicitacoes'!$G$2:$G$501,"&lt;"&amp;J351,'Solicitacoes'!$N$2:$N$501,"&gt;"&amp;C351)+COUNTIFS('Solicitacoes'!$F$2:$F$501,B351,'Solicitacoes'!$E$2:$E$501,A351,'Solicitacoes'!$I$2:$I$501,"pendente",'Solicitacoes'!$G$2:$G$501,"&lt;"&amp;J351,'Solicitacoes'!$N$2:$N$501,"&gt;"&amp;C351)+COUNTIFS('Solicitacoes'!$F$2:$F$501,B351,'Solicitacoes'!$K$2:$K$501,F351,'Solicitacoes'!$I$2:$I$501,"confirmado",'Solicitacoes'!$G$2:$G$501,"&lt;"&amp;J351,'Solicitacoes'!$N$2:$N$501,"&gt;"&amp;C351)+COUNTIFS('Solicitacoes'!$F$2:$F$501,B351,'Solicitacoes'!$E$2:$E$501,A351,'Solicitacoes'!$I$2:$I$501,"confirmado",'Solicitacoes'!$G$2:$G$501,"&lt;"&amp;J351,'Solicitacoes'!$N$2:$N$501,"&gt;"&amp;C351)&gt;0,"Ocupado","Disponível"))))</x:f>
        <x:v>Revisar escala</x:v>
      </x:c>
      <x:c r="N351" s="2" t="n">
        <x:f>IF(A351="","",ROW()-1)</x:f>
        <x:v>350</x:v>
      </x:c>
    </x:row>
    <x:row r="352" ht="24" customHeight="1">
      <x:c r="A352" s="13" t="str">
        <x:v>Laura Casanova</x:v>
      </x:c>
      <x:c r="B352" s="14" t="d">
        <x:v>2026-10-26T00:00:00.000Z</x:v>
      </x:c>
      <x:c r="C352" s="26" t="n">
        <x:v>0.7916666666666666</x:v>
      </x:c>
      <x:c r="D352" s="13" t="str">
        <x:v>presencial</x:v>
      </x:c>
      <x:c r="E352" s="13" t="str">
        <x:v>não</x:v>
      </x:c>
      <x:c r="F352" s="13" t="str">
        <x:v>Sala 1</x:v>
      </x:c>
      <x:c r="G352" s="12" t="n">
        <x:f>IF(A352="","",'Agenda'!$B$5)</x:f>
        <x:v>50</x:v>
      </x:c>
      <x:c r="H352" s="12" t="n">
        <x:f>IF(A352="","",'Agenda'!$B$6)</x:f>
        <x:v>10</x:v>
      </x:c>
      <x:c r="I352" s="24" t="n">
        <x:f>IF(A352="","",C352+G352/1440)</x:f>
        <x:v>0.8263888888888888</x:v>
      </x:c>
      <x:c r="J352" s="24" t="n">
        <x:f>IF(A352="","",C352+(G352+H352)/1440)</x:f>
        <x:v>0.8333333333333333</x:v>
      </x:c>
      <x:c r="K352" s="27" t="n">
        <x:f>IF(A352="","",IF(E352&lt;&gt;"sim",0,COUNTIFS($B$2:$B$501,B352,$F$2:$F$501,F352,$E$2:$E$501,"sim",$C$2:$C$501,"&lt;"&amp;J352,$J$2:$J$501,"&gt;"&amp;C352)-1))</x:f>
        <x:v>0</x:v>
      </x:c>
      <x:c r="L352" s="27" t="n">
        <x:f>IF(A352="","",IF(E352&lt;&gt;"sim",0,COUNTIFS($B$2:$B$501,B352,$A$2:$A$501,A352,$E$2:$E$501,"sim",$C$2:$C$501,"&lt;"&amp;J352,$J$2:$J$501,"&gt;"&amp;C352)-1))</x:f>
        <x:v>0</x:v>
      </x:c>
      <x:c r="M352" s="2" t="str">
        <x:f>IF(A352="","",IF(E352&lt;&gt;"sim","Revisar escala",IF(OR(K352&gt;0,L352&gt;0),"Conflito de escala",IF(COUNTIFS('Solicitacoes'!$F$2:$F$501,B352,'Solicitacoes'!$K$2:$K$501,F352,'Solicitacoes'!$I$2:$I$501,"pendente",'Solicitacoes'!$G$2:$G$501,"&lt;"&amp;J352,'Solicitacoes'!$N$2:$N$501,"&gt;"&amp;C352)+COUNTIFS('Solicitacoes'!$F$2:$F$501,B352,'Solicitacoes'!$E$2:$E$501,A352,'Solicitacoes'!$I$2:$I$501,"pendente",'Solicitacoes'!$G$2:$G$501,"&lt;"&amp;J352,'Solicitacoes'!$N$2:$N$501,"&gt;"&amp;C352)+COUNTIFS('Solicitacoes'!$F$2:$F$501,B352,'Solicitacoes'!$K$2:$K$501,F352,'Solicitacoes'!$I$2:$I$501,"confirmado",'Solicitacoes'!$G$2:$G$501,"&lt;"&amp;J352,'Solicitacoes'!$N$2:$N$501,"&gt;"&amp;C352)+COUNTIFS('Solicitacoes'!$F$2:$F$501,B352,'Solicitacoes'!$E$2:$E$501,A352,'Solicitacoes'!$I$2:$I$501,"confirmado",'Solicitacoes'!$G$2:$G$501,"&lt;"&amp;J352,'Solicitacoes'!$N$2:$N$501,"&gt;"&amp;C352)&gt;0,"Ocupado","Disponível"))))</x:f>
        <x:v>Revisar escala</x:v>
      </x:c>
      <x:c r="N352" s="2" t="n">
        <x:f>IF(A352="","",ROW()-1)</x:f>
        <x:v>351</x:v>
      </x:c>
    </x:row>
    <x:row r="353" ht="24" customHeight="1">
      <x:c r="A353" s="13" t="str">
        <x:v>Aline Reis</x:v>
      </x:c>
      <x:c r="B353" s="14" t="d">
        <x:v>2026-10-26T00:00:00.000Z</x:v>
      </x:c>
      <x:c r="C353" s="26" t="n">
        <x:v>0.7916666666666666</x:v>
      </x:c>
      <x:c r="D353" s="13" t="str">
        <x:v>presencial</x:v>
      </x:c>
      <x:c r="E353" s="13" t="str">
        <x:v>não</x:v>
      </x:c>
      <x:c r="F353" s="13" t="str">
        <x:v>Sala 2</x:v>
      </x:c>
      <x:c r="G353" s="12" t="n">
        <x:f>IF(A353="","",'Agenda'!$B$5)</x:f>
        <x:v>50</x:v>
      </x:c>
      <x:c r="H353" s="12" t="n">
        <x:f>IF(A353="","",'Agenda'!$B$6)</x:f>
        <x:v>10</x:v>
      </x:c>
      <x:c r="I353" s="24" t="n">
        <x:f>IF(A353="","",C353+G353/1440)</x:f>
        <x:v>0.8263888888888888</x:v>
      </x:c>
      <x:c r="J353" s="24" t="n">
        <x:f>IF(A353="","",C353+(G353+H353)/1440)</x:f>
        <x:v>0.8333333333333333</x:v>
      </x:c>
      <x:c r="K353" s="27" t="n">
        <x:f>IF(A353="","",IF(E353&lt;&gt;"sim",0,COUNTIFS($B$2:$B$501,B353,$F$2:$F$501,F353,$E$2:$E$501,"sim",$C$2:$C$501,"&lt;"&amp;J353,$J$2:$J$501,"&gt;"&amp;C353)-1))</x:f>
        <x:v>0</x:v>
      </x:c>
      <x:c r="L353" s="27" t="n">
        <x:f>IF(A353="","",IF(E353&lt;&gt;"sim",0,COUNTIFS($B$2:$B$501,B353,$A$2:$A$501,A353,$E$2:$E$501,"sim",$C$2:$C$501,"&lt;"&amp;J353,$J$2:$J$501,"&gt;"&amp;C353)-1))</x:f>
        <x:v>0</x:v>
      </x:c>
      <x:c r="M353" s="2" t="str">
        <x:f>IF(A353="","",IF(E353&lt;&gt;"sim","Revisar escala",IF(OR(K353&gt;0,L353&gt;0),"Conflito de escala",IF(COUNTIFS('Solicitacoes'!$F$2:$F$501,B353,'Solicitacoes'!$K$2:$K$501,F353,'Solicitacoes'!$I$2:$I$501,"pendente",'Solicitacoes'!$G$2:$G$501,"&lt;"&amp;J353,'Solicitacoes'!$N$2:$N$501,"&gt;"&amp;C353)+COUNTIFS('Solicitacoes'!$F$2:$F$501,B353,'Solicitacoes'!$E$2:$E$501,A353,'Solicitacoes'!$I$2:$I$501,"pendente",'Solicitacoes'!$G$2:$G$501,"&lt;"&amp;J353,'Solicitacoes'!$N$2:$N$501,"&gt;"&amp;C353)+COUNTIFS('Solicitacoes'!$F$2:$F$501,B353,'Solicitacoes'!$K$2:$K$501,F353,'Solicitacoes'!$I$2:$I$501,"confirmado",'Solicitacoes'!$G$2:$G$501,"&lt;"&amp;J353,'Solicitacoes'!$N$2:$N$501,"&gt;"&amp;C353)+COUNTIFS('Solicitacoes'!$F$2:$F$501,B353,'Solicitacoes'!$E$2:$E$501,A353,'Solicitacoes'!$I$2:$I$501,"confirmado",'Solicitacoes'!$G$2:$G$501,"&lt;"&amp;J353,'Solicitacoes'!$N$2:$N$501,"&gt;"&amp;C353)&gt;0,"Ocupado","Disponível"))))</x:f>
        <x:v>Revisar escala</x:v>
      </x:c>
      <x:c r="N353" s="2" t="n">
        <x:f>IF(A353="","",ROW()-1)</x:f>
        <x:v>352</x:v>
      </x:c>
    </x:row>
    <x:row r="354" ht="24" customHeight="1">
      <x:c r="A354" s="13" t="str">
        <x:v>Géssyca Martins</x:v>
      </x:c>
      <x:c r="B354" s="14" t="d">
        <x:v>2026-10-27T00:00:00.000Z</x:v>
      </x:c>
      <x:c r="C354" s="26" t="n">
        <x:v>0.375</x:v>
      </x:c>
      <x:c r="D354" s="13" t="str">
        <x:v>presencial</x:v>
      </x:c>
      <x:c r="E354" s="13" t="str">
        <x:v>não</x:v>
      </x:c>
      <x:c r="F354" s="13" t="str">
        <x:v>Sala 1</x:v>
      </x:c>
      <x:c r="G354" s="12" t="n">
        <x:f>IF(A354="","",'Agenda'!$B$5)</x:f>
        <x:v>50</x:v>
      </x:c>
      <x:c r="H354" s="12" t="n">
        <x:f>IF(A354="","",'Agenda'!$B$6)</x:f>
        <x:v>10</x:v>
      </x:c>
      <x:c r="I354" s="24" t="n">
        <x:f>IF(A354="","",C354+G354/1440)</x:f>
        <x:v>0.4097222222222222</x:v>
      </x:c>
      <x:c r="J354" s="24" t="n">
        <x:f>IF(A354="","",C354+(G354+H354)/1440)</x:f>
        <x:v>0.4166666666666667</x:v>
      </x:c>
      <x:c r="K354" s="27" t="n">
        <x:f>IF(A354="","",IF(E354&lt;&gt;"sim",0,COUNTIFS($B$2:$B$501,B354,$F$2:$F$501,F354,$E$2:$E$501,"sim",$C$2:$C$501,"&lt;"&amp;J354,$J$2:$J$501,"&gt;"&amp;C354)-1))</x:f>
        <x:v>0</x:v>
      </x:c>
      <x:c r="L354" s="27" t="n">
        <x:f>IF(A354="","",IF(E354&lt;&gt;"sim",0,COUNTIFS($B$2:$B$501,B354,$A$2:$A$501,A354,$E$2:$E$501,"sim",$C$2:$C$501,"&lt;"&amp;J354,$J$2:$J$501,"&gt;"&amp;C354)-1))</x:f>
        <x:v>0</x:v>
      </x:c>
      <x:c r="M354" s="2" t="str">
        <x:f>IF(A354="","",IF(E354&lt;&gt;"sim","Revisar escala",IF(OR(K354&gt;0,L354&gt;0),"Conflito de escala",IF(COUNTIFS('Solicitacoes'!$F$2:$F$501,B354,'Solicitacoes'!$K$2:$K$501,F354,'Solicitacoes'!$I$2:$I$501,"pendente",'Solicitacoes'!$G$2:$G$501,"&lt;"&amp;J354,'Solicitacoes'!$N$2:$N$501,"&gt;"&amp;C354)+COUNTIFS('Solicitacoes'!$F$2:$F$501,B354,'Solicitacoes'!$E$2:$E$501,A354,'Solicitacoes'!$I$2:$I$501,"pendente",'Solicitacoes'!$G$2:$G$501,"&lt;"&amp;J354,'Solicitacoes'!$N$2:$N$501,"&gt;"&amp;C354)+COUNTIFS('Solicitacoes'!$F$2:$F$501,B354,'Solicitacoes'!$K$2:$K$501,F354,'Solicitacoes'!$I$2:$I$501,"confirmado",'Solicitacoes'!$G$2:$G$501,"&lt;"&amp;J354,'Solicitacoes'!$N$2:$N$501,"&gt;"&amp;C354)+COUNTIFS('Solicitacoes'!$F$2:$F$501,B354,'Solicitacoes'!$E$2:$E$501,A354,'Solicitacoes'!$I$2:$I$501,"confirmado",'Solicitacoes'!$G$2:$G$501,"&lt;"&amp;J354,'Solicitacoes'!$N$2:$N$501,"&gt;"&amp;C354)&gt;0,"Ocupado","Disponível"))))</x:f>
        <x:v>Revisar escala</x:v>
      </x:c>
      <x:c r="N354" s="2" t="n">
        <x:f>IF(A354="","",ROW()-1)</x:f>
        <x:v>353</x:v>
      </x:c>
    </x:row>
    <x:row r="355" ht="24" customHeight="1">
      <x:c r="A355" s="13" t="str">
        <x:v>Laura Casanova</x:v>
      </x:c>
      <x:c r="B355" s="14" t="d">
        <x:v>2026-10-27T00:00:00.000Z</x:v>
      </x:c>
      <x:c r="C355" s="26" t="n">
        <x:v>0.375</x:v>
      </x:c>
      <x:c r="D355" s="13" t="str">
        <x:v>presencial</x:v>
      </x:c>
      <x:c r="E355" s="13" t="str">
        <x:v>não</x:v>
      </x:c>
      <x:c r="F355" s="13" t="str">
        <x:v>Sala 2</x:v>
      </x:c>
      <x:c r="G355" s="12" t="n">
        <x:f>IF(A355="","",'Agenda'!$B$5)</x:f>
        <x:v>50</x:v>
      </x:c>
      <x:c r="H355" s="12" t="n">
        <x:f>IF(A355="","",'Agenda'!$B$6)</x:f>
        <x:v>10</x:v>
      </x:c>
      <x:c r="I355" s="24" t="n">
        <x:f>IF(A355="","",C355+G355/1440)</x:f>
        <x:v>0.4097222222222222</x:v>
      </x:c>
      <x:c r="J355" s="24" t="n">
        <x:f>IF(A355="","",C355+(G355+H355)/1440)</x:f>
        <x:v>0.4166666666666667</x:v>
      </x:c>
      <x:c r="K355" s="27" t="n">
        <x:f>IF(A355="","",IF(E355&lt;&gt;"sim",0,COUNTIFS($B$2:$B$501,B355,$F$2:$F$501,F355,$E$2:$E$501,"sim",$C$2:$C$501,"&lt;"&amp;J355,$J$2:$J$501,"&gt;"&amp;C355)-1))</x:f>
        <x:v>0</x:v>
      </x:c>
      <x:c r="L355" s="27" t="n">
        <x:f>IF(A355="","",IF(E355&lt;&gt;"sim",0,COUNTIFS($B$2:$B$501,B355,$A$2:$A$501,A355,$E$2:$E$501,"sim",$C$2:$C$501,"&lt;"&amp;J355,$J$2:$J$501,"&gt;"&amp;C355)-1))</x:f>
        <x:v>0</x:v>
      </x:c>
      <x:c r="M355" s="2" t="str">
        <x:f>IF(A355="","",IF(E355&lt;&gt;"sim","Revisar escala",IF(OR(K355&gt;0,L355&gt;0),"Conflito de escala",IF(COUNTIFS('Solicitacoes'!$F$2:$F$501,B355,'Solicitacoes'!$K$2:$K$501,F355,'Solicitacoes'!$I$2:$I$501,"pendente",'Solicitacoes'!$G$2:$G$501,"&lt;"&amp;J355,'Solicitacoes'!$N$2:$N$501,"&gt;"&amp;C355)+COUNTIFS('Solicitacoes'!$F$2:$F$501,B355,'Solicitacoes'!$E$2:$E$501,A355,'Solicitacoes'!$I$2:$I$501,"pendente",'Solicitacoes'!$G$2:$G$501,"&lt;"&amp;J355,'Solicitacoes'!$N$2:$N$501,"&gt;"&amp;C355)+COUNTIFS('Solicitacoes'!$F$2:$F$501,B355,'Solicitacoes'!$K$2:$K$501,F355,'Solicitacoes'!$I$2:$I$501,"confirmado",'Solicitacoes'!$G$2:$G$501,"&lt;"&amp;J355,'Solicitacoes'!$N$2:$N$501,"&gt;"&amp;C355)+COUNTIFS('Solicitacoes'!$F$2:$F$501,B355,'Solicitacoes'!$E$2:$E$501,A355,'Solicitacoes'!$I$2:$I$501,"confirmado",'Solicitacoes'!$G$2:$G$501,"&lt;"&amp;J355,'Solicitacoes'!$N$2:$N$501,"&gt;"&amp;C355)&gt;0,"Ocupado","Disponível"))))</x:f>
        <x:v>Revisar escala</x:v>
      </x:c>
      <x:c r="N355" s="2" t="n">
        <x:f>IF(A355="","",ROW()-1)</x:f>
        <x:v>354</x:v>
      </x:c>
    </x:row>
    <x:row r="356" ht="24" customHeight="1">
      <x:c r="A356" s="13" t="str">
        <x:v>Géssyca Martins</x:v>
      </x:c>
      <x:c r="B356" s="14" t="d">
        <x:v>2026-10-27T00:00:00.000Z</x:v>
      </x:c>
      <x:c r="C356" s="26" t="n">
        <x:v>0.4166666666666667</x:v>
      </x:c>
      <x:c r="D356" s="13" t="str">
        <x:v>presencial</x:v>
      </x:c>
      <x:c r="E356" s="13" t="str">
        <x:v>não</x:v>
      </x:c>
      <x:c r="F356" s="13" t="str">
        <x:v>Sala 1</x:v>
      </x:c>
      <x:c r="G356" s="12" t="n">
        <x:f>IF(A356="","",'Agenda'!$B$5)</x:f>
        <x:v>50</x:v>
      </x:c>
      <x:c r="H356" s="12" t="n">
        <x:f>IF(A356="","",'Agenda'!$B$6)</x:f>
        <x:v>10</x:v>
      </x:c>
      <x:c r="I356" s="24" t="n">
        <x:f>IF(A356="","",C356+G356/1440)</x:f>
        <x:v>0.4513888888888889</x:v>
      </x:c>
      <x:c r="J356" s="24" t="n">
        <x:f>IF(A356="","",C356+(G356+H356)/1440)</x:f>
        <x:v>0.45833333333333337</x:v>
      </x:c>
      <x:c r="K356" s="27" t="n">
        <x:f>IF(A356="","",IF(E356&lt;&gt;"sim",0,COUNTIFS($B$2:$B$501,B356,$F$2:$F$501,F356,$E$2:$E$501,"sim",$C$2:$C$501,"&lt;"&amp;J356,$J$2:$J$501,"&gt;"&amp;C356)-1))</x:f>
        <x:v>0</x:v>
      </x:c>
      <x:c r="L356" s="27" t="n">
        <x:f>IF(A356="","",IF(E356&lt;&gt;"sim",0,COUNTIFS($B$2:$B$501,B356,$A$2:$A$501,A356,$E$2:$E$501,"sim",$C$2:$C$501,"&lt;"&amp;J356,$J$2:$J$501,"&gt;"&amp;C356)-1))</x:f>
        <x:v>0</x:v>
      </x:c>
      <x:c r="M356" s="2" t="str">
        <x:f>IF(A356="","",IF(E356&lt;&gt;"sim","Revisar escala",IF(OR(K356&gt;0,L356&gt;0),"Conflito de escala",IF(COUNTIFS('Solicitacoes'!$F$2:$F$501,B356,'Solicitacoes'!$K$2:$K$501,F356,'Solicitacoes'!$I$2:$I$501,"pendente",'Solicitacoes'!$G$2:$G$501,"&lt;"&amp;J356,'Solicitacoes'!$N$2:$N$501,"&gt;"&amp;C356)+COUNTIFS('Solicitacoes'!$F$2:$F$501,B356,'Solicitacoes'!$E$2:$E$501,A356,'Solicitacoes'!$I$2:$I$501,"pendente",'Solicitacoes'!$G$2:$G$501,"&lt;"&amp;J356,'Solicitacoes'!$N$2:$N$501,"&gt;"&amp;C356)+COUNTIFS('Solicitacoes'!$F$2:$F$501,B356,'Solicitacoes'!$K$2:$K$501,F356,'Solicitacoes'!$I$2:$I$501,"confirmado",'Solicitacoes'!$G$2:$G$501,"&lt;"&amp;J356,'Solicitacoes'!$N$2:$N$501,"&gt;"&amp;C356)+COUNTIFS('Solicitacoes'!$F$2:$F$501,B356,'Solicitacoes'!$E$2:$E$501,A356,'Solicitacoes'!$I$2:$I$501,"confirmado",'Solicitacoes'!$G$2:$G$501,"&lt;"&amp;J356,'Solicitacoes'!$N$2:$N$501,"&gt;"&amp;C356)&gt;0,"Ocupado","Disponível"))))</x:f>
        <x:v>Revisar escala</x:v>
      </x:c>
      <x:c r="N356" s="2" t="n">
        <x:f>IF(A356="","",ROW()-1)</x:f>
        <x:v>355</x:v>
      </x:c>
    </x:row>
    <x:row r="357" ht="24" customHeight="1">
      <x:c r="A357" s="13" t="str">
        <x:v>Laura Casanova</x:v>
      </x:c>
      <x:c r="B357" s="14" t="d">
        <x:v>2026-10-27T00:00:00.000Z</x:v>
      </x:c>
      <x:c r="C357" s="26" t="n">
        <x:v>0.4166666666666667</x:v>
      </x:c>
      <x:c r="D357" s="13" t="str">
        <x:v>presencial</x:v>
      </x:c>
      <x:c r="E357" s="13" t="str">
        <x:v>não</x:v>
      </x:c>
      <x:c r="F357" s="13" t="str">
        <x:v>Sala 2</x:v>
      </x:c>
      <x:c r="G357" s="12" t="n">
        <x:f>IF(A357="","",'Agenda'!$B$5)</x:f>
        <x:v>50</x:v>
      </x:c>
      <x:c r="H357" s="12" t="n">
        <x:f>IF(A357="","",'Agenda'!$B$6)</x:f>
        <x:v>10</x:v>
      </x:c>
      <x:c r="I357" s="24" t="n">
        <x:f>IF(A357="","",C357+G357/1440)</x:f>
        <x:v>0.4513888888888889</x:v>
      </x:c>
      <x:c r="J357" s="24" t="n">
        <x:f>IF(A357="","",C357+(G357+H357)/1440)</x:f>
        <x:v>0.45833333333333337</x:v>
      </x:c>
      <x:c r="K357" s="27" t="n">
        <x:f>IF(A357="","",IF(E357&lt;&gt;"sim",0,COUNTIFS($B$2:$B$501,B357,$F$2:$F$501,F357,$E$2:$E$501,"sim",$C$2:$C$501,"&lt;"&amp;J357,$J$2:$J$501,"&gt;"&amp;C357)-1))</x:f>
        <x:v>0</x:v>
      </x:c>
      <x:c r="L357" s="27" t="n">
        <x:f>IF(A357="","",IF(E357&lt;&gt;"sim",0,COUNTIFS($B$2:$B$501,B357,$A$2:$A$501,A357,$E$2:$E$501,"sim",$C$2:$C$501,"&lt;"&amp;J357,$J$2:$J$501,"&gt;"&amp;C357)-1))</x:f>
        <x:v>0</x:v>
      </x:c>
      <x:c r="M357" s="2" t="str">
        <x:f>IF(A357="","",IF(E357&lt;&gt;"sim","Revisar escala",IF(OR(K357&gt;0,L357&gt;0),"Conflito de escala",IF(COUNTIFS('Solicitacoes'!$F$2:$F$501,B357,'Solicitacoes'!$K$2:$K$501,F357,'Solicitacoes'!$I$2:$I$501,"pendente",'Solicitacoes'!$G$2:$G$501,"&lt;"&amp;J357,'Solicitacoes'!$N$2:$N$501,"&gt;"&amp;C357)+COUNTIFS('Solicitacoes'!$F$2:$F$501,B357,'Solicitacoes'!$E$2:$E$501,A357,'Solicitacoes'!$I$2:$I$501,"pendente",'Solicitacoes'!$G$2:$G$501,"&lt;"&amp;J357,'Solicitacoes'!$N$2:$N$501,"&gt;"&amp;C357)+COUNTIFS('Solicitacoes'!$F$2:$F$501,B357,'Solicitacoes'!$K$2:$K$501,F357,'Solicitacoes'!$I$2:$I$501,"confirmado",'Solicitacoes'!$G$2:$G$501,"&lt;"&amp;J357,'Solicitacoes'!$N$2:$N$501,"&gt;"&amp;C357)+COUNTIFS('Solicitacoes'!$F$2:$F$501,B357,'Solicitacoes'!$E$2:$E$501,A357,'Solicitacoes'!$I$2:$I$501,"confirmado",'Solicitacoes'!$G$2:$G$501,"&lt;"&amp;J357,'Solicitacoes'!$N$2:$N$501,"&gt;"&amp;C357)&gt;0,"Ocupado","Disponível"))))</x:f>
        <x:v>Revisar escala</x:v>
      </x:c>
      <x:c r="N357" s="2" t="n">
        <x:f>IF(A357="","",ROW()-1)</x:f>
        <x:v>356</x:v>
      </x:c>
    </x:row>
    <x:row r="358" ht="24" customHeight="1">
      <x:c r="A358" s="13" t="str">
        <x:v>Géssyca Martins</x:v>
      </x:c>
      <x:c r="B358" s="14" t="d">
        <x:v>2026-10-27T00:00:00.000Z</x:v>
      </x:c>
      <x:c r="C358" s="26" t="n">
        <x:v>0.4583333333333333</x:v>
      </x:c>
      <x:c r="D358" s="13" t="str">
        <x:v>presencial</x:v>
      </x:c>
      <x:c r="E358" s="13" t="str">
        <x:v>não</x:v>
      </x:c>
      <x:c r="F358" s="13" t="str">
        <x:v>Sala 1</x:v>
      </x:c>
      <x:c r="G358" s="12" t="n">
        <x:f>IF(A358="","",'Agenda'!$B$5)</x:f>
        <x:v>50</x:v>
      </x:c>
      <x:c r="H358" s="12" t="n">
        <x:f>IF(A358="","",'Agenda'!$B$6)</x:f>
        <x:v>10</x:v>
      </x:c>
      <x:c r="I358" s="24" t="n">
        <x:f>IF(A358="","",C358+G358/1440)</x:f>
        <x:v>0.4930555555555555</x:v>
      </x:c>
      <x:c r="J358" s="24" t="n">
        <x:f>IF(A358="","",C358+(G358+H358)/1440)</x:f>
        <x:v>0.5</x:v>
      </x:c>
      <x:c r="K358" s="27" t="n">
        <x:f>IF(A358="","",IF(E358&lt;&gt;"sim",0,COUNTIFS($B$2:$B$501,B358,$F$2:$F$501,F358,$E$2:$E$501,"sim",$C$2:$C$501,"&lt;"&amp;J358,$J$2:$J$501,"&gt;"&amp;C358)-1))</x:f>
        <x:v>0</x:v>
      </x:c>
      <x:c r="L358" s="27" t="n">
        <x:f>IF(A358="","",IF(E358&lt;&gt;"sim",0,COUNTIFS($B$2:$B$501,B358,$A$2:$A$501,A358,$E$2:$E$501,"sim",$C$2:$C$501,"&lt;"&amp;J358,$J$2:$J$501,"&gt;"&amp;C358)-1))</x:f>
        <x:v>0</x:v>
      </x:c>
      <x:c r="M358" s="2" t="str">
        <x:f>IF(A358="","",IF(E358&lt;&gt;"sim","Revisar escala",IF(OR(K358&gt;0,L358&gt;0),"Conflito de escala",IF(COUNTIFS('Solicitacoes'!$F$2:$F$501,B358,'Solicitacoes'!$K$2:$K$501,F358,'Solicitacoes'!$I$2:$I$501,"pendente",'Solicitacoes'!$G$2:$G$501,"&lt;"&amp;J358,'Solicitacoes'!$N$2:$N$501,"&gt;"&amp;C358)+COUNTIFS('Solicitacoes'!$F$2:$F$501,B358,'Solicitacoes'!$E$2:$E$501,A358,'Solicitacoes'!$I$2:$I$501,"pendente",'Solicitacoes'!$G$2:$G$501,"&lt;"&amp;J358,'Solicitacoes'!$N$2:$N$501,"&gt;"&amp;C358)+COUNTIFS('Solicitacoes'!$F$2:$F$501,B358,'Solicitacoes'!$K$2:$K$501,F358,'Solicitacoes'!$I$2:$I$501,"confirmado",'Solicitacoes'!$G$2:$G$501,"&lt;"&amp;J358,'Solicitacoes'!$N$2:$N$501,"&gt;"&amp;C358)+COUNTIFS('Solicitacoes'!$F$2:$F$501,B358,'Solicitacoes'!$E$2:$E$501,A358,'Solicitacoes'!$I$2:$I$501,"confirmado",'Solicitacoes'!$G$2:$G$501,"&lt;"&amp;J358,'Solicitacoes'!$N$2:$N$501,"&gt;"&amp;C358)&gt;0,"Ocupado","Disponível"))))</x:f>
        <x:v>Revisar escala</x:v>
      </x:c>
      <x:c r="N358" s="2" t="n">
        <x:f>IF(A358="","",ROW()-1)</x:f>
        <x:v>357</x:v>
      </x:c>
    </x:row>
    <x:row r="359" ht="24" customHeight="1">
      <x:c r="A359" s="13" t="str">
        <x:v>Laura Casanova</x:v>
      </x:c>
      <x:c r="B359" s="14" t="d">
        <x:v>2026-10-27T00:00:00.000Z</x:v>
      </x:c>
      <x:c r="C359" s="26" t="n">
        <x:v>0.4583333333333333</x:v>
      </x:c>
      <x:c r="D359" s="13" t="str">
        <x:v>presencial</x:v>
      </x:c>
      <x:c r="E359" s="13" t="str">
        <x:v>não</x:v>
      </x:c>
      <x:c r="F359" s="13" t="str">
        <x:v>Sala 2</x:v>
      </x:c>
      <x:c r="G359" s="12" t="n">
        <x:f>IF(A359="","",'Agenda'!$B$5)</x:f>
        <x:v>50</x:v>
      </x:c>
      <x:c r="H359" s="12" t="n">
        <x:f>IF(A359="","",'Agenda'!$B$6)</x:f>
        <x:v>10</x:v>
      </x:c>
      <x:c r="I359" s="24" t="n">
        <x:f>IF(A359="","",C359+G359/1440)</x:f>
        <x:v>0.4930555555555555</x:v>
      </x:c>
      <x:c r="J359" s="24" t="n">
        <x:f>IF(A359="","",C359+(G359+H359)/1440)</x:f>
        <x:v>0.5</x:v>
      </x:c>
      <x:c r="K359" s="27" t="n">
        <x:f>IF(A359="","",IF(E359&lt;&gt;"sim",0,COUNTIFS($B$2:$B$501,B359,$F$2:$F$501,F359,$E$2:$E$501,"sim",$C$2:$C$501,"&lt;"&amp;J359,$J$2:$J$501,"&gt;"&amp;C359)-1))</x:f>
        <x:v>0</x:v>
      </x:c>
      <x:c r="L359" s="27" t="n">
        <x:f>IF(A359="","",IF(E359&lt;&gt;"sim",0,COUNTIFS($B$2:$B$501,B359,$A$2:$A$501,A359,$E$2:$E$501,"sim",$C$2:$C$501,"&lt;"&amp;J359,$J$2:$J$501,"&gt;"&amp;C359)-1))</x:f>
        <x:v>0</x:v>
      </x:c>
      <x:c r="M359" s="2" t="str">
        <x:f>IF(A359="","",IF(E359&lt;&gt;"sim","Revisar escala",IF(OR(K359&gt;0,L359&gt;0),"Conflito de escala",IF(COUNTIFS('Solicitacoes'!$F$2:$F$501,B359,'Solicitacoes'!$K$2:$K$501,F359,'Solicitacoes'!$I$2:$I$501,"pendente",'Solicitacoes'!$G$2:$G$501,"&lt;"&amp;J359,'Solicitacoes'!$N$2:$N$501,"&gt;"&amp;C359)+COUNTIFS('Solicitacoes'!$F$2:$F$501,B359,'Solicitacoes'!$E$2:$E$501,A359,'Solicitacoes'!$I$2:$I$501,"pendente",'Solicitacoes'!$G$2:$G$501,"&lt;"&amp;J359,'Solicitacoes'!$N$2:$N$501,"&gt;"&amp;C359)+COUNTIFS('Solicitacoes'!$F$2:$F$501,B359,'Solicitacoes'!$K$2:$K$501,F359,'Solicitacoes'!$I$2:$I$501,"confirmado",'Solicitacoes'!$G$2:$G$501,"&lt;"&amp;J359,'Solicitacoes'!$N$2:$N$501,"&gt;"&amp;C359)+COUNTIFS('Solicitacoes'!$F$2:$F$501,B359,'Solicitacoes'!$E$2:$E$501,A359,'Solicitacoes'!$I$2:$I$501,"confirmado",'Solicitacoes'!$G$2:$G$501,"&lt;"&amp;J359,'Solicitacoes'!$N$2:$N$501,"&gt;"&amp;C359)&gt;0,"Ocupado","Disponível"))))</x:f>
        <x:v>Revisar escala</x:v>
      </x:c>
      <x:c r="N359" s="2" t="n">
        <x:f>IF(A359="","",ROW()-1)</x:f>
        <x:v>358</x:v>
      </x:c>
    </x:row>
    <x:row r="360" ht="24" customHeight="1">
      <x:c r="A360" s="13" t="str">
        <x:v>Géssyca Martins</x:v>
      </x:c>
      <x:c r="B360" s="14" t="d">
        <x:v>2026-10-27T00:00:00.000Z</x:v>
      </x:c>
      <x:c r="C360" s="26" t="n">
        <x:v>0.5</x:v>
      </x:c>
      <x:c r="D360" s="13" t="str">
        <x:v>presencial</x:v>
      </x:c>
      <x:c r="E360" s="13" t="str">
        <x:v>não</x:v>
      </x:c>
      <x:c r="F360" s="13" t="str">
        <x:v>Sala 1</x:v>
      </x:c>
      <x:c r="G360" s="12" t="n">
        <x:f>IF(A360="","",'Agenda'!$B$5)</x:f>
        <x:v>50</x:v>
      </x:c>
      <x:c r="H360" s="12" t="n">
        <x:f>IF(A360="","",'Agenda'!$B$6)</x:f>
        <x:v>10</x:v>
      </x:c>
      <x:c r="I360" s="24" t="n">
        <x:f>IF(A360="","",C360+G360/1440)</x:f>
        <x:v>0.5347222222222222</x:v>
      </x:c>
      <x:c r="J360" s="24" t="n">
        <x:f>IF(A360="","",C360+(G360+H360)/1440)</x:f>
        <x:v>0.5416666666666666</x:v>
      </x:c>
      <x:c r="K360" s="27" t="n">
        <x:f>IF(A360="","",IF(E360&lt;&gt;"sim",0,COUNTIFS($B$2:$B$501,B360,$F$2:$F$501,F360,$E$2:$E$501,"sim",$C$2:$C$501,"&lt;"&amp;J360,$J$2:$J$501,"&gt;"&amp;C360)-1))</x:f>
        <x:v>0</x:v>
      </x:c>
      <x:c r="L360" s="27" t="n">
        <x:f>IF(A360="","",IF(E360&lt;&gt;"sim",0,COUNTIFS($B$2:$B$501,B360,$A$2:$A$501,A360,$E$2:$E$501,"sim",$C$2:$C$501,"&lt;"&amp;J360,$J$2:$J$501,"&gt;"&amp;C360)-1))</x:f>
        <x:v>0</x:v>
      </x:c>
      <x:c r="M360" s="2" t="str">
        <x:f>IF(A360="","",IF(E360&lt;&gt;"sim","Revisar escala",IF(OR(K360&gt;0,L360&gt;0),"Conflito de escala",IF(COUNTIFS('Solicitacoes'!$F$2:$F$501,B360,'Solicitacoes'!$K$2:$K$501,F360,'Solicitacoes'!$I$2:$I$501,"pendente",'Solicitacoes'!$G$2:$G$501,"&lt;"&amp;J360,'Solicitacoes'!$N$2:$N$501,"&gt;"&amp;C360)+COUNTIFS('Solicitacoes'!$F$2:$F$501,B360,'Solicitacoes'!$E$2:$E$501,A360,'Solicitacoes'!$I$2:$I$501,"pendente",'Solicitacoes'!$G$2:$G$501,"&lt;"&amp;J360,'Solicitacoes'!$N$2:$N$501,"&gt;"&amp;C360)+COUNTIFS('Solicitacoes'!$F$2:$F$501,B360,'Solicitacoes'!$K$2:$K$501,F360,'Solicitacoes'!$I$2:$I$501,"confirmado",'Solicitacoes'!$G$2:$G$501,"&lt;"&amp;J360,'Solicitacoes'!$N$2:$N$501,"&gt;"&amp;C360)+COUNTIFS('Solicitacoes'!$F$2:$F$501,B360,'Solicitacoes'!$E$2:$E$501,A360,'Solicitacoes'!$I$2:$I$501,"confirmado",'Solicitacoes'!$G$2:$G$501,"&lt;"&amp;J360,'Solicitacoes'!$N$2:$N$501,"&gt;"&amp;C360)&gt;0,"Ocupado","Disponível"))))</x:f>
        <x:v>Revisar escala</x:v>
      </x:c>
      <x:c r="N360" s="2" t="n">
        <x:f>IF(A360="","",ROW()-1)</x:f>
        <x:v>359</x:v>
      </x:c>
    </x:row>
    <x:row r="361" ht="24" customHeight="1">
      <x:c r="A361" s="13" t="str">
        <x:v>Laura Casanova</x:v>
      </x:c>
      <x:c r="B361" s="14" t="d">
        <x:v>2026-10-27T00:00:00.000Z</x:v>
      </x:c>
      <x:c r="C361" s="26" t="n">
        <x:v>0.5</x:v>
      </x:c>
      <x:c r="D361" s="13" t="str">
        <x:v>presencial</x:v>
      </x:c>
      <x:c r="E361" s="13" t="str">
        <x:v>não</x:v>
      </x:c>
      <x:c r="F361" s="13" t="str">
        <x:v>Sala 2</x:v>
      </x:c>
      <x:c r="G361" s="12" t="n">
        <x:f>IF(A361="","",'Agenda'!$B$5)</x:f>
        <x:v>50</x:v>
      </x:c>
      <x:c r="H361" s="12" t="n">
        <x:f>IF(A361="","",'Agenda'!$B$6)</x:f>
        <x:v>10</x:v>
      </x:c>
      <x:c r="I361" s="24" t="n">
        <x:f>IF(A361="","",C361+G361/1440)</x:f>
        <x:v>0.5347222222222222</x:v>
      </x:c>
      <x:c r="J361" s="24" t="n">
        <x:f>IF(A361="","",C361+(G361+H361)/1440)</x:f>
        <x:v>0.5416666666666666</x:v>
      </x:c>
      <x:c r="K361" s="27" t="n">
        <x:f>IF(A361="","",IF(E361&lt;&gt;"sim",0,COUNTIFS($B$2:$B$501,B361,$F$2:$F$501,F361,$E$2:$E$501,"sim",$C$2:$C$501,"&lt;"&amp;J361,$J$2:$J$501,"&gt;"&amp;C361)-1))</x:f>
        <x:v>0</x:v>
      </x:c>
      <x:c r="L361" s="27" t="n">
        <x:f>IF(A361="","",IF(E361&lt;&gt;"sim",0,COUNTIFS($B$2:$B$501,B361,$A$2:$A$501,A361,$E$2:$E$501,"sim",$C$2:$C$501,"&lt;"&amp;J361,$J$2:$J$501,"&gt;"&amp;C361)-1))</x:f>
        <x:v>0</x:v>
      </x:c>
      <x:c r="M361" s="2" t="str">
        <x:f>IF(A361="","",IF(E361&lt;&gt;"sim","Revisar escala",IF(OR(K361&gt;0,L361&gt;0),"Conflito de escala",IF(COUNTIFS('Solicitacoes'!$F$2:$F$501,B361,'Solicitacoes'!$K$2:$K$501,F361,'Solicitacoes'!$I$2:$I$501,"pendente",'Solicitacoes'!$G$2:$G$501,"&lt;"&amp;J361,'Solicitacoes'!$N$2:$N$501,"&gt;"&amp;C361)+COUNTIFS('Solicitacoes'!$F$2:$F$501,B361,'Solicitacoes'!$E$2:$E$501,A361,'Solicitacoes'!$I$2:$I$501,"pendente",'Solicitacoes'!$G$2:$G$501,"&lt;"&amp;J361,'Solicitacoes'!$N$2:$N$501,"&gt;"&amp;C361)+COUNTIFS('Solicitacoes'!$F$2:$F$501,B361,'Solicitacoes'!$K$2:$K$501,F361,'Solicitacoes'!$I$2:$I$501,"confirmado",'Solicitacoes'!$G$2:$G$501,"&lt;"&amp;J361,'Solicitacoes'!$N$2:$N$501,"&gt;"&amp;C361)+COUNTIFS('Solicitacoes'!$F$2:$F$501,B361,'Solicitacoes'!$E$2:$E$501,A361,'Solicitacoes'!$I$2:$I$501,"confirmado",'Solicitacoes'!$G$2:$G$501,"&lt;"&amp;J361,'Solicitacoes'!$N$2:$N$501,"&gt;"&amp;C361)&gt;0,"Ocupado","Disponível"))))</x:f>
        <x:v>Revisar escala</x:v>
      </x:c>
      <x:c r="N361" s="2" t="n">
        <x:f>IF(A361="","",ROW()-1)</x:f>
        <x:v>360</x:v>
      </x:c>
    </x:row>
    <x:row r="362" ht="24" customHeight="1">
      <x:c r="A362" s="13" t="str">
        <x:v>Géssyca Martins</x:v>
      </x:c>
      <x:c r="B362" s="14" t="d">
        <x:v>2026-10-27T00:00:00.000Z</x:v>
      </x:c>
      <x:c r="C362" s="26" t="n">
        <x:v>0.5416666666666666</x:v>
      </x:c>
      <x:c r="D362" s="13" t="str">
        <x:v>presencial</x:v>
      </x:c>
      <x:c r="E362" s="13" t="str">
        <x:v>não</x:v>
      </x:c>
      <x:c r="F362" s="13" t="str">
        <x:v>Sala 1</x:v>
      </x:c>
      <x:c r="G362" s="12" t="n">
        <x:f>IF(A362="","",'Agenda'!$B$5)</x:f>
        <x:v>50</x:v>
      </x:c>
      <x:c r="H362" s="12" t="n">
        <x:f>IF(A362="","",'Agenda'!$B$6)</x:f>
        <x:v>10</x:v>
      </x:c>
      <x:c r="I362" s="24" t="n">
        <x:f>IF(A362="","",C362+G362/1440)</x:f>
        <x:v>0.5763888888888888</x:v>
      </x:c>
      <x:c r="J362" s="24" t="n">
        <x:f>IF(A362="","",C362+(G362+H362)/1440)</x:f>
        <x:v>0.5833333333333333</x:v>
      </x:c>
      <x:c r="K362" s="27" t="n">
        <x:f>IF(A362="","",IF(E362&lt;&gt;"sim",0,COUNTIFS($B$2:$B$501,B362,$F$2:$F$501,F362,$E$2:$E$501,"sim",$C$2:$C$501,"&lt;"&amp;J362,$J$2:$J$501,"&gt;"&amp;C362)-1))</x:f>
        <x:v>0</x:v>
      </x:c>
      <x:c r="L362" s="27" t="n">
        <x:f>IF(A362="","",IF(E362&lt;&gt;"sim",0,COUNTIFS($B$2:$B$501,B362,$A$2:$A$501,A362,$E$2:$E$501,"sim",$C$2:$C$501,"&lt;"&amp;J362,$J$2:$J$501,"&gt;"&amp;C362)-1))</x:f>
        <x:v>0</x:v>
      </x:c>
      <x:c r="M362" s="2" t="str">
        <x:f>IF(A362="","",IF(E362&lt;&gt;"sim","Revisar escala",IF(OR(K362&gt;0,L362&gt;0),"Conflito de escala",IF(COUNTIFS('Solicitacoes'!$F$2:$F$501,B362,'Solicitacoes'!$K$2:$K$501,F362,'Solicitacoes'!$I$2:$I$501,"pendente",'Solicitacoes'!$G$2:$G$501,"&lt;"&amp;J362,'Solicitacoes'!$N$2:$N$501,"&gt;"&amp;C362)+COUNTIFS('Solicitacoes'!$F$2:$F$501,B362,'Solicitacoes'!$E$2:$E$501,A362,'Solicitacoes'!$I$2:$I$501,"pendente",'Solicitacoes'!$G$2:$G$501,"&lt;"&amp;J362,'Solicitacoes'!$N$2:$N$501,"&gt;"&amp;C362)+COUNTIFS('Solicitacoes'!$F$2:$F$501,B362,'Solicitacoes'!$K$2:$K$501,F362,'Solicitacoes'!$I$2:$I$501,"confirmado",'Solicitacoes'!$G$2:$G$501,"&lt;"&amp;J362,'Solicitacoes'!$N$2:$N$501,"&gt;"&amp;C362)+COUNTIFS('Solicitacoes'!$F$2:$F$501,B362,'Solicitacoes'!$E$2:$E$501,A362,'Solicitacoes'!$I$2:$I$501,"confirmado",'Solicitacoes'!$G$2:$G$501,"&lt;"&amp;J362,'Solicitacoes'!$N$2:$N$501,"&gt;"&amp;C362)&gt;0,"Ocupado","Disponível"))))</x:f>
        <x:v>Revisar escala</x:v>
      </x:c>
      <x:c r="N362" s="2" t="n">
        <x:f>IF(A362="","",ROW()-1)</x:f>
        <x:v>361</x:v>
      </x:c>
    </x:row>
    <x:row r="363" ht="24" customHeight="1">
      <x:c r="A363" s="13" t="str">
        <x:v>Laura Casanova</x:v>
      </x:c>
      <x:c r="B363" s="14" t="d">
        <x:v>2026-10-27T00:00:00.000Z</x:v>
      </x:c>
      <x:c r="C363" s="26" t="n">
        <x:v>0.5416666666666666</x:v>
      </x:c>
      <x:c r="D363" s="13" t="str">
        <x:v>presencial</x:v>
      </x:c>
      <x:c r="E363" s="13" t="str">
        <x:v>não</x:v>
      </x:c>
      <x:c r="F363" s="13" t="str">
        <x:v>Sala 2</x:v>
      </x:c>
      <x:c r="G363" s="12" t="n">
        <x:f>IF(A363="","",'Agenda'!$B$5)</x:f>
        <x:v>50</x:v>
      </x:c>
      <x:c r="H363" s="12" t="n">
        <x:f>IF(A363="","",'Agenda'!$B$6)</x:f>
        <x:v>10</x:v>
      </x:c>
      <x:c r="I363" s="24" t="n">
        <x:f>IF(A363="","",C363+G363/1440)</x:f>
        <x:v>0.5763888888888888</x:v>
      </x:c>
      <x:c r="J363" s="24" t="n">
        <x:f>IF(A363="","",C363+(G363+H363)/1440)</x:f>
        <x:v>0.5833333333333333</x:v>
      </x:c>
      <x:c r="K363" s="27" t="n">
        <x:f>IF(A363="","",IF(E363&lt;&gt;"sim",0,COUNTIFS($B$2:$B$501,B363,$F$2:$F$501,F363,$E$2:$E$501,"sim",$C$2:$C$501,"&lt;"&amp;J363,$J$2:$J$501,"&gt;"&amp;C363)-1))</x:f>
        <x:v>0</x:v>
      </x:c>
      <x:c r="L363" s="27" t="n">
        <x:f>IF(A363="","",IF(E363&lt;&gt;"sim",0,COUNTIFS($B$2:$B$501,B363,$A$2:$A$501,A363,$E$2:$E$501,"sim",$C$2:$C$501,"&lt;"&amp;J363,$J$2:$J$501,"&gt;"&amp;C363)-1))</x:f>
        <x:v>0</x:v>
      </x:c>
      <x:c r="M363" s="2" t="str">
        <x:f>IF(A363="","",IF(E363&lt;&gt;"sim","Revisar escala",IF(OR(K363&gt;0,L363&gt;0),"Conflito de escala",IF(COUNTIFS('Solicitacoes'!$F$2:$F$501,B363,'Solicitacoes'!$K$2:$K$501,F363,'Solicitacoes'!$I$2:$I$501,"pendente",'Solicitacoes'!$G$2:$G$501,"&lt;"&amp;J363,'Solicitacoes'!$N$2:$N$501,"&gt;"&amp;C363)+COUNTIFS('Solicitacoes'!$F$2:$F$501,B363,'Solicitacoes'!$E$2:$E$501,A363,'Solicitacoes'!$I$2:$I$501,"pendente",'Solicitacoes'!$G$2:$G$501,"&lt;"&amp;J363,'Solicitacoes'!$N$2:$N$501,"&gt;"&amp;C363)+COUNTIFS('Solicitacoes'!$F$2:$F$501,B363,'Solicitacoes'!$K$2:$K$501,F363,'Solicitacoes'!$I$2:$I$501,"confirmado",'Solicitacoes'!$G$2:$G$501,"&lt;"&amp;J363,'Solicitacoes'!$N$2:$N$501,"&gt;"&amp;C363)+COUNTIFS('Solicitacoes'!$F$2:$F$501,B363,'Solicitacoes'!$E$2:$E$501,A363,'Solicitacoes'!$I$2:$I$501,"confirmado",'Solicitacoes'!$G$2:$G$501,"&lt;"&amp;J363,'Solicitacoes'!$N$2:$N$501,"&gt;"&amp;C363)&gt;0,"Ocupado","Disponível"))))</x:f>
        <x:v>Revisar escala</x:v>
      </x:c>
      <x:c r="N363" s="2" t="n">
        <x:f>IF(A363="","",ROW()-1)</x:f>
        <x:v>362</x:v>
      </x:c>
    </x:row>
    <x:row r="364" ht="24" customHeight="1">
      <x:c r="A364" s="13" t="str">
        <x:v>Aline Reis</x:v>
      </x:c>
      <x:c r="B364" s="14" t="d">
        <x:v>2026-10-27T00:00:00.000Z</x:v>
      </x:c>
      <x:c r="C364" s="26" t="n">
        <x:v>0.5833333333333334</x:v>
      </x:c>
      <x:c r="D364" s="13" t="str">
        <x:v>presencial</x:v>
      </x:c>
      <x:c r="E364" s="13" t="str">
        <x:v>não</x:v>
      </x:c>
      <x:c r="F364" s="13" t="str">
        <x:v>Sala 1</x:v>
      </x:c>
      <x:c r="G364" s="12" t="n">
        <x:f>IF(A364="","",'Agenda'!$B$5)</x:f>
        <x:v>50</x:v>
      </x:c>
      <x:c r="H364" s="12" t="n">
        <x:f>IF(A364="","",'Agenda'!$B$6)</x:f>
        <x:v>10</x:v>
      </x:c>
      <x:c r="I364" s="24" t="n">
        <x:f>IF(A364="","",C364+G364/1440)</x:f>
        <x:v>0.6180555555555556</x:v>
      </x:c>
      <x:c r="J364" s="24" t="n">
        <x:f>IF(A364="","",C364+(G364+H364)/1440)</x:f>
        <x:v>0.625</x:v>
      </x:c>
      <x:c r="K364" s="27" t="n">
        <x:f>IF(A364="","",IF(E364&lt;&gt;"sim",0,COUNTIFS($B$2:$B$501,B364,$F$2:$F$501,F364,$E$2:$E$501,"sim",$C$2:$C$501,"&lt;"&amp;J364,$J$2:$J$501,"&gt;"&amp;C364)-1))</x:f>
        <x:v>0</x:v>
      </x:c>
      <x:c r="L364" s="27" t="n">
        <x:f>IF(A364="","",IF(E364&lt;&gt;"sim",0,COUNTIFS($B$2:$B$501,B364,$A$2:$A$501,A364,$E$2:$E$501,"sim",$C$2:$C$501,"&lt;"&amp;J364,$J$2:$J$501,"&gt;"&amp;C364)-1))</x:f>
        <x:v>0</x:v>
      </x:c>
      <x:c r="M364" s="2" t="str">
        <x:f>IF(A364="","",IF(E364&lt;&gt;"sim","Revisar escala",IF(OR(K364&gt;0,L364&gt;0),"Conflito de escala",IF(COUNTIFS('Solicitacoes'!$F$2:$F$501,B364,'Solicitacoes'!$K$2:$K$501,F364,'Solicitacoes'!$I$2:$I$501,"pendente",'Solicitacoes'!$G$2:$G$501,"&lt;"&amp;J364,'Solicitacoes'!$N$2:$N$501,"&gt;"&amp;C364)+COUNTIFS('Solicitacoes'!$F$2:$F$501,B364,'Solicitacoes'!$E$2:$E$501,A364,'Solicitacoes'!$I$2:$I$501,"pendente",'Solicitacoes'!$G$2:$G$501,"&lt;"&amp;J364,'Solicitacoes'!$N$2:$N$501,"&gt;"&amp;C364)+COUNTIFS('Solicitacoes'!$F$2:$F$501,B364,'Solicitacoes'!$K$2:$K$501,F364,'Solicitacoes'!$I$2:$I$501,"confirmado",'Solicitacoes'!$G$2:$G$501,"&lt;"&amp;J364,'Solicitacoes'!$N$2:$N$501,"&gt;"&amp;C364)+COUNTIFS('Solicitacoes'!$F$2:$F$501,B364,'Solicitacoes'!$E$2:$E$501,A364,'Solicitacoes'!$I$2:$I$501,"confirmado",'Solicitacoes'!$G$2:$G$501,"&lt;"&amp;J364,'Solicitacoes'!$N$2:$N$501,"&gt;"&amp;C364)&gt;0,"Ocupado","Disponível"))))</x:f>
        <x:v>Revisar escala</x:v>
      </x:c>
      <x:c r="N364" s="2" t="n">
        <x:f>IF(A364="","",ROW()-1)</x:f>
        <x:v>363</x:v>
      </x:c>
    </x:row>
    <x:row r="365" ht="24" customHeight="1">
      <x:c r="A365" s="13" t="str">
        <x:v>Géssyca Martins</x:v>
      </x:c>
      <x:c r="B365" s="14" t="d">
        <x:v>2026-10-27T00:00:00.000Z</x:v>
      </x:c>
      <x:c r="C365" s="26" t="n">
        <x:v>0.5833333333333334</x:v>
      </x:c>
      <x:c r="D365" s="13" t="str">
        <x:v>presencial</x:v>
      </x:c>
      <x:c r="E365" s="13" t="str">
        <x:v>não</x:v>
      </x:c>
      <x:c r="F365" s="13" t="str">
        <x:v>Sala 2</x:v>
      </x:c>
      <x:c r="G365" s="12" t="n">
        <x:f>IF(A365="","",'Agenda'!$B$5)</x:f>
        <x:v>50</x:v>
      </x:c>
      <x:c r="H365" s="12" t="n">
        <x:f>IF(A365="","",'Agenda'!$B$6)</x:f>
        <x:v>10</x:v>
      </x:c>
      <x:c r="I365" s="24" t="n">
        <x:f>IF(A365="","",C365+G365/1440)</x:f>
        <x:v>0.6180555555555556</x:v>
      </x:c>
      <x:c r="J365" s="24" t="n">
        <x:f>IF(A365="","",C365+(G365+H365)/1440)</x:f>
        <x:v>0.625</x:v>
      </x:c>
      <x:c r="K365" s="27" t="n">
        <x:f>IF(A365="","",IF(E365&lt;&gt;"sim",0,COUNTIFS($B$2:$B$501,B365,$F$2:$F$501,F365,$E$2:$E$501,"sim",$C$2:$C$501,"&lt;"&amp;J365,$J$2:$J$501,"&gt;"&amp;C365)-1))</x:f>
        <x:v>0</x:v>
      </x:c>
      <x:c r="L365" s="27" t="n">
        <x:f>IF(A365="","",IF(E365&lt;&gt;"sim",0,COUNTIFS($B$2:$B$501,B365,$A$2:$A$501,A365,$E$2:$E$501,"sim",$C$2:$C$501,"&lt;"&amp;J365,$J$2:$J$501,"&gt;"&amp;C365)-1))</x:f>
        <x:v>0</x:v>
      </x:c>
      <x:c r="M365" s="2" t="str">
        <x:f>IF(A365="","",IF(E365&lt;&gt;"sim","Revisar escala",IF(OR(K365&gt;0,L365&gt;0),"Conflito de escala",IF(COUNTIFS('Solicitacoes'!$F$2:$F$501,B365,'Solicitacoes'!$K$2:$K$501,F365,'Solicitacoes'!$I$2:$I$501,"pendente",'Solicitacoes'!$G$2:$G$501,"&lt;"&amp;J365,'Solicitacoes'!$N$2:$N$501,"&gt;"&amp;C365)+COUNTIFS('Solicitacoes'!$F$2:$F$501,B365,'Solicitacoes'!$E$2:$E$501,A365,'Solicitacoes'!$I$2:$I$501,"pendente",'Solicitacoes'!$G$2:$G$501,"&lt;"&amp;J365,'Solicitacoes'!$N$2:$N$501,"&gt;"&amp;C365)+COUNTIFS('Solicitacoes'!$F$2:$F$501,B365,'Solicitacoes'!$K$2:$K$501,F365,'Solicitacoes'!$I$2:$I$501,"confirmado",'Solicitacoes'!$G$2:$G$501,"&lt;"&amp;J365,'Solicitacoes'!$N$2:$N$501,"&gt;"&amp;C365)+COUNTIFS('Solicitacoes'!$F$2:$F$501,B365,'Solicitacoes'!$E$2:$E$501,A365,'Solicitacoes'!$I$2:$I$501,"confirmado",'Solicitacoes'!$G$2:$G$501,"&lt;"&amp;J365,'Solicitacoes'!$N$2:$N$501,"&gt;"&amp;C365)&gt;0,"Ocupado","Disponível"))))</x:f>
        <x:v>Revisar escala</x:v>
      </x:c>
      <x:c r="N365" s="2" t="n">
        <x:f>IF(A365="","",ROW()-1)</x:f>
        <x:v>364</x:v>
      </x:c>
    </x:row>
    <x:row r="366" ht="24" customHeight="1">
      <x:c r="A366" s="13" t="str">
        <x:v>Aline Reis</x:v>
      </x:c>
      <x:c r="B366" s="14" t="d">
        <x:v>2026-10-27T00:00:00.000Z</x:v>
      </x:c>
      <x:c r="C366" s="26" t="n">
        <x:v>0.625</x:v>
      </x:c>
      <x:c r="D366" s="13" t="str">
        <x:v>presencial</x:v>
      </x:c>
      <x:c r="E366" s="13" t="str">
        <x:v>não</x:v>
      </x:c>
      <x:c r="F366" s="13" t="str">
        <x:v>Sala 1</x:v>
      </x:c>
      <x:c r="G366" s="12" t="n">
        <x:f>IF(A366="","",'Agenda'!$B$5)</x:f>
        <x:v>50</x:v>
      </x:c>
      <x:c r="H366" s="12" t="n">
        <x:f>IF(A366="","",'Agenda'!$B$6)</x:f>
        <x:v>10</x:v>
      </x:c>
      <x:c r="I366" s="24" t="n">
        <x:f>IF(A366="","",C366+G366/1440)</x:f>
        <x:v>0.6597222222222222</x:v>
      </x:c>
      <x:c r="J366" s="24" t="n">
        <x:f>IF(A366="","",C366+(G366+H366)/1440)</x:f>
        <x:v>0.6666666666666666</x:v>
      </x:c>
      <x:c r="K366" s="27" t="n">
        <x:f>IF(A366="","",IF(E366&lt;&gt;"sim",0,COUNTIFS($B$2:$B$501,B366,$F$2:$F$501,F366,$E$2:$E$501,"sim",$C$2:$C$501,"&lt;"&amp;J366,$J$2:$J$501,"&gt;"&amp;C366)-1))</x:f>
        <x:v>0</x:v>
      </x:c>
      <x:c r="L366" s="27" t="n">
        <x:f>IF(A366="","",IF(E366&lt;&gt;"sim",0,COUNTIFS($B$2:$B$501,B366,$A$2:$A$501,A366,$E$2:$E$501,"sim",$C$2:$C$501,"&lt;"&amp;J366,$J$2:$J$501,"&gt;"&amp;C366)-1))</x:f>
        <x:v>0</x:v>
      </x:c>
      <x:c r="M366" s="2" t="str">
        <x:f>IF(A366="","",IF(E366&lt;&gt;"sim","Revisar escala",IF(OR(K366&gt;0,L366&gt;0),"Conflito de escala",IF(COUNTIFS('Solicitacoes'!$F$2:$F$501,B366,'Solicitacoes'!$K$2:$K$501,F366,'Solicitacoes'!$I$2:$I$501,"pendente",'Solicitacoes'!$G$2:$G$501,"&lt;"&amp;J366,'Solicitacoes'!$N$2:$N$501,"&gt;"&amp;C366)+COUNTIFS('Solicitacoes'!$F$2:$F$501,B366,'Solicitacoes'!$E$2:$E$501,A366,'Solicitacoes'!$I$2:$I$501,"pendente",'Solicitacoes'!$G$2:$G$501,"&lt;"&amp;J366,'Solicitacoes'!$N$2:$N$501,"&gt;"&amp;C366)+COUNTIFS('Solicitacoes'!$F$2:$F$501,B366,'Solicitacoes'!$K$2:$K$501,F366,'Solicitacoes'!$I$2:$I$501,"confirmado",'Solicitacoes'!$G$2:$G$501,"&lt;"&amp;J366,'Solicitacoes'!$N$2:$N$501,"&gt;"&amp;C366)+COUNTIFS('Solicitacoes'!$F$2:$F$501,B366,'Solicitacoes'!$E$2:$E$501,A366,'Solicitacoes'!$I$2:$I$501,"confirmado",'Solicitacoes'!$G$2:$G$501,"&lt;"&amp;J366,'Solicitacoes'!$N$2:$N$501,"&gt;"&amp;C366)&gt;0,"Ocupado","Disponível"))))</x:f>
        <x:v>Revisar escala</x:v>
      </x:c>
      <x:c r="N366" s="2" t="n">
        <x:f>IF(A366="","",ROW()-1)</x:f>
        <x:v>365</x:v>
      </x:c>
    </x:row>
    <x:row r="367" ht="24" customHeight="1">
      <x:c r="A367" s="13" t="str">
        <x:v>Géssyca Martins</x:v>
      </x:c>
      <x:c r="B367" s="14" t="d">
        <x:v>2026-10-27T00:00:00.000Z</x:v>
      </x:c>
      <x:c r="C367" s="26" t="n">
        <x:v>0.625</x:v>
      </x:c>
      <x:c r="D367" s="13" t="str">
        <x:v>presencial</x:v>
      </x:c>
      <x:c r="E367" s="13" t="str">
        <x:v>não</x:v>
      </x:c>
      <x:c r="F367" s="13" t="str">
        <x:v>Sala 2</x:v>
      </x:c>
      <x:c r="G367" s="12" t="n">
        <x:f>IF(A367="","",'Agenda'!$B$5)</x:f>
        <x:v>50</x:v>
      </x:c>
      <x:c r="H367" s="12" t="n">
        <x:f>IF(A367="","",'Agenda'!$B$6)</x:f>
        <x:v>10</x:v>
      </x:c>
      <x:c r="I367" s="24" t="n">
        <x:f>IF(A367="","",C367+G367/1440)</x:f>
        <x:v>0.6597222222222222</x:v>
      </x:c>
      <x:c r="J367" s="24" t="n">
        <x:f>IF(A367="","",C367+(G367+H367)/1440)</x:f>
        <x:v>0.6666666666666666</x:v>
      </x:c>
      <x:c r="K367" s="27" t="n">
        <x:f>IF(A367="","",IF(E367&lt;&gt;"sim",0,COUNTIFS($B$2:$B$501,B367,$F$2:$F$501,F367,$E$2:$E$501,"sim",$C$2:$C$501,"&lt;"&amp;J367,$J$2:$J$501,"&gt;"&amp;C367)-1))</x:f>
        <x:v>0</x:v>
      </x:c>
      <x:c r="L367" s="27" t="n">
        <x:f>IF(A367="","",IF(E367&lt;&gt;"sim",0,COUNTIFS($B$2:$B$501,B367,$A$2:$A$501,A367,$E$2:$E$501,"sim",$C$2:$C$501,"&lt;"&amp;J367,$J$2:$J$501,"&gt;"&amp;C367)-1))</x:f>
        <x:v>0</x:v>
      </x:c>
      <x:c r="M367" s="2" t="str">
        <x:f>IF(A367="","",IF(E367&lt;&gt;"sim","Revisar escala",IF(OR(K367&gt;0,L367&gt;0),"Conflito de escala",IF(COUNTIFS('Solicitacoes'!$F$2:$F$501,B367,'Solicitacoes'!$K$2:$K$501,F367,'Solicitacoes'!$I$2:$I$501,"pendente",'Solicitacoes'!$G$2:$G$501,"&lt;"&amp;J367,'Solicitacoes'!$N$2:$N$501,"&gt;"&amp;C367)+COUNTIFS('Solicitacoes'!$F$2:$F$501,B367,'Solicitacoes'!$E$2:$E$501,A367,'Solicitacoes'!$I$2:$I$501,"pendente",'Solicitacoes'!$G$2:$G$501,"&lt;"&amp;J367,'Solicitacoes'!$N$2:$N$501,"&gt;"&amp;C367)+COUNTIFS('Solicitacoes'!$F$2:$F$501,B367,'Solicitacoes'!$K$2:$K$501,F367,'Solicitacoes'!$I$2:$I$501,"confirmado",'Solicitacoes'!$G$2:$G$501,"&lt;"&amp;J367,'Solicitacoes'!$N$2:$N$501,"&gt;"&amp;C367)+COUNTIFS('Solicitacoes'!$F$2:$F$501,B367,'Solicitacoes'!$E$2:$E$501,A367,'Solicitacoes'!$I$2:$I$501,"confirmado",'Solicitacoes'!$G$2:$G$501,"&lt;"&amp;J367,'Solicitacoes'!$N$2:$N$501,"&gt;"&amp;C367)&gt;0,"Ocupado","Disponível"))))</x:f>
        <x:v>Revisar escala</x:v>
      </x:c>
      <x:c r="N367" s="2" t="n">
        <x:f>IF(A367="","",ROW()-1)</x:f>
        <x:v>366</x:v>
      </x:c>
    </x:row>
    <x:row r="368" ht="24" customHeight="1">
      <x:c r="A368" s="13" t="str">
        <x:v>Aline Reis</x:v>
      </x:c>
      <x:c r="B368" s="14" t="d">
        <x:v>2026-10-27T00:00:00.000Z</x:v>
      </x:c>
      <x:c r="C368" s="26" t="n">
        <x:v>0.6666666666666666</x:v>
      </x:c>
      <x:c r="D368" s="13" t="str">
        <x:v>presencial</x:v>
      </x:c>
      <x:c r="E368" s="13" t="str">
        <x:v>não</x:v>
      </x:c>
      <x:c r="F368" s="13" t="str">
        <x:v>Sala 1</x:v>
      </x:c>
      <x:c r="G368" s="12" t="n">
        <x:f>IF(A368="","",'Agenda'!$B$5)</x:f>
        <x:v>50</x:v>
      </x:c>
      <x:c r="H368" s="12" t="n">
        <x:f>IF(A368="","",'Agenda'!$B$6)</x:f>
        <x:v>10</x:v>
      </x:c>
      <x:c r="I368" s="24" t="n">
        <x:f>IF(A368="","",C368+G368/1440)</x:f>
        <x:v>0.7013888888888888</x:v>
      </x:c>
      <x:c r="J368" s="24" t="n">
        <x:f>IF(A368="","",C368+(G368+H368)/1440)</x:f>
        <x:v>0.7083333333333333</x:v>
      </x:c>
      <x:c r="K368" s="27" t="n">
        <x:f>IF(A368="","",IF(E368&lt;&gt;"sim",0,COUNTIFS($B$2:$B$501,B368,$F$2:$F$501,F368,$E$2:$E$501,"sim",$C$2:$C$501,"&lt;"&amp;J368,$J$2:$J$501,"&gt;"&amp;C368)-1))</x:f>
        <x:v>0</x:v>
      </x:c>
      <x:c r="L368" s="27" t="n">
        <x:f>IF(A368="","",IF(E368&lt;&gt;"sim",0,COUNTIFS($B$2:$B$501,B368,$A$2:$A$501,A368,$E$2:$E$501,"sim",$C$2:$C$501,"&lt;"&amp;J368,$J$2:$J$501,"&gt;"&amp;C368)-1))</x:f>
        <x:v>0</x:v>
      </x:c>
      <x:c r="M368" s="2" t="str">
        <x:f>IF(A368="","",IF(E368&lt;&gt;"sim","Revisar escala",IF(OR(K368&gt;0,L368&gt;0),"Conflito de escala",IF(COUNTIFS('Solicitacoes'!$F$2:$F$501,B368,'Solicitacoes'!$K$2:$K$501,F368,'Solicitacoes'!$I$2:$I$501,"pendente",'Solicitacoes'!$G$2:$G$501,"&lt;"&amp;J368,'Solicitacoes'!$N$2:$N$501,"&gt;"&amp;C368)+COUNTIFS('Solicitacoes'!$F$2:$F$501,B368,'Solicitacoes'!$E$2:$E$501,A368,'Solicitacoes'!$I$2:$I$501,"pendente",'Solicitacoes'!$G$2:$G$501,"&lt;"&amp;J368,'Solicitacoes'!$N$2:$N$501,"&gt;"&amp;C368)+COUNTIFS('Solicitacoes'!$F$2:$F$501,B368,'Solicitacoes'!$K$2:$K$501,F368,'Solicitacoes'!$I$2:$I$501,"confirmado",'Solicitacoes'!$G$2:$G$501,"&lt;"&amp;J368,'Solicitacoes'!$N$2:$N$501,"&gt;"&amp;C368)+COUNTIFS('Solicitacoes'!$F$2:$F$501,B368,'Solicitacoes'!$E$2:$E$501,A368,'Solicitacoes'!$I$2:$I$501,"confirmado",'Solicitacoes'!$G$2:$G$501,"&lt;"&amp;J368,'Solicitacoes'!$N$2:$N$501,"&gt;"&amp;C368)&gt;0,"Ocupado","Disponível"))))</x:f>
        <x:v>Revisar escala</x:v>
      </x:c>
      <x:c r="N368" s="2" t="n">
        <x:f>IF(A368="","",ROW()-1)</x:f>
        <x:v>367</x:v>
      </x:c>
    </x:row>
    <x:row r="369" ht="24" customHeight="1">
      <x:c r="A369" s="13" t="str">
        <x:v>Géssyca Martins</x:v>
      </x:c>
      <x:c r="B369" s="14" t="d">
        <x:v>2026-10-27T00:00:00.000Z</x:v>
      </x:c>
      <x:c r="C369" s="26" t="n">
        <x:v>0.6666666666666666</x:v>
      </x:c>
      <x:c r="D369" s="13" t="str">
        <x:v>presencial</x:v>
      </x:c>
      <x:c r="E369" s="13" t="str">
        <x:v>não</x:v>
      </x:c>
      <x:c r="F369" s="13" t="str">
        <x:v>Sala 2</x:v>
      </x:c>
      <x:c r="G369" s="12" t="n">
        <x:f>IF(A369="","",'Agenda'!$B$5)</x:f>
        <x:v>50</x:v>
      </x:c>
      <x:c r="H369" s="12" t="n">
        <x:f>IF(A369="","",'Agenda'!$B$6)</x:f>
        <x:v>10</x:v>
      </x:c>
      <x:c r="I369" s="24" t="n">
        <x:f>IF(A369="","",C369+G369/1440)</x:f>
        <x:v>0.7013888888888888</x:v>
      </x:c>
      <x:c r="J369" s="24" t="n">
        <x:f>IF(A369="","",C369+(G369+H369)/1440)</x:f>
        <x:v>0.7083333333333333</x:v>
      </x:c>
      <x:c r="K369" s="27" t="n">
        <x:f>IF(A369="","",IF(E369&lt;&gt;"sim",0,COUNTIFS($B$2:$B$501,B369,$F$2:$F$501,F369,$E$2:$E$501,"sim",$C$2:$C$501,"&lt;"&amp;J369,$J$2:$J$501,"&gt;"&amp;C369)-1))</x:f>
        <x:v>0</x:v>
      </x:c>
      <x:c r="L369" s="27" t="n">
        <x:f>IF(A369="","",IF(E369&lt;&gt;"sim",0,COUNTIFS($B$2:$B$501,B369,$A$2:$A$501,A369,$E$2:$E$501,"sim",$C$2:$C$501,"&lt;"&amp;J369,$J$2:$J$501,"&gt;"&amp;C369)-1))</x:f>
        <x:v>0</x:v>
      </x:c>
      <x:c r="M369" s="2" t="str">
        <x:f>IF(A369="","",IF(E369&lt;&gt;"sim","Revisar escala",IF(OR(K369&gt;0,L369&gt;0),"Conflito de escala",IF(COUNTIFS('Solicitacoes'!$F$2:$F$501,B369,'Solicitacoes'!$K$2:$K$501,F369,'Solicitacoes'!$I$2:$I$501,"pendente",'Solicitacoes'!$G$2:$G$501,"&lt;"&amp;J369,'Solicitacoes'!$N$2:$N$501,"&gt;"&amp;C369)+COUNTIFS('Solicitacoes'!$F$2:$F$501,B369,'Solicitacoes'!$E$2:$E$501,A369,'Solicitacoes'!$I$2:$I$501,"pendente",'Solicitacoes'!$G$2:$G$501,"&lt;"&amp;J369,'Solicitacoes'!$N$2:$N$501,"&gt;"&amp;C369)+COUNTIFS('Solicitacoes'!$F$2:$F$501,B369,'Solicitacoes'!$K$2:$K$501,F369,'Solicitacoes'!$I$2:$I$501,"confirmado",'Solicitacoes'!$G$2:$G$501,"&lt;"&amp;J369,'Solicitacoes'!$N$2:$N$501,"&gt;"&amp;C369)+COUNTIFS('Solicitacoes'!$F$2:$F$501,B369,'Solicitacoes'!$E$2:$E$501,A369,'Solicitacoes'!$I$2:$I$501,"confirmado",'Solicitacoes'!$G$2:$G$501,"&lt;"&amp;J369,'Solicitacoes'!$N$2:$N$501,"&gt;"&amp;C369)&gt;0,"Ocupado","Disponível"))))</x:f>
        <x:v>Revisar escala</x:v>
      </x:c>
      <x:c r="N369" s="2" t="n">
        <x:f>IF(A369="","",ROW()-1)</x:f>
        <x:v>368</x:v>
      </x:c>
    </x:row>
    <x:row r="370" ht="24" customHeight="1">
      <x:c r="A370" s="13" t="str">
        <x:v>Aline Reis</x:v>
      </x:c>
      <x:c r="B370" s="14" t="d">
        <x:v>2026-10-27T00:00:00.000Z</x:v>
      </x:c>
      <x:c r="C370" s="26" t="n">
        <x:v>0.7083333333333334</x:v>
      </x:c>
      <x:c r="D370" s="13" t="str">
        <x:v>presencial</x:v>
      </x:c>
      <x:c r="E370" s="13" t="str">
        <x:v>não</x:v>
      </x:c>
      <x:c r="F370" s="13" t="str">
        <x:v>Sala 1</x:v>
      </x:c>
      <x:c r="G370" s="12" t="n">
        <x:f>IF(A370="","",'Agenda'!$B$5)</x:f>
        <x:v>50</x:v>
      </x:c>
      <x:c r="H370" s="12" t="n">
        <x:f>IF(A370="","",'Agenda'!$B$6)</x:f>
        <x:v>10</x:v>
      </x:c>
      <x:c r="I370" s="24" t="n">
        <x:f>IF(A370="","",C370+G370/1440)</x:f>
        <x:v>0.7430555555555556</x:v>
      </x:c>
      <x:c r="J370" s="24" t="n">
        <x:f>IF(A370="","",C370+(G370+H370)/1440)</x:f>
        <x:v>0.75</x:v>
      </x:c>
      <x:c r="K370" s="27" t="n">
        <x:f>IF(A370="","",IF(E370&lt;&gt;"sim",0,COUNTIFS($B$2:$B$501,B370,$F$2:$F$501,F370,$E$2:$E$501,"sim",$C$2:$C$501,"&lt;"&amp;J370,$J$2:$J$501,"&gt;"&amp;C370)-1))</x:f>
        <x:v>0</x:v>
      </x:c>
      <x:c r="L370" s="27" t="n">
        <x:f>IF(A370="","",IF(E370&lt;&gt;"sim",0,COUNTIFS($B$2:$B$501,B370,$A$2:$A$501,A370,$E$2:$E$501,"sim",$C$2:$C$501,"&lt;"&amp;J370,$J$2:$J$501,"&gt;"&amp;C370)-1))</x:f>
        <x:v>0</x:v>
      </x:c>
      <x:c r="M370" s="2" t="str">
        <x:f>IF(A370="","",IF(E370&lt;&gt;"sim","Revisar escala",IF(OR(K370&gt;0,L370&gt;0),"Conflito de escala",IF(COUNTIFS('Solicitacoes'!$F$2:$F$501,B370,'Solicitacoes'!$K$2:$K$501,F370,'Solicitacoes'!$I$2:$I$501,"pendente",'Solicitacoes'!$G$2:$G$501,"&lt;"&amp;J370,'Solicitacoes'!$N$2:$N$501,"&gt;"&amp;C370)+COUNTIFS('Solicitacoes'!$F$2:$F$501,B370,'Solicitacoes'!$E$2:$E$501,A370,'Solicitacoes'!$I$2:$I$501,"pendente",'Solicitacoes'!$G$2:$G$501,"&lt;"&amp;J370,'Solicitacoes'!$N$2:$N$501,"&gt;"&amp;C370)+COUNTIFS('Solicitacoes'!$F$2:$F$501,B370,'Solicitacoes'!$K$2:$K$501,F370,'Solicitacoes'!$I$2:$I$501,"confirmado",'Solicitacoes'!$G$2:$G$501,"&lt;"&amp;J370,'Solicitacoes'!$N$2:$N$501,"&gt;"&amp;C370)+COUNTIFS('Solicitacoes'!$F$2:$F$501,B370,'Solicitacoes'!$E$2:$E$501,A370,'Solicitacoes'!$I$2:$I$501,"confirmado",'Solicitacoes'!$G$2:$G$501,"&lt;"&amp;J370,'Solicitacoes'!$N$2:$N$501,"&gt;"&amp;C370)&gt;0,"Ocupado","Disponível"))))</x:f>
        <x:v>Revisar escala</x:v>
      </x:c>
      <x:c r="N370" s="2" t="n">
        <x:f>IF(A370="","",ROW()-1)</x:f>
        <x:v>369</x:v>
      </x:c>
    </x:row>
    <x:row r="371" ht="24" customHeight="1">
      <x:c r="A371" s="13" t="str">
        <x:v>Géssyca Martins</x:v>
      </x:c>
      <x:c r="B371" s="14" t="d">
        <x:v>2026-10-27T00:00:00.000Z</x:v>
      </x:c>
      <x:c r="C371" s="26" t="n">
        <x:v>0.7083333333333334</x:v>
      </x:c>
      <x:c r="D371" s="13" t="str">
        <x:v>presencial</x:v>
      </x:c>
      <x:c r="E371" s="13" t="str">
        <x:v>não</x:v>
      </x:c>
      <x:c r="F371" s="13" t="str">
        <x:v>Sala 2</x:v>
      </x:c>
      <x:c r="G371" s="12" t="n">
        <x:f>IF(A371="","",'Agenda'!$B$5)</x:f>
        <x:v>50</x:v>
      </x:c>
      <x:c r="H371" s="12" t="n">
        <x:f>IF(A371="","",'Agenda'!$B$6)</x:f>
        <x:v>10</x:v>
      </x:c>
      <x:c r="I371" s="24" t="n">
        <x:f>IF(A371="","",C371+G371/1440)</x:f>
        <x:v>0.7430555555555556</x:v>
      </x:c>
      <x:c r="J371" s="24" t="n">
        <x:f>IF(A371="","",C371+(G371+H371)/1440)</x:f>
        <x:v>0.75</x:v>
      </x:c>
      <x:c r="K371" s="27" t="n">
        <x:f>IF(A371="","",IF(E371&lt;&gt;"sim",0,COUNTIFS($B$2:$B$501,B371,$F$2:$F$501,F371,$E$2:$E$501,"sim",$C$2:$C$501,"&lt;"&amp;J371,$J$2:$J$501,"&gt;"&amp;C371)-1))</x:f>
        <x:v>0</x:v>
      </x:c>
      <x:c r="L371" s="27" t="n">
        <x:f>IF(A371="","",IF(E371&lt;&gt;"sim",0,COUNTIFS($B$2:$B$501,B371,$A$2:$A$501,A371,$E$2:$E$501,"sim",$C$2:$C$501,"&lt;"&amp;J371,$J$2:$J$501,"&gt;"&amp;C371)-1))</x:f>
        <x:v>0</x:v>
      </x:c>
      <x:c r="M371" s="2" t="str">
        <x:f>IF(A371="","",IF(E371&lt;&gt;"sim","Revisar escala",IF(OR(K371&gt;0,L371&gt;0),"Conflito de escala",IF(COUNTIFS('Solicitacoes'!$F$2:$F$501,B371,'Solicitacoes'!$K$2:$K$501,F371,'Solicitacoes'!$I$2:$I$501,"pendente",'Solicitacoes'!$G$2:$G$501,"&lt;"&amp;J371,'Solicitacoes'!$N$2:$N$501,"&gt;"&amp;C371)+COUNTIFS('Solicitacoes'!$F$2:$F$501,B371,'Solicitacoes'!$E$2:$E$501,A371,'Solicitacoes'!$I$2:$I$501,"pendente",'Solicitacoes'!$G$2:$G$501,"&lt;"&amp;J371,'Solicitacoes'!$N$2:$N$501,"&gt;"&amp;C371)+COUNTIFS('Solicitacoes'!$F$2:$F$501,B371,'Solicitacoes'!$K$2:$K$501,F371,'Solicitacoes'!$I$2:$I$501,"confirmado",'Solicitacoes'!$G$2:$G$501,"&lt;"&amp;J371,'Solicitacoes'!$N$2:$N$501,"&gt;"&amp;C371)+COUNTIFS('Solicitacoes'!$F$2:$F$501,B371,'Solicitacoes'!$E$2:$E$501,A371,'Solicitacoes'!$I$2:$I$501,"confirmado",'Solicitacoes'!$G$2:$G$501,"&lt;"&amp;J371,'Solicitacoes'!$N$2:$N$501,"&gt;"&amp;C371)&gt;0,"Ocupado","Disponível"))))</x:f>
        <x:v>Revisar escala</x:v>
      </x:c>
      <x:c r="N371" s="2" t="n">
        <x:f>IF(A371="","",ROW()-1)</x:f>
        <x:v>370</x:v>
      </x:c>
    </x:row>
    <x:row r="372" ht="24" customHeight="1">
      <x:c r="A372" s="13" t="str">
        <x:v>Aline Reis</x:v>
      </x:c>
      <x:c r="B372" s="14" t="d">
        <x:v>2026-10-27T00:00:00.000Z</x:v>
      </x:c>
      <x:c r="C372" s="26" t="n">
        <x:v>0.75</x:v>
      </x:c>
      <x:c r="D372" s="13" t="str">
        <x:v>presencial</x:v>
      </x:c>
      <x:c r="E372" s="13" t="str">
        <x:v>não</x:v>
      </x:c>
      <x:c r="F372" s="13" t="str">
        <x:v>Sala 1</x:v>
      </x:c>
      <x:c r="G372" s="12" t="n">
        <x:f>IF(A372="","",'Agenda'!$B$5)</x:f>
        <x:v>50</x:v>
      </x:c>
      <x:c r="H372" s="12" t="n">
        <x:f>IF(A372="","",'Agenda'!$B$6)</x:f>
        <x:v>10</x:v>
      </x:c>
      <x:c r="I372" s="24" t="n">
        <x:f>IF(A372="","",C372+G372/1440)</x:f>
        <x:v>0.7847222222222222</x:v>
      </x:c>
      <x:c r="J372" s="24" t="n">
        <x:f>IF(A372="","",C372+(G372+H372)/1440)</x:f>
        <x:v>0.7916666666666666</x:v>
      </x:c>
      <x:c r="K372" s="27" t="n">
        <x:f>IF(A372="","",IF(E372&lt;&gt;"sim",0,COUNTIFS($B$2:$B$501,B372,$F$2:$F$501,F372,$E$2:$E$501,"sim",$C$2:$C$501,"&lt;"&amp;J372,$J$2:$J$501,"&gt;"&amp;C372)-1))</x:f>
        <x:v>0</x:v>
      </x:c>
      <x:c r="L372" s="27" t="n">
        <x:f>IF(A372="","",IF(E372&lt;&gt;"sim",0,COUNTIFS($B$2:$B$501,B372,$A$2:$A$501,A372,$E$2:$E$501,"sim",$C$2:$C$501,"&lt;"&amp;J372,$J$2:$J$501,"&gt;"&amp;C372)-1))</x:f>
        <x:v>0</x:v>
      </x:c>
      <x:c r="M372" s="2" t="str">
        <x:f>IF(A372="","",IF(E372&lt;&gt;"sim","Revisar escala",IF(OR(K372&gt;0,L372&gt;0),"Conflito de escala",IF(COUNTIFS('Solicitacoes'!$F$2:$F$501,B372,'Solicitacoes'!$K$2:$K$501,F372,'Solicitacoes'!$I$2:$I$501,"pendente",'Solicitacoes'!$G$2:$G$501,"&lt;"&amp;J372,'Solicitacoes'!$N$2:$N$501,"&gt;"&amp;C372)+COUNTIFS('Solicitacoes'!$F$2:$F$501,B372,'Solicitacoes'!$E$2:$E$501,A372,'Solicitacoes'!$I$2:$I$501,"pendente",'Solicitacoes'!$G$2:$G$501,"&lt;"&amp;J372,'Solicitacoes'!$N$2:$N$501,"&gt;"&amp;C372)+COUNTIFS('Solicitacoes'!$F$2:$F$501,B372,'Solicitacoes'!$K$2:$K$501,F372,'Solicitacoes'!$I$2:$I$501,"confirmado",'Solicitacoes'!$G$2:$G$501,"&lt;"&amp;J372,'Solicitacoes'!$N$2:$N$501,"&gt;"&amp;C372)+COUNTIFS('Solicitacoes'!$F$2:$F$501,B372,'Solicitacoes'!$E$2:$E$501,A372,'Solicitacoes'!$I$2:$I$501,"confirmado",'Solicitacoes'!$G$2:$G$501,"&lt;"&amp;J372,'Solicitacoes'!$N$2:$N$501,"&gt;"&amp;C372)&gt;0,"Ocupado","Disponível"))))</x:f>
        <x:v>Revisar escala</x:v>
      </x:c>
      <x:c r="N372" s="2" t="n">
        <x:f>IF(A372="","",ROW()-1)</x:f>
        <x:v>371</x:v>
      </x:c>
    </x:row>
    <x:row r="373" ht="24" customHeight="1">
      <x:c r="A373" s="13" t="str">
        <x:v>Géssyca Martins</x:v>
      </x:c>
      <x:c r="B373" s="14" t="d">
        <x:v>2026-10-27T00:00:00.000Z</x:v>
      </x:c>
      <x:c r="C373" s="26" t="n">
        <x:v>0.75</x:v>
      </x:c>
      <x:c r="D373" s="13" t="str">
        <x:v>presencial</x:v>
      </x:c>
      <x:c r="E373" s="13" t="str">
        <x:v>não</x:v>
      </x:c>
      <x:c r="F373" s="13" t="str">
        <x:v>Sala 2</x:v>
      </x:c>
      <x:c r="G373" s="12" t="n">
        <x:f>IF(A373="","",'Agenda'!$B$5)</x:f>
        <x:v>50</x:v>
      </x:c>
      <x:c r="H373" s="12" t="n">
        <x:f>IF(A373="","",'Agenda'!$B$6)</x:f>
        <x:v>10</x:v>
      </x:c>
      <x:c r="I373" s="24" t="n">
        <x:f>IF(A373="","",C373+G373/1440)</x:f>
        <x:v>0.7847222222222222</x:v>
      </x:c>
      <x:c r="J373" s="24" t="n">
        <x:f>IF(A373="","",C373+(G373+H373)/1440)</x:f>
        <x:v>0.7916666666666666</x:v>
      </x:c>
      <x:c r="K373" s="27" t="n">
        <x:f>IF(A373="","",IF(E373&lt;&gt;"sim",0,COUNTIFS($B$2:$B$501,B373,$F$2:$F$501,F373,$E$2:$E$501,"sim",$C$2:$C$501,"&lt;"&amp;J373,$J$2:$J$501,"&gt;"&amp;C373)-1))</x:f>
        <x:v>0</x:v>
      </x:c>
      <x:c r="L373" s="27" t="n">
        <x:f>IF(A373="","",IF(E373&lt;&gt;"sim",0,COUNTIFS($B$2:$B$501,B373,$A$2:$A$501,A373,$E$2:$E$501,"sim",$C$2:$C$501,"&lt;"&amp;J373,$J$2:$J$501,"&gt;"&amp;C373)-1))</x:f>
        <x:v>0</x:v>
      </x:c>
      <x:c r="M373" s="2" t="str">
        <x:f>IF(A373="","",IF(E373&lt;&gt;"sim","Revisar escala",IF(OR(K373&gt;0,L373&gt;0),"Conflito de escala",IF(COUNTIFS('Solicitacoes'!$F$2:$F$501,B373,'Solicitacoes'!$K$2:$K$501,F373,'Solicitacoes'!$I$2:$I$501,"pendente",'Solicitacoes'!$G$2:$G$501,"&lt;"&amp;J373,'Solicitacoes'!$N$2:$N$501,"&gt;"&amp;C373)+COUNTIFS('Solicitacoes'!$F$2:$F$501,B373,'Solicitacoes'!$E$2:$E$501,A373,'Solicitacoes'!$I$2:$I$501,"pendente",'Solicitacoes'!$G$2:$G$501,"&lt;"&amp;J373,'Solicitacoes'!$N$2:$N$501,"&gt;"&amp;C373)+COUNTIFS('Solicitacoes'!$F$2:$F$501,B373,'Solicitacoes'!$K$2:$K$501,F373,'Solicitacoes'!$I$2:$I$501,"confirmado",'Solicitacoes'!$G$2:$G$501,"&lt;"&amp;J373,'Solicitacoes'!$N$2:$N$501,"&gt;"&amp;C373)+COUNTIFS('Solicitacoes'!$F$2:$F$501,B373,'Solicitacoes'!$E$2:$E$501,A373,'Solicitacoes'!$I$2:$I$501,"confirmado",'Solicitacoes'!$G$2:$G$501,"&lt;"&amp;J373,'Solicitacoes'!$N$2:$N$501,"&gt;"&amp;C373)&gt;0,"Ocupado","Disponível"))))</x:f>
        <x:v>Revisar escala</x:v>
      </x:c>
      <x:c r="N373" s="2" t="n">
        <x:f>IF(A373="","",ROW()-1)</x:f>
        <x:v>372</x:v>
      </x:c>
    </x:row>
    <x:row r="374" ht="24" customHeight="1">
      <x:c r="A374" s="13" t="str">
        <x:v>Aline Reis</x:v>
      </x:c>
      <x:c r="B374" s="14" t="d">
        <x:v>2026-10-27T00:00:00.000Z</x:v>
      </x:c>
      <x:c r="C374" s="26" t="n">
        <x:v>0.7916666666666666</x:v>
      </x:c>
      <x:c r="D374" s="13" t="str">
        <x:v>presencial</x:v>
      </x:c>
      <x:c r="E374" s="13" t="str">
        <x:v>não</x:v>
      </x:c>
      <x:c r="F374" s="13" t="str">
        <x:v>Sala 1</x:v>
      </x:c>
      <x:c r="G374" s="12" t="n">
        <x:f>IF(A374="","",'Agenda'!$B$5)</x:f>
        <x:v>50</x:v>
      </x:c>
      <x:c r="H374" s="12" t="n">
        <x:f>IF(A374="","",'Agenda'!$B$6)</x:f>
        <x:v>10</x:v>
      </x:c>
      <x:c r="I374" s="24" t="n">
        <x:f>IF(A374="","",C374+G374/1440)</x:f>
        <x:v>0.8263888888888888</x:v>
      </x:c>
      <x:c r="J374" s="24" t="n">
        <x:f>IF(A374="","",C374+(G374+H374)/1440)</x:f>
        <x:v>0.8333333333333333</x:v>
      </x:c>
      <x:c r="K374" s="27" t="n">
        <x:f>IF(A374="","",IF(E374&lt;&gt;"sim",0,COUNTIFS($B$2:$B$501,B374,$F$2:$F$501,F374,$E$2:$E$501,"sim",$C$2:$C$501,"&lt;"&amp;J374,$J$2:$J$501,"&gt;"&amp;C374)-1))</x:f>
        <x:v>0</x:v>
      </x:c>
      <x:c r="L374" s="27" t="n">
        <x:f>IF(A374="","",IF(E374&lt;&gt;"sim",0,COUNTIFS($B$2:$B$501,B374,$A$2:$A$501,A374,$E$2:$E$501,"sim",$C$2:$C$501,"&lt;"&amp;J374,$J$2:$J$501,"&gt;"&amp;C374)-1))</x:f>
        <x:v>0</x:v>
      </x:c>
      <x:c r="M374" s="2" t="str">
        <x:f>IF(A374="","",IF(E374&lt;&gt;"sim","Revisar escala",IF(OR(K374&gt;0,L374&gt;0),"Conflito de escala",IF(COUNTIFS('Solicitacoes'!$F$2:$F$501,B374,'Solicitacoes'!$K$2:$K$501,F374,'Solicitacoes'!$I$2:$I$501,"pendente",'Solicitacoes'!$G$2:$G$501,"&lt;"&amp;J374,'Solicitacoes'!$N$2:$N$501,"&gt;"&amp;C374)+COUNTIFS('Solicitacoes'!$F$2:$F$501,B374,'Solicitacoes'!$E$2:$E$501,A374,'Solicitacoes'!$I$2:$I$501,"pendente",'Solicitacoes'!$G$2:$G$501,"&lt;"&amp;J374,'Solicitacoes'!$N$2:$N$501,"&gt;"&amp;C374)+COUNTIFS('Solicitacoes'!$F$2:$F$501,B374,'Solicitacoes'!$K$2:$K$501,F374,'Solicitacoes'!$I$2:$I$501,"confirmado",'Solicitacoes'!$G$2:$G$501,"&lt;"&amp;J374,'Solicitacoes'!$N$2:$N$501,"&gt;"&amp;C374)+COUNTIFS('Solicitacoes'!$F$2:$F$501,B374,'Solicitacoes'!$E$2:$E$501,A374,'Solicitacoes'!$I$2:$I$501,"confirmado",'Solicitacoes'!$G$2:$G$501,"&lt;"&amp;J374,'Solicitacoes'!$N$2:$N$501,"&gt;"&amp;C374)&gt;0,"Ocupado","Disponível"))))</x:f>
        <x:v>Revisar escala</x:v>
      </x:c>
      <x:c r="N374" s="2" t="n">
        <x:f>IF(A374="","",ROW()-1)</x:f>
        <x:v>373</x:v>
      </x:c>
    </x:row>
    <x:row r="375" ht="24" customHeight="1">
      <x:c r="A375" s="13" t="str">
        <x:v>Géssyca Martins</x:v>
      </x:c>
      <x:c r="B375" s="14" t="d">
        <x:v>2026-10-27T00:00:00.000Z</x:v>
      </x:c>
      <x:c r="C375" s="26" t="n">
        <x:v>0.7916666666666666</x:v>
      </x:c>
      <x:c r="D375" s="13" t="str">
        <x:v>presencial</x:v>
      </x:c>
      <x:c r="E375" s="13" t="str">
        <x:v>não</x:v>
      </x:c>
      <x:c r="F375" s="13" t="str">
        <x:v>Sala 2</x:v>
      </x:c>
      <x:c r="G375" s="12" t="n">
        <x:f>IF(A375="","",'Agenda'!$B$5)</x:f>
        <x:v>50</x:v>
      </x:c>
      <x:c r="H375" s="12" t="n">
        <x:f>IF(A375="","",'Agenda'!$B$6)</x:f>
        <x:v>10</x:v>
      </x:c>
      <x:c r="I375" s="24" t="n">
        <x:f>IF(A375="","",C375+G375/1440)</x:f>
        <x:v>0.8263888888888888</x:v>
      </x:c>
      <x:c r="J375" s="24" t="n">
        <x:f>IF(A375="","",C375+(G375+H375)/1440)</x:f>
        <x:v>0.8333333333333333</x:v>
      </x:c>
      <x:c r="K375" s="27" t="n">
        <x:f>IF(A375="","",IF(E375&lt;&gt;"sim",0,COUNTIFS($B$2:$B$501,B375,$F$2:$F$501,F375,$E$2:$E$501,"sim",$C$2:$C$501,"&lt;"&amp;J375,$J$2:$J$501,"&gt;"&amp;C375)-1))</x:f>
        <x:v>0</x:v>
      </x:c>
      <x:c r="L375" s="27" t="n">
        <x:f>IF(A375="","",IF(E375&lt;&gt;"sim",0,COUNTIFS($B$2:$B$501,B375,$A$2:$A$501,A375,$E$2:$E$501,"sim",$C$2:$C$501,"&lt;"&amp;J375,$J$2:$J$501,"&gt;"&amp;C375)-1))</x:f>
        <x:v>0</x:v>
      </x:c>
      <x:c r="M375" s="2" t="str">
        <x:f>IF(A375="","",IF(E375&lt;&gt;"sim","Revisar escala",IF(OR(K375&gt;0,L375&gt;0),"Conflito de escala",IF(COUNTIFS('Solicitacoes'!$F$2:$F$501,B375,'Solicitacoes'!$K$2:$K$501,F375,'Solicitacoes'!$I$2:$I$501,"pendente",'Solicitacoes'!$G$2:$G$501,"&lt;"&amp;J375,'Solicitacoes'!$N$2:$N$501,"&gt;"&amp;C375)+COUNTIFS('Solicitacoes'!$F$2:$F$501,B375,'Solicitacoes'!$E$2:$E$501,A375,'Solicitacoes'!$I$2:$I$501,"pendente",'Solicitacoes'!$G$2:$G$501,"&lt;"&amp;J375,'Solicitacoes'!$N$2:$N$501,"&gt;"&amp;C375)+COUNTIFS('Solicitacoes'!$F$2:$F$501,B375,'Solicitacoes'!$K$2:$K$501,F375,'Solicitacoes'!$I$2:$I$501,"confirmado",'Solicitacoes'!$G$2:$G$501,"&lt;"&amp;J375,'Solicitacoes'!$N$2:$N$501,"&gt;"&amp;C375)+COUNTIFS('Solicitacoes'!$F$2:$F$501,B375,'Solicitacoes'!$E$2:$E$501,A375,'Solicitacoes'!$I$2:$I$501,"confirmado",'Solicitacoes'!$G$2:$G$501,"&lt;"&amp;J375,'Solicitacoes'!$N$2:$N$501,"&gt;"&amp;C375)&gt;0,"Ocupado","Disponível"))))</x:f>
        <x:v>Revisar escala</x:v>
      </x:c>
      <x:c r="N375" s="2" t="n">
        <x:f>IF(A375="","",ROW()-1)</x:f>
        <x:v>374</x:v>
      </x:c>
    </x:row>
    <x:row r="376" ht="24" customHeight="1">
      <x:c r="A376" s="13" t="str">
        <x:v>Laura Casanova</x:v>
      </x:c>
      <x:c r="B376" s="14" t="d">
        <x:v>2026-10-28T00:00:00.000Z</x:v>
      </x:c>
      <x:c r="C376" s="26" t="n">
        <x:v>0.375</x:v>
      </x:c>
      <x:c r="D376" s="13" t="str">
        <x:v>presencial</x:v>
      </x:c>
      <x:c r="E376" s="13" t="str">
        <x:v>não</x:v>
      </x:c>
      <x:c r="F376" s="13" t="str">
        <x:v>Sala 1</x:v>
      </x:c>
      <x:c r="G376" s="12" t="n">
        <x:f>IF(A376="","",'Agenda'!$B$5)</x:f>
        <x:v>50</x:v>
      </x:c>
      <x:c r="H376" s="12" t="n">
        <x:f>IF(A376="","",'Agenda'!$B$6)</x:f>
        <x:v>10</x:v>
      </x:c>
      <x:c r="I376" s="24" t="n">
        <x:f>IF(A376="","",C376+G376/1440)</x:f>
        <x:v>0.4097222222222222</x:v>
      </x:c>
      <x:c r="J376" s="24" t="n">
        <x:f>IF(A376="","",C376+(G376+H376)/1440)</x:f>
        <x:v>0.4166666666666667</x:v>
      </x:c>
      <x:c r="K376" s="27" t="n">
        <x:f>IF(A376="","",IF(E376&lt;&gt;"sim",0,COUNTIFS($B$2:$B$501,B376,$F$2:$F$501,F376,$E$2:$E$501,"sim",$C$2:$C$501,"&lt;"&amp;J376,$J$2:$J$501,"&gt;"&amp;C376)-1))</x:f>
        <x:v>0</x:v>
      </x:c>
      <x:c r="L376" s="27" t="n">
        <x:f>IF(A376="","",IF(E376&lt;&gt;"sim",0,COUNTIFS($B$2:$B$501,B376,$A$2:$A$501,A376,$E$2:$E$501,"sim",$C$2:$C$501,"&lt;"&amp;J376,$J$2:$J$501,"&gt;"&amp;C376)-1))</x:f>
        <x:v>0</x:v>
      </x:c>
      <x:c r="M376" s="2" t="str">
        <x:f>IF(A376="","",IF(E376&lt;&gt;"sim","Revisar escala",IF(OR(K376&gt;0,L376&gt;0),"Conflito de escala",IF(COUNTIFS('Solicitacoes'!$F$2:$F$501,B376,'Solicitacoes'!$K$2:$K$501,F376,'Solicitacoes'!$I$2:$I$501,"pendente",'Solicitacoes'!$G$2:$G$501,"&lt;"&amp;J376,'Solicitacoes'!$N$2:$N$501,"&gt;"&amp;C376)+COUNTIFS('Solicitacoes'!$F$2:$F$501,B376,'Solicitacoes'!$E$2:$E$501,A376,'Solicitacoes'!$I$2:$I$501,"pendente",'Solicitacoes'!$G$2:$G$501,"&lt;"&amp;J376,'Solicitacoes'!$N$2:$N$501,"&gt;"&amp;C376)+COUNTIFS('Solicitacoes'!$F$2:$F$501,B376,'Solicitacoes'!$K$2:$K$501,F376,'Solicitacoes'!$I$2:$I$501,"confirmado",'Solicitacoes'!$G$2:$G$501,"&lt;"&amp;J376,'Solicitacoes'!$N$2:$N$501,"&gt;"&amp;C376)+COUNTIFS('Solicitacoes'!$F$2:$F$501,B376,'Solicitacoes'!$E$2:$E$501,A376,'Solicitacoes'!$I$2:$I$501,"confirmado",'Solicitacoes'!$G$2:$G$501,"&lt;"&amp;J376,'Solicitacoes'!$N$2:$N$501,"&gt;"&amp;C376)&gt;0,"Ocupado","Disponível"))))</x:f>
        <x:v>Revisar escala</x:v>
      </x:c>
      <x:c r="N376" s="2" t="n">
        <x:f>IF(A376="","",ROW()-1)</x:f>
        <x:v>375</x:v>
      </x:c>
    </x:row>
    <x:row r="377" ht="24" customHeight="1">
      <x:c r="A377" s="13" t="str">
        <x:v>Aline Reis</x:v>
      </x:c>
      <x:c r="B377" s="14" t="d">
        <x:v>2026-10-28T00:00:00.000Z</x:v>
      </x:c>
      <x:c r="C377" s="26" t="n">
        <x:v>0.375</x:v>
      </x:c>
      <x:c r="D377" s="13" t="str">
        <x:v>presencial</x:v>
      </x:c>
      <x:c r="E377" s="13" t="str">
        <x:v>não</x:v>
      </x:c>
      <x:c r="F377" s="13" t="str">
        <x:v>Sala 2</x:v>
      </x:c>
      <x:c r="G377" s="12" t="n">
        <x:f>IF(A377="","",'Agenda'!$B$5)</x:f>
        <x:v>50</x:v>
      </x:c>
      <x:c r="H377" s="12" t="n">
        <x:f>IF(A377="","",'Agenda'!$B$6)</x:f>
        <x:v>10</x:v>
      </x:c>
      <x:c r="I377" s="24" t="n">
        <x:f>IF(A377="","",C377+G377/1440)</x:f>
        <x:v>0.4097222222222222</x:v>
      </x:c>
      <x:c r="J377" s="24" t="n">
        <x:f>IF(A377="","",C377+(G377+H377)/1440)</x:f>
        <x:v>0.4166666666666667</x:v>
      </x:c>
      <x:c r="K377" s="27" t="n">
        <x:f>IF(A377="","",IF(E377&lt;&gt;"sim",0,COUNTIFS($B$2:$B$501,B377,$F$2:$F$501,F377,$E$2:$E$501,"sim",$C$2:$C$501,"&lt;"&amp;J377,$J$2:$J$501,"&gt;"&amp;C377)-1))</x:f>
        <x:v>0</x:v>
      </x:c>
      <x:c r="L377" s="27" t="n">
        <x:f>IF(A377="","",IF(E377&lt;&gt;"sim",0,COUNTIFS($B$2:$B$501,B377,$A$2:$A$501,A377,$E$2:$E$501,"sim",$C$2:$C$501,"&lt;"&amp;J377,$J$2:$J$501,"&gt;"&amp;C377)-1))</x:f>
        <x:v>0</x:v>
      </x:c>
      <x:c r="M377" s="2" t="str">
        <x:f>IF(A377="","",IF(E377&lt;&gt;"sim","Revisar escala",IF(OR(K377&gt;0,L377&gt;0),"Conflito de escala",IF(COUNTIFS('Solicitacoes'!$F$2:$F$501,B377,'Solicitacoes'!$K$2:$K$501,F377,'Solicitacoes'!$I$2:$I$501,"pendente",'Solicitacoes'!$G$2:$G$501,"&lt;"&amp;J377,'Solicitacoes'!$N$2:$N$501,"&gt;"&amp;C377)+COUNTIFS('Solicitacoes'!$F$2:$F$501,B377,'Solicitacoes'!$E$2:$E$501,A377,'Solicitacoes'!$I$2:$I$501,"pendente",'Solicitacoes'!$G$2:$G$501,"&lt;"&amp;J377,'Solicitacoes'!$N$2:$N$501,"&gt;"&amp;C377)+COUNTIFS('Solicitacoes'!$F$2:$F$501,B377,'Solicitacoes'!$K$2:$K$501,F377,'Solicitacoes'!$I$2:$I$501,"confirmado",'Solicitacoes'!$G$2:$G$501,"&lt;"&amp;J377,'Solicitacoes'!$N$2:$N$501,"&gt;"&amp;C377)+COUNTIFS('Solicitacoes'!$F$2:$F$501,B377,'Solicitacoes'!$E$2:$E$501,A377,'Solicitacoes'!$I$2:$I$501,"confirmado",'Solicitacoes'!$G$2:$G$501,"&lt;"&amp;J377,'Solicitacoes'!$N$2:$N$501,"&gt;"&amp;C377)&gt;0,"Ocupado","Disponível"))))</x:f>
        <x:v>Revisar escala</x:v>
      </x:c>
      <x:c r="N377" s="2" t="n">
        <x:f>IF(A377="","",ROW()-1)</x:f>
        <x:v>376</x:v>
      </x:c>
    </x:row>
    <x:row r="378" ht="24" customHeight="1">
      <x:c r="A378" s="13" t="str">
        <x:v>Laura Casanova</x:v>
      </x:c>
      <x:c r="B378" s="14" t="d">
        <x:v>2026-10-28T00:00:00.000Z</x:v>
      </x:c>
      <x:c r="C378" s="26" t="n">
        <x:v>0.4166666666666667</x:v>
      </x:c>
      <x:c r="D378" s="13" t="str">
        <x:v>presencial</x:v>
      </x:c>
      <x:c r="E378" s="13" t="str">
        <x:v>não</x:v>
      </x:c>
      <x:c r="F378" s="13" t="str">
        <x:v>Sala 1</x:v>
      </x:c>
      <x:c r="G378" s="12" t="n">
        <x:f>IF(A378="","",'Agenda'!$B$5)</x:f>
        <x:v>50</x:v>
      </x:c>
      <x:c r="H378" s="12" t="n">
        <x:f>IF(A378="","",'Agenda'!$B$6)</x:f>
        <x:v>10</x:v>
      </x:c>
      <x:c r="I378" s="24" t="n">
        <x:f>IF(A378="","",C378+G378/1440)</x:f>
        <x:v>0.4513888888888889</x:v>
      </x:c>
      <x:c r="J378" s="24" t="n">
        <x:f>IF(A378="","",C378+(G378+H378)/1440)</x:f>
        <x:v>0.45833333333333337</x:v>
      </x:c>
      <x:c r="K378" s="27" t="n">
        <x:f>IF(A378="","",IF(E378&lt;&gt;"sim",0,COUNTIFS($B$2:$B$501,B378,$F$2:$F$501,F378,$E$2:$E$501,"sim",$C$2:$C$501,"&lt;"&amp;J378,$J$2:$J$501,"&gt;"&amp;C378)-1))</x:f>
        <x:v>0</x:v>
      </x:c>
      <x:c r="L378" s="27" t="n">
        <x:f>IF(A378="","",IF(E378&lt;&gt;"sim",0,COUNTIFS($B$2:$B$501,B378,$A$2:$A$501,A378,$E$2:$E$501,"sim",$C$2:$C$501,"&lt;"&amp;J378,$J$2:$J$501,"&gt;"&amp;C378)-1))</x:f>
        <x:v>0</x:v>
      </x:c>
      <x:c r="M378" s="2" t="str">
        <x:f>IF(A378="","",IF(E378&lt;&gt;"sim","Revisar escala",IF(OR(K378&gt;0,L378&gt;0),"Conflito de escala",IF(COUNTIFS('Solicitacoes'!$F$2:$F$501,B378,'Solicitacoes'!$K$2:$K$501,F378,'Solicitacoes'!$I$2:$I$501,"pendente",'Solicitacoes'!$G$2:$G$501,"&lt;"&amp;J378,'Solicitacoes'!$N$2:$N$501,"&gt;"&amp;C378)+COUNTIFS('Solicitacoes'!$F$2:$F$501,B378,'Solicitacoes'!$E$2:$E$501,A378,'Solicitacoes'!$I$2:$I$501,"pendente",'Solicitacoes'!$G$2:$G$501,"&lt;"&amp;J378,'Solicitacoes'!$N$2:$N$501,"&gt;"&amp;C378)+COUNTIFS('Solicitacoes'!$F$2:$F$501,B378,'Solicitacoes'!$K$2:$K$501,F378,'Solicitacoes'!$I$2:$I$501,"confirmado",'Solicitacoes'!$G$2:$G$501,"&lt;"&amp;J378,'Solicitacoes'!$N$2:$N$501,"&gt;"&amp;C378)+COUNTIFS('Solicitacoes'!$F$2:$F$501,B378,'Solicitacoes'!$E$2:$E$501,A378,'Solicitacoes'!$I$2:$I$501,"confirmado",'Solicitacoes'!$G$2:$G$501,"&lt;"&amp;J378,'Solicitacoes'!$N$2:$N$501,"&gt;"&amp;C378)&gt;0,"Ocupado","Disponível"))))</x:f>
        <x:v>Revisar escala</x:v>
      </x:c>
      <x:c r="N378" s="2" t="n">
        <x:f>IF(A378="","",ROW()-1)</x:f>
        <x:v>377</x:v>
      </x:c>
    </x:row>
    <x:row r="379" ht="24" customHeight="1">
      <x:c r="A379" s="13" t="str">
        <x:v>Aline Reis</x:v>
      </x:c>
      <x:c r="B379" s="14" t="d">
        <x:v>2026-10-28T00:00:00.000Z</x:v>
      </x:c>
      <x:c r="C379" s="26" t="n">
        <x:v>0.4166666666666667</x:v>
      </x:c>
      <x:c r="D379" s="13" t="str">
        <x:v>presencial</x:v>
      </x:c>
      <x:c r="E379" s="13" t="str">
        <x:v>não</x:v>
      </x:c>
      <x:c r="F379" s="13" t="str">
        <x:v>Sala 2</x:v>
      </x:c>
      <x:c r="G379" s="12" t="n">
        <x:f>IF(A379="","",'Agenda'!$B$5)</x:f>
        <x:v>50</x:v>
      </x:c>
      <x:c r="H379" s="12" t="n">
        <x:f>IF(A379="","",'Agenda'!$B$6)</x:f>
        <x:v>10</x:v>
      </x:c>
      <x:c r="I379" s="24" t="n">
        <x:f>IF(A379="","",C379+G379/1440)</x:f>
        <x:v>0.4513888888888889</x:v>
      </x:c>
      <x:c r="J379" s="24" t="n">
        <x:f>IF(A379="","",C379+(G379+H379)/1440)</x:f>
        <x:v>0.45833333333333337</x:v>
      </x:c>
      <x:c r="K379" s="27" t="n">
        <x:f>IF(A379="","",IF(E379&lt;&gt;"sim",0,COUNTIFS($B$2:$B$501,B379,$F$2:$F$501,F379,$E$2:$E$501,"sim",$C$2:$C$501,"&lt;"&amp;J379,$J$2:$J$501,"&gt;"&amp;C379)-1))</x:f>
        <x:v>0</x:v>
      </x:c>
      <x:c r="L379" s="27" t="n">
        <x:f>IF(A379="","",IF(E379&lt;&gt;"sim",0,COUNTIFS($B$2:$B$501,B379,$A$2:$A$501,A379,$E$2:$E$501,"sim",$C$2:$C$501,"&lt;"&amp;J379,$J$2:$J$501,"&gt;"&amp;C379)-1))</x:f>
        <x:v>0</x:v>
      </x:c>
      <x:c r="M379" s="2" t="str">
        <x:f>IF(A379="","",IF(E379&lt;&gt;"sim","Revisar escala",IF(OR(K379&gt;0,L379&gt;0),"Conflito de escala",IF(COUNTIFS('Solicitacoes'!$F$2:$F$501,B379,'Solicitacoes'!$K$2:$K$501,F379,'Solicitacoes'!$I$2:$I$501,"pendente",'Solicitacoes'!$G$2:$G$501,"&lt;"&amp;J379,'Solicitacoes'!$N$2:$N$501,"&gt;"&amp;C379)+COUNTIFS('Solicitacoes'!$F$2:$F$501,B379,'Solicitacoes'!$E$2:$E$501,A379,'Solicitacoes'!$I$2:$I$501,"pendente",'Solicitacoes'!$G$2:$G$501,"&lt;"&amp;J379,'Solicitacoes'!$N$2:$N$501,"&gt;"&amp;C379)+COUNTIFS('Solicitacoes'!$F$2:$F$501,B379,'Solicitacoes'!$K$2:$K$501,F379,'Solicitacoes'!$I$2:$I$501,"confirmado",'Solicitacoes'!$G$2:$G$501,"&lt;"&amp;J379,'Solicitacoes'!$N$2:$N$501,"&gt;"&amp;C379)+COUNTIFS('Solicitacoes'!$F$2:$F$501,B379,'Solicitacoes'!$E$2:$E$501,A379,'Solicitacoes'!$I$2:$I$501,"confirmado",'Solicitacoes'!$G$2:$G$501,"&lt;"&amp;J379,'Solicitacoes'!$N$2:$N$501,"&gt;"&amp;C379)&gt;0,"Ocupado","Disponível"))))</x:f>
        <x:v>Revisar escala</x:v>
      </x:c>
      <x:c r="N379" s="2" t="n">
        <x:f>IF(A379="","",ROW()-1)</x:f>
        <x:v>378</x:v>
      </x:c>
    </x:row>
    <x:row r="380" ht="24" customHeight="1">
      <x:c r="A380" s="13" t="str">
        <x:v>Laura Casanova</x:v>
      </x:c>
      <x:c r="B380" s="14" t="d">
        <x:v>2026-10-28T00:00:00.000Z</x:v>
      </x:c>
      <x:c r="C380" s="26" t="n">
        <x:v>0.4583333333333333</x:v>
      </x:c>
      <x:c r="D380" s="13" t="str">
        <x:v>presencial</x:v>
      </x:c>
      <x:c r="E380" s="13" t="str">
        <x:v>não</x:v>
      </x:c>
      <x:c r="F380" s="13" t="str">
        <x:v>Sala 1</x:v>
      </x:c>
      <x:c r="G380" s="12" t="n">
        <x:f>IF(A380="","",'Agenda'!$B$5)</x:f>
        <x:v>50</x:v>
      </x:c>
      <x:c r="H380" s="12" t="n">
        <x:f>IF(A380="","",'Agenda'!$B$6)</x:f>
        <x:v>10</x:v>
      </x:c>
      <x:c r="I380" s="24" t="n">
        <x:f>IF(A380="","",C380+G380/1440)</x:f>
        <x:v>0.4930555555555555</x:v>
      </x:c>
      <x:c r="J380" s="24" t="n">
        <x:f>IF(A380="","",C380+(G380+H380)/1440)</x:f>
        <x:v>0.5</x:v>
      </x:c>
      <x:c r="K380" s="27" t="n">
        <x:f>IF(A380="","",IF(E380&lt;&gt;"sim",0,COUNTIFS($B$2:$B$501,B380,$F$2:$F$501,F380,$E$2:$E$501,"sim",$C$2:$C$501,"&lt;"&amp;J380,$J$2:$J$501,"&gt;"&amp;C380)-1))</x:f>
        <x:v>0</x:v>
      </x:c>
      <x:c r="L380" s="27" t="n">
        <x:f>IF(A380="","",IF(E380&lt;&gt;"sim",0,COUNTIFS($B$2:$B$501,B380,$A$2:$A$501,A380,$E$2:$E$501,"sim",$C$2:$C$501,"&lt;"&amp;J380,$J$2:$J$501,"&gt;"&amp;C380)-1))</x:f>
        <x:v>0</x:v>
      </x:c>
      <x:c r="M380" s="2" t="str">
        <x:f>IF(A380="","",IF(E380&lt;&gt;"sim","Revisar escala",IF(OR(K380&gt;0,L380&gt;0),"Conflito de escala",IF(COUNTIFS('Solicitacoes'!$F$2:$F$501,B380,'Solicitacoes'!$K$2:$K$501,F380,'Solicitacoes'!$I$2:$I$501,"pendente",'Solicitacoes'!$G$2:$G$501,"&lt;"&amp;J380,'Solicitacoes'!$N$2:$N$501,"&gt;"&amp;C380)+COUNTIFS('Solicitacoes'!$F$2:$F$501,B380,'Solicitacoes'!$E$2:$E$501,A380,'Solicitacoes'!$I$2:$I$501,"pendente",'Solicitacoes'!$G$2:$G$501,"&lt;"&amp;J380,'Solicitacoes'!$N$2:$N$501,"&gt;"&amp;C380)+COUNTIFS('Solicitacoes'!$F$2:$F$501,B380,'Solicitacoes'!$K$2:$K$501,F380,'Solicitacoes'!$I$2:$I$501,"confirmado",'Solicitacoes'!$G$2:$G$501,"&lt;"&amp;J380,'Solicitacoes'!$N$2:$N$501,"&gt;"&amp;C380)+COUNTIFS('Solicitacoes'!$F$2:$F$501,B380,'Solicitacoes'!$E$2:$E$501,A380,'Solicitacoes'!$I$2:$I$501,"confirmado",'Solicitacoes'!$G$2:$G$501,"&lt;"&amp;J380,'Solicitacoes'!$N$2:$N$501,"&gt;"&amp;C380)&gt;0,"Ocupado","Disponível"))))</x:f>
        <x:v>Revisar escala</x:v>
      </x:c>
      <x:c r="N380" s="2" t="n">
        <x:f>IF(A380="","",ROW()-1)</x:f>
        <x:v>379</x:v>
      </x:c>
    </x:row>
    <x:row r="381" ht="24" customHeight="1">
      <x:c r="A381" s="13" t="str">
        <x:v>Aline Reis</x:v>
      </x:c>
      <x:c r="B381" s="14" t="d">
        <x:v>2026-10-28T00:00:00.000Z</x:v>
      </x:c>
      <x:c r="C381" s="26" t="n">
        <x:v>0.4583333333333333</x:v>
      </x:c>
      <x:c r="D381" s="13" t="str">
        <x:v>presencial</x:v>
      </x:c>
      <x:c r="E381" s="13" t="str">
        <x:v>não</x:v>
      </x:c>
      <x:c r="F381" s="13" t="str">
        <x:v>Sala 2</x:v>
      </x:c>
      <x:c r="G381" s="12" t="n">
        <x:f>IF(A381="","",'Agenda'!$B$5)</x:f>
        <x:v>50</x:v>
      </x:c>
      <x:c r="H381" s="12" t="n">
        <x:f>IF(A381="","",'Agenda'!$B$6)</x:f>
        <x:v>10</x:v>
      </x:c>
      <x:c r="I381" s="24" t="n">
        <x:f>IF(A381="","",C381+G381/1440)</x:f>
        <x:v>0.4930555555555555</x:v>
      </x:c>
      <x:c r="J381" s="24" t="n">
        <x:f>IF(A381="","",C381+(G381+H381)/1440)</x:f>
        <x:v>0.5</x:v>
      </x:c>
      <x:c r="K381" s="27" t="n">
        <x:f>IF(A381="","",IF(E381&lt;&gt;"sim",0,COUNTIFS($B$2:$B$501,B381,$F$2:$F$501,F381,$E$2:$E$501,"sim",$C$2:$C$501,"&lt;"&amp;J381,$J$2:$J$501,"&gt;"&amp;C381)-1))</x:f>
        <x:v>0</x:v>
      </x:c>
      <x:c r="L381" s="27" t="n">
        <x:f>IF(A381="","",IF(E381&lt;&gt;"sim",0,COUNTIFS($B$2:$B$501,B381,$A$2:$A$501,A381,$E$2:$E$501,"sim",$C$2:$C$501,"&lt;"&amp;J381,$J$2:$J$501,"&gt;"&amp;C381)-1))</x:f>
        <x:v>0</x:v>
      </x:c>
      <x:c r="M381" s="2" t="str">
        <x:f>IF(A381="","",IF(E381&lt;&gt;"sim","Revisar escala",IF(OR(K381&gt;0,L381&gt;0),"Conflito de escala",IF(COUNTIFS('Solicitacoes'!$F$2:$F$501,B381,'Solicitacoes'!$K$2:$K$501,F381,'Solicitacoes'!$I$2:$I$501,"pendente",'Solicitacoes'!$G$2:$G$501,"&lt;"&amp;J381,'Solicitacoes'!$N$2:$N$501,"&gt;"&amp;C381)+COUNTIFS('Solicitacoes'!$F$2:$F$501,B381,'Solicitacoes'!$E$2:$E$501,A381,'Solicitacoes'!$I$2:$I$501,"pendente",'Solicitacoes'!$G$2:$G$501,"&lt;"&amp;J381,'Solicitacoes'!$N$2:$N$501,"&gt;"&amp;C381)+COUNTIFS('Solicitacoes'!$F$2:$F$501,B381,'Solicitacoes'!$K$2:$K$501,F381,'Solicitacoes'!$I$2:$I$501,"confirmado",'Solicitacoes'!$G$2:$G$501,"&lt;"&amp;J381,'Solicitacoes'!$N$2:$N$501,"&gt;"&amp;C381)+COUNTIFS('Solicitacoes'!$F$2:$F$501,B381,'Solicitacoes'!$E$2:$E$501,A381,'Solicitacoes'!$I$2:$I$501,"confirmado",'Solicitacoes'!$G$2:$G$501,"&lt;"&amp;J381,'Solicitacoes'!$N$2:$N$501,"&gt;"&amp;C381)&gt;0,"Ocupado","Disponível"))))</x:f>
        <x:v>Revisar escala</x:v>
      </x:c>
      <x:c r="N381" s="2" t="n">
        <x:f>IF(A381="","",ROW()-1)</x:f>
        <x:v>380</x:v>
      </x:c>
    </x:row>
    <x:row r="382" ht="24" customHeight="1">
      <x:c r="A382" s="13" t="str">
        <x:v>Laura Casanova</x:v>
      </x:c>
      <x:c r="B382" s="14" t="d">
        <x:v>2026-10-28T00:00:00.000Z</x:v>
      </x:c>
      <x:c r="C382" s="26" t="n">
        <x:v>0.5</x:v>
      </x:c>
      <x:c r="D382" s="13" t="str">
        <x:v>presencial</x:v>
      </x:c>
      <x:c r="E382" s="13" t="str">
        <x:v>não</x:v>
      </x:c>
      <x:c r="F382" s="13" t="str">
        <x:v>Sala 1</x:v>
      </x:c>
      <x:c r="G382" s="12" t="n">
        <x:f>IF(A382="","",'Agenda'!$B$5)</x:f>
        <x:v>50</x:v>
      </x:c>
      <x:c r="H382" s="12" t="n">
        <x:f>IF(A382="","",'Agenda'!$B$6)</x:f>
        <x:v>10</x:v>
      </x:c>
      <x:c r="I382" s="24" t="n">
        <x:f>IF(A382="","",C382+G382/1440)</x:f>
        <x:v>0.5347222222222222</x:v>
      </x:c>
      <x:c r="J382" s="24" t="n">
        <x:f>IF(A382="","",C382+(G382+H382)/1440)</x:f>
        <x:v>0.5416666666666666</x:v>
      </x:c>
      <x:c r="K382" s="27" t="n">
        <x:f>IF(A382="","",IF(E382&lt;&gt;"sim",0,COUNTIFS($B$2:$B$501,B382,$F$2:$F$501,F382,$E$2:$E$501,"sim",$C$2:$C$501,"&lt;"&amp;J382,$J$2:$J$501,"&gt;"&amp;C382)-1))</x:f>
        <x:v>0</x:v>
      </x:c>
      <x:c r="L382" s="27" t="n">
        <x:f>IF(A382="","",IF(E382&lt;&gt;"sim",0,COUNTIFS($B$2:$B$501,B382,$A$2:$A$501,A382,$E$2:$E$501,"sim",$C$2:$C$501,"&lt;"&amp;J382,$J$2:$J$501,"&gt;"&amp;C382)-1))</x:f>
        <x:v>0</x:v>
      </x:c>
      <x:c r="M382" s="2" t="str">
        <x:f>IF(A382="","",IF(E382&lt;&gt;"sim","Revisar escala",IF(OR(K382&gt;0,L382&gt;0),"Conflito de escala",IF(COUNTIFS('Solicitacoes'!$F$2:$F$501,B382,'Solicitacoes'!$K$2:$K$501,F382,'Solicitacoes'!$I$2:$I$501,"pendente",'Solicitacoes'!$G$2:$G$501,"&lt;"&amp;J382,'Solicitacoes'!$N$2:$N$501,"&gt;"&amp;C382)+COUNTIFS('Solicitacoes'!$F$2:$F$501,B382,'Solicitacoes'!$E$2:$E$501,A382,'Solicitacoes'!$I$2:$I$501,"pendente",'Solicitacoes'!$G$2:$G$501,"&lt;"&amp;J382,'Solicitacoes'!$N$2:$N$501,"&gt;"&amp;C382)+COUNTIFS('Solicitacoes'!$F$2:$F$501,B382,'Solicitacoes'!$K$2:$K$501,F382,'Solicitacoes'!$I$2:$I$501,"confirmado",'Solicitacoes'!$G$2:$G$501,"&lt;"&amp;J382,'Solicitacoes'!$N$2:$N$501,"&gt;"&amp;C382)+COUNTIFS('Solicitacoes'!$F$2:$F$501,B382,'Solicitacoes'!$E$2:$E$501,A382,'Solicitacoes'!$I$2:$I$501,"confirmado",'Solicitacoes'!$G$2:$G$501,"&lt;"&amp;J382,'Solicitacoes'!$N$2:$N$501,"&gt;"&amp;C382)&gt;0,"Ocupado","Disponível"))))</x:f>
        <x:v>Revisar escala</x:v>
      </x:c>
      <x:c r="N382" s="2" t="n">
        <x:f>IF(A382="","",ROW()-1)</x:f>
        <x:v>381</x:v>
      </x:c>
    </x:row>
    <x:row r="383" ht="24" customHeight="1">
      <x:c r="A383" s="13" t="str">
        <x:v>Aline Reis</x:v>
      </x:c>
      <x:c r="B383" s="14" t="d">
        <x:v>2026-10-28T00:00:00.000Z</x:v>
      </x:c>
      <x:c r="C383" s="26" t="n">
        <x:v>0.5</x:v>
      </x:c>
      <x:c r="D383" s="13" t="str">
        <x:v>presencial</x:v>
      </x:c>
      <x:c r="E383" s="13" t="str">
        <x:v>não</x:v>
      </x:c>
      <x:c r="F383" s="13" t="str">
        <x:v>Sala 2</x:v>
      </x:c>
      <x:c r="G383" s="12" t="n">
        <x:f>IF(A383="","",'Agenda'!$B$5)</x:f>
        <x:v>50</x:v>
      </x:c>
      <x:c r="H383" s="12" t="n">
        <x:f>IF(A383="","",'Agenda'!$B$6)</x:f>
        <x:v>10</x:v>
      </x:c>
      <x:c r="I383" s="24" t="n">
        <x:f>IF(A383="","",C383+G383/1440)</x:f>
        <x:v>0.5347222222222222</x:v>
      </x:c>
      <x:c r="J383" s="24" t="n">
        <x:f>IF(A383="","",C383+(G383+H383)/1440)</x:f>
        <x:v>0.5416666666666666</x:v>
      </x:c>
      <x:c r="K383" s="27" t="n">
        <x:f>IF(A383="","",IF(E383&lt;&gt;"sim",0,COUNTIFS($B$2:$B$501,B383,$F$2:$F$501,F383,$E$2:$E$501,"sim",$C$2:$C$501,"&lt;"&amp;J383,$J$2:$J$501,"&gt;"&amp;C383)-1))</x:f>
        <x:v>0</x:v>
      </x:c>
      <x:c r="L383" s="27" t="n">
        <x:f>IF(A383="","",IF(E383&lt;&gt;"sim",0,COUNTIFS($B$2:$B$501,B383,$A$2:$A$501,A383,$E$2:$E$501,"sim",$C$2:$C$501,"&lt;"&amp;J383,$J$2:$J$501,"&gt;"&amp;C383)-1))</x:f>
        <x:v>0</x:v>
      </x:c>
      <x:c r="M383" s="2" t="str">
        <x:f>IF(A383="","",IF(E383&lt;&gt;"sim","Revisar escala",IF(OR(K383&gt;0,L383&gt;0),"Conflito de escala",IF(COUNTIFS('Solicitacoes'!$F$2:$F$501,B383,'Solicitacoes'!$K$2:$K$501,F383,'Solicitacoes'!$I$2:$I$501,"pendente",'Solicitacoes'!$G$2:$G$501,"&lt;"&amp;J383,'Solicitacoes'!$N$2:$N$501,"&gt;"&amp;C383)+COUNTIFS('Solicitacoes'!$F$2:$F$501,B383,'Solicitacoes'!$E$2:$E$501,A383,'Solicitacoes'!$I$2:$I$501,"pendente",'Solicitacoes'!$G$2:$G$501,"&lt;"&amp;J383,'Solicitacoes'!$N$2:$N$501,"&gt;"&amp;C383)+COUNTIFS('Solicitacoes'!$F$2:$F$501,B383,'Solicitacoes'!$K$2:$K$501,F383,'Solicitacoes'!$I$2:$I$501,"confirmado",'Solicitacoes'!$G$2:$G$501,"&lt;"&amp;J383,'Solicitacoes'!$N$2:$N$501,"&gt;"&amp;C383)+COUNTIFS('Solicitacoes'!$F$2:$F$501,B383,'Solicitacoes'!$E$2:$E$501,A383,'Solicitacoes'!$I$2:$I$501,"confirmado",'Solicitacoes'!$G$2:$G$501,"&lt;"&amp;J383,'Solicitacoes'!$N$2:$N$501,"&gt;"&amp;C383)&gt;0,"Ocupado","Disponível"))))</x:f>
        <x:v>Revisar escala</x:v>
      </x:c>
      <x:c r="N383" s="2" t="n">
        <x:f>IF(A383="","",ROW()-1)</x:f>
        <x:v>382</x:v>
      </x:c>
    </x:row>
    <x:row r="384" ht="24" customHeight="1">
      <x:c r="A384" s="13" t="str">
        <x:v>Laura Casanova</x:v>
      </x:c>
      <x:c r="B384" s="14" t="d">
        <x:v>2026-10-28T00:00:00.000Z</x:v>
      </x:c>
      <x:c r="C384" s="26" t="n">
        <x:v>0.5416666666666666</x:v>
      </x:c>
      <x:c r="D384" s="13" t="str">
        <x:v>presencial</x:v>
      </x:c>
      <x:c r="E384" s="13" t="str">
        <x:v>não</x:v>
      </x:c>
      <x:c r="F384" s="13" t="str">
        <x:v>Sala 1</x:v>
      </x:c>
      <x:c r="G384" s="12" t="n">
        <x:f>IF(A384="","",'Agenda'!$B$5)</x:f>
        <x:v>50</x:v>
      </x:c>
      <x:c r="H384" s="12" t="n">
        <x:f>IF(A384="","",'Agenda'!$B$6)</x:f>
        <x:v>10</x:v>
      </x:c>
      <x:c r="I384" s="24" t="n">
        <x:f>IF(A384="","",C384+G384/1440)</x:f>
        <x:v>0.5763888888888888</x:v>
      </x:c>
      <x:c r="J384" s="24" t="n">
        <x:f>IF(A384="","",C384+(G384+H384)/1440)</x:f>
        <x:v>0.5833333333333333</x:v>
      </x:c>
      <x:c r="K384" s="27" t="n">
        <x:f>IF(A384="","",IF(E384&lt;&gt;"sim",0,COUNTIFS($B$2:$B$501,B384,$F$2:$F$501,F384,$E$2:$E$501,"sim",$C$2:$C$501,"&lt;"&amp;J384,$J$2:$J$501,"&gt;"&amp;C384)-1))</x:f>
        <x:v>0</x:v>
      </x:c>
      <x:c r="L384" s="27" t="n">
        <x:f>IF(A384="","",IF(E384&lt;&gt;"sim",0,COUNTIFS($B$2:$B$501,B384,$A$2:$A$501,A384,$E$2:$E$501,"sim",$C$2:$C$501,"&lt;"&amp;J384,$J$2:$J$501,"&gt;"&amp;C384)-1))</x:f>
        <x:v>0</x:v>
      </x:c>
      <x:c r="M384" s="2" t="str">
        <x:f>IF(A384="","",IF(E384&lt;&gt;"sim","Revisar escala",IF(OR(K384&gt;0,L384&gt;0),"Conflito de escala",IF(COUNTIFS('Solicitacoes'!$F$2:$F$501,B384,'Solicitacoes'!$K$2:$K$501,F384,'Solicitacoes'!$I$2:$I$501,"pendente",'Solicitacoes'!$G$2:$G$501,"&lt;"&amp;J384,'Solicitacoes'!$N$2:$N$501,"&gt;"&amp;C384)+COUNTIFS('Solicitacoes'!$F$2:$F$501,B384,'Solicitacoes'!$E$2:$E$501,A384,'Solicitacoes'!$I$2:$I$501,"pendente",'Solicitacoes'!$G$2:$G$501,"&lt;"&amp;J384,'Solicitacoes'!$N$2:$N$501,"&gt;"&amp;C384)+COUNTIFS('Solicitacoes'!$F$2:$F$501,B384,'Solicitacoes'!$K$2:$K$501,F384,'Solicitacoes'!$I$2:$I$501,"confirmado",'Solicitacoes'!$G$2:$G$501,"&lt;"&amp;J384,'Solicitacoes'!$N$2:$N$501,"&gt;"&amp;C384)+COUNTIFS('Solicitacoes'!$F$2:$F$501,B384,'Solicitacoes'!$E$2:$E$501,A384,'Solicitacoes'!$I$2:$I$501,"confirmado",'Solicitacoes'!$G$2:$G$501,"&lt;"&amp;J384,'Solicitacoes'!$N$2:$N$501,"&gt;"&amp;C384)&gt;0,"Ocupado","Disponível"))))</x:f>
        <x:v>Revisar escala</x:v>
      </x:c>
      <x:c r="N384" s="2" t="n">
        <x:f>IF(A384="","",ROW()-1)</x:f>
        <x:v>383</x:v>
      </x:c>
    </x:row>
    <x:row r="385" ht="24" customHeight="1">
      <x:c r="A385" s="13" t="str">
        <x:v>Aline Reis</x:v>
      </x:c>
      <x:c r="B385" s="14" t="d">
        <x:v>2026-10-28T00:00:00.000Z</x:v>
      </x:c>
      <x:c r="C385" s="26" t="n">
        <x:v>0.5416666666666666</x:v>
      </x:c>
      <x:c r="D385" s="13" t="str">
        <x:v>presencial</x:v>
      </x:c>
      <x:c r="E385" s="13" t="str">
        <x:v>não</x:v>
      </x:c>
      <x:c r="F385" s="13" t="str">
        <x:v>Sala 2</x:v>
      </x:c>
      <x:c r="G385" s="12" t="n">
        <x:f>IF(A385="","",'Agenda'!$B$5)</x:f>
        <x:v>50</x:v>
      </x:c>
      <x:c r="H385" s="12" t="n">
        <x:f>IF(A385="","",'Agenda'!$B$6)</x:f>
        <x:v>10</x:v>
      </x:c>
      <x:c r="I385" s="24" t="n">
        <x:f>IF(A385="","",C385+G385/1440)</x:f>
        <x:v>0.5763888888888888</x:v>
      </x:c>
      <x:c r="J385" s="24" t="n">
        <x:f>IF(A385="","",C385+(G385+H385)/1440)</x:f>
        <x:v>0.5833333333333333</x:v>
      </x:c>
      <x:c r="K385" s="27" t="n">
        <x:f>IF(A385="","",IF(E385&lt;&gt;"sim",0,COUNTIFS($B$2:$B$501,B385,$F$2:$F$501,F385,$E$2:$E$501,"sim",$C$2:$C$501,"&lt;"&amp;J385,$J$2:$J$501,"&gt;"&amp;C385)-1))</x:f>
        <x:v>0</x:v>
      </x:c>
      <x:c r="L385" s="27" t="n">
        <x:f>IF(A385="","",IF(E385&lt;&gt;"sim",0,COUNTIFS($B$2:$B$501,B385,$A$2:$A$501,A385,$E$2:$E$501,"sim",$C$2:$C$501,"&lt;"&amp;J385,$J$2:$J$501,"&gt;"&amp;C385)-1))</x:f>
        <x:v>0</x:v>
      </x:c>
      <x:c r="M385" s="2" t="str">
        <x:f>IF(A385="","",IF(E385&lt;&gt;"sim","Revisar escala",IF(OR(K385&gt;0,L385&gt;0),"Conflito de escala",IF(COUNTIFS('Solicitacoes'!$F$2:$F$501,B385,'Solicitacoes'!$K$2:$K$501,F385,'Solicitacoes'!$I$2:$I$501,"pendente",'Solicitacoes'!$G$2:$G$501,"&lt;"&amp;J385,'Solicitacoes'!$N$2:$N$501,"&gt;"&amp;C385)+COUNTIFS('Solicitacoes'!$F$2:$F$501,B385,'Solicitacoes'!$E$2:$E$501,A385,'Solicitacoes'!$I$2:$I$501,"pendente",'Solicitacoes'!$G$2:$G$501,"&lt;"&amp;J385,'Solicitacoes'!$N$2:$N$501,"&gt;"&amp;C385)+COUNTIFS('Solicitacoes'!$F$2:$F$501,B385,'Solicitacoes'!$K$2:$K$501,F385,'Solicitacoes'!$I$2:$I$501,"confirmado",'Solicitacoes'!$G$2:$G$501,"&lt;"&amp;J385,'Solicitacoes'!$N$2:$N$501,"&gt;"&amp;C385)+COUNTIFS('Solicitacoes'!$F$2:$F$501,B385,'Solicitacoes'!$E$2:$E$501,A385,'Solicitacoes'!$I$2:$I$501,"confirmado",'Solicitacoes'!$G$2:$G$501,"&lt;"&amp;J385,'Solicitacoes'!$N$2:$N$501,"&gt;"&amp;C385)&gt;0,"Ocupado","Disponível"))))</x:f>
        <x:v>Revisar escala</x:v>
      </x:c>
      <x:c r="N385" s="2" t="n">
        <x:f>IF(A385="","",ROW()-1)</x:f>
        <x:v>384</x:v>
      </x:c>
    </x:row>
    <x:row r="386" ht="24" customHeight="1">
      <x:c r="A386" s="13" t="str">
        <x:v>Géssyca Martins</x:v>
      </x:c>
      <x:c r="B386" s="14" t="d">
        <x:v>2026-10-28T00:00:00.000Z</x:v>
      </x:c>
      <x:c r="C386" s="26" t="n">
        <x:v>0.5833333333333334</x:v>
      </x:c>
      <x:c r="D386" s="13" t="str">
        <x:v>presencial</x:v>
      </x:c>
      <x:c r="E386" s="13" t="str">
        <x:v>não</x:v>
      </x:c>
      <x:c r="F386" s="13" t="str">
        <x:v>Sala 1</x:v>
      </x:c>
      <x:c r="G386" s="12" t="n">
        <x:f>IF(A386="","",'Agenda'!$B$5)</x:f>
        <x:v>50</x:v>
      </x:c>
      <x:c r="H386" s="12" t="n">
        <x:f>IF(A386="","",'Agenda'!$B$6)</x:f>
        <x:v>10</x:v>
      </x:c>
      <x:c r="I386" s="24" t="n">
        <x:f>IF(A386="","",C386+G386/1440)</x:f>
        <x:v>0.6180555555555556</x:v>
      </x:c>
      <x:c r="J386" s="24" t="n">
        <x:f>IF(A386="","",C386+(G386+H386)/1440)</x:f>
        <x:v>0.625</x:v>
      </x:c>
      <x:c r="K386" s="27" t="n">
        <x:f>IF(A386="","",IF(E386&lt;&gt;"sim",0,COUNTIFS($B$2:$B$501,B386,$F$2:$F$501,F386,$E$2:$E$501,"sim",$C$2:$C$501,"&lt;"&amp;J386,$J$2:$J$501,"&gt;"&amp;C386)-1))</x:f>
        <x:v>0</x:v>
      </x:c>
      <x:c r="L386" s="27" t="n">
        <x:f>IF(A386="","",IF(E386&lt;&gt;"sim",0,COUNTIFS($B$2:$B$501,B386,$A$2:$A$501,A386,$E$2:$E$501,"sim",$C$2:$C$501,"&lt;"&amp;J386,$J$2:$J$501,"&gt;"&amp;C386)-1))</x:f>
        <x:v>0</x:v>
      </x:c>
      <x:c r="M386" s="2" t="str">
        <x:f>IF(A386="","",IF(E386&lt;&gt;"sim","Revisar escala",IF(OR(K386&gt;0,L386&gt;0),"Conflito de escala",IF(COUNTIFS('Solicitacoes'!$F$2:$F$501,B386,'Solicitacoes'!$K$2:$K$501,F386,'Solicitacoes'!$I$2:$I$501,"pendente",'Solicitacoes'!$G$2:$G$501,"&lt;"&amp;J386,'Solicitacoes'!$N$2:$N$501,"&gt;"&amp;C386)+COUNTIFS('Solicitacoes'!$F$2:$F$501,B386,'Solicitacoes'!$E$2:$E$501,A386,'Solicitacoes'!$I$2:$I$501,"pendente",'Solicitacoes'!$G$2:$G$501,"&lt;"&amp;J386,'Solicitacoes'!$N$2:$N$501,"&gt;"&amp;C386)+COUNTIFS('Solicitacoes'!$F$2:$F$501,B386,'Solicitacoes'!$K$2:$K$501,F386,'Solicitacoes'!$I$2:$I$501,"confirmado",'Solicitacoes'!$G$2:$G$501,"&lt;"&amp;J386,'Solicitacoes'!$N$2:$N$501,"&gt;"&amp;C386)+COUNTIFS('Solicitacoes'!$F$2:$F$501,B386,'Solicitacoes'!$E$2:$E$501,A386,'Solicitacoes'!$I$2:$I$501,"confirmado",'Solicitacoes'!$G$2:$G$501,"&lt;"&amp;J386,'Solicitacoes'!$N$2:$N$501,"&gt;"&amp;C386)&gt;0,"Ocupado","Disponível"))))</x:f>
        <x:v>Revisar escala</x:v>
      </x:c>
      <x:c r="N386" s="2" t="n">
        <x:f>IF(A386="","",ROW()-1)</x:f>
        <x:v>385</x:v>
      </x:c>
    </x:row>
    <x:row r="387" ht="24" customHeight="1">
      <x:c r="A387" s="13" t="str">
        <x:v>Laura Casanova</x:v>
      </x:c>
      <x:c r="B387" s="14" t="d">
        <x:v>2026-10-28T00:00:00.000Z</x:v>
      </x:c>
      <x:c r="C387" s="26" t="n">
        <x:v>0.5833333333333334</x:v>
      </x:c>
      <x:c r="D387" s="13" t="str">
        <x:v>presencial</x:v>
      </x:c>
      <x:c r="E387" s="13" t="str">
        <x:v>não</x:v>
      </x:c>
      <x:c r="F387" s="13" t="str">
        <x:v>Sala 2</x:v>
      </x:c>
      <x:c r="G387" s="12" t="n">
        <x:f>IF(A387="","",'Agenda'!$B$5)</x:f>
        <x:v>50</x:v>
      </x:c>
      <x:c r="H387" s="12" t="n">
        <x:f>IF(A387="","",'Agenda'!$B$6)</x:f>
        <x:v>10</x:v>
      </x:c>
      <x:c r="I387" s="24" t="n">
        <x:f>IF(A387="","",C387+G387/1440)</x:f>
        <x:v>0.6180555555555556</x:v>
      </x:c>
      <x:c r="J387" s="24" t="n">
        <x:f>IF(A387="","",C387+(G387+H387)/1440)</x:f>
        <x:v>0.625</x:v>
      </x:c>
      <x:c r="K387" s="27" t="n">
        <x:f>IF(A387="","",IF(E387&lt;&gt;"sim",0,COUNTIFS($B$2:$B$501,B387,$F$2:$F$501,F387,$E$2:$E$501,"sim",$C$2:$C$501,"&lt;"&amp;J387,$J$2:$J$501,"&gt;"&amp;C387)-1))</x:f>
        <x:v>0</x:v>
      </x:c>
      <x:c r="L387" s="27" t="n">
        <x:f>IF(A387="","",IF(E387&lt;&gt;"sim",0,COUNTIFS($B$2:$B$501,B387,$A$2:$A$501,A387,$E$2:$E$501,"sim",$C$2:$C$501,"&lt;"&amp;J387,$J$2:$J$501,"&gt;"&amp;C387)-1))</x:f>
        <x:v>0</x:v>
      </x:c>
      <x:c r="M387" s="2" t="str">
        <x:f>IF(A387="","",IF(E387&lt;&gt;"sim","Revisar escala",IF(OR(K387&gt;0,L387&gt;0),"Conflito de escala",IF(COUNTIFS('Solicitacoes'!$F$2:$F$501,B387,'Solicitacoes'!$K$2:$K$501,F387,'Solicitacoes'!$I$2:$I$501,"pendente",'Solicitacoes'!$G$2:$G$501,"&lt;"&amp;J387,'Solicitacoes'!$N$2:$N$501,"&gt;"&amp;C387)+COUNTIFS('Solicitacoes'!$F$2:$F$501,B387,'Solicitacoes'!$E$2:$E$501,A387,'Solicitacoes'!$I$2:$I$501,"pendente",'Solicitacoes'!$G$2:$G$501,"&lt;"&amp;J387,'Solicitacoes'!$N$2:$N$501,"&gt;"&amp;C387)+COUNTIFS('Solicitacoes'!$F$2:$F$501,B387,'Solicitacoes'!$K$2:$K$501,F387,'Solicitacoes'!$I$2:$I$501,"confirmado",'Solicitacoes'!$G$2:$G$501,"&lt;"&amp;J387,'Solicitacoes'!$N$2:$N$501,"&gt;"&amp;C387)+COUNTIFS('Solicitacoes'!$F$2:$F$501,B387,'Solicitacoes'!$E$2:$E$501,A387,'Solicitacoes'!$I$2:$I$501,"confirmado",'Solicitacoes'!$G$2:$G$501,"&lt;"&amp;J387,'Solicitacoes'!$N$2:$N$501,"&gt;"&amp;C387)&gt;0,"Ocupado","Disponível"))))</x:f>
        <x:v>Revisar escala</x:v>
      </x:c>
      <x:c r="N387" s="2" t="n">
        <x:f>IF(A387="","",ROW()-1)</x:f>
        <x:v>386</x:v>
      </x:c>
    </x:row>
    <x:row r="388" ht="24" customHeight="1">
      <x:c r="A388" s="13" t="str">
        <x:v>Géssyca Martins</x:v>
      </x:c>
      <x:c r="B388" s="14" t="d">
        <x:v>2026-10-28T00:00:00.000Z</x:v>
      </x:c>
      <x:c r="C388" s="26" t="n">
        <x:v>0.625</x:v>
      </x:c>
      <x:c r="D388" s="13" t="str">
        <x:v>presencial</x:v>
      </x:c>
      <x:c r="E388" s="13" t="str">
        <x:v>não</x:v>
      </x:c>
      <x:c r="F388" s="13" t="str">
        <x:v>Sala 1</x:v>
      </x:c>
      <x:c r="G388" s="12" t="n">
        <x:f>IF(A388="","",'Agenda'!$B$5)</x:f>
        <x:v>50</x:v>
      </x:c>
      <x:c r="H388" s="12" t="n">
        <x:f>IF(A388="","",'Agenda'!$B$6)</x:f>
        <x:v>10</x:v>
      </x:c>
      <x:c r="I388" s="24" t="n">
        <x:f>IF(A388="","",C388+G388/1440)</x:f>
        <x:v>0.6597222222222222</x:v>
      </x:c>
      <x:c r="J388" s="24" t="n">
        <x:f>IF(A388="","",C388+(G388+H388)/1440)</x:f>
        <x:v>0.6666666666666666</x:v>
      </x:c>
      <x:c r="K388" s="27" t="n">
        <x:f>IF(A388="","",IF(E388&lt;&gt;"sim",0,COUNTIFS($B$2:$B$501,B388,$F$2:$F$501,F388,$E$2:$E$501,"sim",$C$2:$C$501,"&lt;"&amp;J388,$J$2:$J$501,"&gt;"&amp;C388)-1))</x:f>
        <x:v>0</x:v>
      </x:c>
      <x:c r="L388" s="27" t="n">
        <x:f>IF(A388="","",IF(E388&lt;&gt;"sim",0,COUNTIFS($B$2:$B$501,B388,$A$2:$A$501,A388,$E$2:$E$501,"sim",$C$2:$C$501,"&lt;"&amp;J388,$J$2:$J$501,"&gt;"&amp;C388)-1))</x:f>
        <x:v>0</x:v>
      </x:c>
      <x:c r="M388" s="2" t="str">
        <x:f>IF(A388="","",IF(E388&lt;&gt;"sim","Revisar escala",IF(OR(K388&gt;0,L388&gt;0),"Conflito de escala",IF(COUNTIFS('Solicitacoes'!$F$2:$F$501,B388,'Solicitacoes'!$K$2:$K$501,F388,'Solicitacoes'!$I$2:$I$501,"pendente",'Solicitacoes'!$G$2:$G$501,"&lt;"&amp;J388,'Solicitacoes'!$N$2:$N$501,"&gt;"&amp;C388)+COUNTIFS('Solicitacoes'!$F$2:$F$501,B388,'Solicitacoes'!$E$2:$E$501,A388,'Solicitacoes'!$I$2:$I$501,"pendente",'Solicitacoes'!$G$2:$G$501,"&lt;"&amp;J388,'Solicitacoes'!$N$2:$N$501,"&gt;"&amp;C388)+COUNTIFS('Solicitacoes'!$F$2:$F$501,B388,'Solicitacoes'!$K$2:$K$501,F388,'Solicitacoes'!$I$2:$I$501,"confirmado",'Solicitacoes'!$G$2:$G$501,"&lt;"&amp;J388,'Solicitacoes'!$N$2:$N$501,"&gt;"&amp;C388)+COUNTIFS('Solicitacoes'!$F$2:$F$501,B388,'Solicitacoes'!$E$2:$E$501,A388,'Solicitacoes'!$I$2:$I$501,"confirmado",'Solicitacoes'!$G$2:$G$501,"&lt;"&amp;J388,'Solicitacoes'!$N$2:$N$501,"&gt;"&amp;C388)&gt;0,"Ocupado","Disponível"))))</x:f>
        <x:v>Revisar escala</x:v>
      </x:c>
      <x:c r="N388" s="2" t="n">
        <x:f>IF(A388="","",ROW()-1)</x:f>
        <x:v>387</x:v>
      </x:c>
    </x:row>
    <x:row r="389" ht="24" customHeight="1">
      <x:c r="A389" s="13" t="str">
        <x:v>Laura Casanova</x:v>
      </x:c>
      <x:c r="B389" s="14" t="d">
        <x:v>2026-10-28T00:00:00.000Z</x:v>
      </x:c>
      <x:c r="C389" s="26" t="n">
        <x:v>0.625</x:v>
      </x:c>
      <x:c r="D389" s="13" t="str">
        <x:v>presencial</x:v>
      </x:c>
      <x:c r="E389" s="13" t="str">
        <x:v>não</x:v>
      </x:c>
      <x:c r="F389" s="13" t="str">
        <x:v>Sala 2</x:v>
      </x:c>
      <x:c r="G389" s="12" t="n">
        <x:f>IF(A389="","",'Agenda'!$B$5)</x:f>
        <x:v>50</x:v>
      </x:c>
      <x:c r="H389" s="12" t="n">
        <x:f>IF(A389="","",'Agenda'!$B$6)</x:f>
        <x:v>10</x:v>
      </x:c>
      <x:c r="I389" s="24" t="n">
        <x:f>IF(A389="","",C389+G389/1440)</x:f>
        <x:v>0.6597222222222222</x:v>
      </x:c>
      <x:c r="J389" s="24" t="n">
        <x:f>IF(A389="","",C389+(G389+H389)/1440)</x:f>
        <x:v>0.6666666666666666</x:v>
      </x:c>
      <x:c r="K389" s="27" t="n">
        <x:f>IF(A389="","",IF(E389&lt;&gt;"sim",0,COUNTIFS($B$2:$B$501,B389,$F$2:$F$501,F389,$E$2:$E$501,"sim",$C$2:$C$501,"&lt;"&amp;J389,$J$2:$J$501,"&gt;"&amp;C389)-1))</x:f>
        <x:v>0</x:v>
      </x:c>
      <x:c r="L389" s="27" t="n">
        <x:f>IF(A389="","",IF(E389&lt;&gt;"sim",0,COUNTIFS($B$2:$B$501,B389,$A$2:$A$501,A389,$E$2:$E$501,"sim",$C$2:$C$501,"&lt;"&amp;J389,$J$2:$J$501,"&gt;"&amp;C389)-1))</x:f>
        <x:v>0</x:v>
      </x:c>
      <x:c r="M389" s="2" t="str">
        <x:f>IF(A389="","",IF(E389&lt;&gt;"sim","Revisar escala",IF(OR(K389&gt;0,L389&gt;0),"Conflito de escala",IF(COUNTIFS('Solicitacoes'!$F$2:$F$501,B389,'Solicitacoes'!$K$2:$K$501,F389,'Solicitacoes'!$I$2:$I$501,"pendente",'Solicitacoes'!$G$2:$G$501,"&lt;"&amp;J389,'Solicitacoes'!$N$2:$N$501,"&gt;"&amp;C389)+COUNTIFS('Solicitacoes'!$F$2:$F$501,B389,'Solicitacoes'!$E$2:$E$501,A389,'Solicitacoes'!$I$2:$I$501,"pendente",'Solicitacoes'!$G$2:$G$501,"&lt;"&amp;J389,'Solicitacoes'!$N$2:$N$501,"&gt;"&amp;C389)+COUNTIFS('Solicitacoes'!$F$2:$F$501,B389,'Solicitacoes'!$K$2:$K$501,F389,'Solicitacoes'!$I$2:$I$501,"confirmado",'Solicitacoes'!$G$2:$G$501,"&lt;"&amp;J389,'Solicitacoes'!$N$2:$N$501,"&gt;"&amp;C389)+COUNTIFS('Solicitacoes'!$F$2:$F$501,B389,'Solicitacoes'!$E$2:$E$501,A389,'Solicitacoes'!$I$2:$I$501,"confirmado",'Solicitacoes'!$G$2:$G$501,"&lt;"&amp;J389,'Solicitacoes'!$N$2:$N$501,"&gt;"&amp;C389)&gt;0,"Ocupado","Disponível"))))</x:f>
        <x:v>Revisar escala</x:v>
      </x:c>
      <x:c r="N389" s="2" t="n">
        <x:f>IF(A389="","",ROW()-1)</x:f>
        <x:v>388</x:v>
      </x:c>
    </x:row>
    <x:row r="390" ht="24" customHeight="1">
      <x:c r="A390" s="13" t="str">
        <x:v>Géssyca Martins</x:v>
      </x:c>
      <x:c r="B390" s="14" t="d">
        <x:v>2026-10-28T00:00:00.000Z</x:v>
      </x:c>
      <x:c r="C390" s="26" t="n">
        <x:v>0.6666666666666666</x:v>
      </x:c>
      <x:c r="D390" s="13" t="str">
        <x:v>presencial</x:v>
      </x:c>
      <x:c r="E390" s="13" t="str">
        <x:v>não</x:v>
      </x:c>
      <x:c r="F390" s="13" t="str">
        <x:v>Sala 1</x:v>
      </x:c>
      <x:c r="G390" s="12" t="n">
        <x:f>IF(A390="","",'Agenda'!$B$5)</x:f>
        <x:v>50</x:v>
      </x:c>
      <x:c r="H390" s="12" t="n">
        <x:f>IF(A390="","",'Agenda'!$B$6)</x:f>
        <x:v>10</x:v>
      </x:c>
      <x:c r="I390" s="24" t="n">
        <x:f>IF(A390="","",C390+G390/1440)</x:f>
        <x:v>0.7013888888888888</x:v>
      </x:c>
      <x:c r="J390" s="24" t="n">
        <x:f>IF(A390="","",C390+(G390+H390)/1440)</x:f>
        <x:v>0.7083333333333333</x:v>
      </x:c>
      <x:c r="K390" s="27" t="n">
        <x:f>IF(A390="","",IF(E390&lt;&gt;"sim",0,COUNTIFS($B$2:$B$501,B390,$F$2:$F$501,F390,$E$2:$E$501,"sim",$C$2:$C$501,"&lt;"&amp;J390,$J$2:$J$501,"&gt;"&amp;C390)-1))</x:f>
        <x:v>0</x:v>
      </x:c>
      <x:c r="L390" s="27" t="n">
        <x:f>IF(A390="","",IF(E390&lt;&gt;"sim",0,COUNTIFS($B$2:$B$501,B390,$A$2:$A$501,A390,$E$2:$E$501,"sim",$C$2:$C$501,"&lt;"&amp;J390,$J$2:$J$501,"&gt;"&amp;C390)-1))</x:f>
        <x:v>0</x:v>
      </x:c>
      <x:c r="M390" s="2" t="str">
        <x:f>IF(A390="","",IF(E390&lt;&gt;"sim","Revisar escala",IF(OR(K390&gt;0,L390&gt;0),"Conflito de escala",IF(COUNTIFS('Solicitacoes'!$F$2:$F$501,B390,'Solicitacoes'!$K$2:$K$501,F390,'Solicitacoes'!$I$2:$I$501,"pendente",'Solicitacoes'!$G$2:$G$501,"&lt;"&amp;J390,'Solicitacoes'!$N$2:$N$501,"&gt;"&amp;C390)+COUNTIFS('Solicitacoes'!$F$2:$F$501,B390,'Solicitacoes'!$E$2:$E$501,A390,'Solicitacoes'!$I$2:$I$501,"pendente",'Solicitacoes'!$G$2:$G$501,"&lt;"&amp;J390,'Solicitacoes'!$N$2:$N$501,"&gt;"&amp;C390)+COUNTIFS('Solicitacoes'!$F$2:$F$501,B390,'Solicitacoes'!$K$2:$K$501,F390,'Solicitacoes'!$I$2:$I$501,"confirmado",'Solicitacoes'!$G$2:$G$501,"&lt;"&amp;J390,'Solicitacoes'!$N$2:$N$501,"&gt;"&amp;C390)+COUNTIFS('Solicitacoes'!$F$2:$F$501,B390,'Solicitacoes'!$E$2:$E$501,A390,'Solicitacoes'!$I$2:$I$501,"confirmado",'Solicitacoes'!$G$2:$G$501,"&lt;"&amp;J390,'Solicitacoes'!$N$2:$N$501,"&gt;"&amp;C390)&gt;0,"Ocupado","Disponível"))))</x:f>
        <x:v>Revisar escala</x:v>
      </x:c>
      <x:c r="N390" s="2" t="n">
        <x:f>IF(A390="","",ROW()-1)</x:f>
        <x:v>389</x:v>
      </x:c>
    </x:row>
    <x:row r="391" ht="24" customHeight="1">
      <x:c r="A391" s="13" t="str">
        <x:v>Laura Casanova</x:v>
      </x:c>
      <x:c r="B391" s="14" t="d">
        <x:v>2026-10-28T00:00:00.000Z</x:v>
      </x:c>
      <x:c r="C391" s="26" t="n">
        <x:v>0.6666666666666666</x:v>
      </x:c>
      <x:c r="D391" s="13" t="str">
        <x:v>presencial</x:v>
      </x:c>
      <x:c r="E391" s="13" t="str">
        <x:v>não</x:v>
      </x:c>
      <x:c r="F391" s="13" t="str">
        <x:v>Sala 2</x:v>
      </x:c>
      <x:c r="G391" s="12" t="n">
        <x:f>IF(A391="","",'Agenda'!$B$5)</x:f>
        <x:v>50</x:v>
      </x:c>
      <x:c r="H391" s="12" t="n">
        <x:f>IF(A391="","",'Agenda'!$B$6)</x:f>
        <x:v>10</x:v>
      </x:c>
      <x:c r="I391" s="24" t="n">
        <x:f>IF(A391="","",C391+G391/1440)</x:f>
        <x:v>0.7013888888888888</x:v>
      </x:c>
      <x:c r="J391" s="24" t="n">
        <x:f>IF(A391="","",C391+(G391+H391)/1440)</x:f>
        <x:v>0.7083333333333333</x:v>
      </x:c>
      <x:c r="K391" s="27" t="n">
        <x:f>IF(A391="","",IF(E391&lt;&gt;"sim",0,COUNTIFS($B$2:$B$501,B391,$F$2:$F$501,F391,$E$2:$E$501,"sim",$C$2:$C$501,"&lt;"&amp;J391,$J$2:$J$501,"&gt;"&amp;C391)-1))</x:f>
        <x:v>0</x:v>
      </x:c>
      <x:c r="L391" s="27" t="n">
        <x:f>IF(A391="","",IF(E391&lt;&gt;"sim",0,COUNTIFS($B$2:$B$501,B391,$A$2:$A$501,A391,$E$2:$E$501,"sim",$C$2:$C$501,"&lt;"&amp;J391,$J$2:$J$501,"&gt;"&amp;C391)-1))</x:f>
        <x:v>0</x:v>
      </x:c>
      <x:c r="M391" s="2" t="str">
        <x:f>IF(A391="","",IF(E391&lt;&gt;"sim","Revisar escala",IF(OR(K391&gt;0,L391&gt;0),"Conflito de escala",IF(COUNTIFS('Solicitacoes'!$F$2:$F$501,B391,'Solicitacoes'!$K$2:$K$501,F391,'Solicitacoes'!$I$2:$I$501,"pendente",'Solicitacoes'!$G$2:$G$501,"&lt;"&amp;J391,'Solicitacoes'!$N$2:$N$501,"&gt;"&amp;C391)+COUNTIFS('Solicitacoes'!$F$2:$F$501,B391,'Solicitacoes'!$E$2:$E$501,A391,'Solicitacoes'!$I$2:$I$501,"pendente",'Solicitacoes'!$G$2:$G$501,"&lt;"&amp;J391,'Solicitacoes'!$N$2:$N$501,"&gt;"&amp;C391)+COUNTIFS('Solicitacoes'!$F$2:$F$501,B391,'Solicitacoes'!$K$2:$K$501,F391,'Solicitacoes'!$I$2:$I$501,"confirmado",'Solicitacoes'!$G$2:$G$501,"&lt;"&amp;J391,'Solicitacoes'!$N$2:$N$501,"&gt;"&amp;C391)+COUNTIFS('Solicitacoes'!$F$2:$F$501,B391,'Solicitacoes'!$E$2:$E$501,A391,'Solicitacoes'!$I$2:$I$501,"confirmado",'Solicitacoes'!$G$2:$G$501,"&lt;"&amp;J391,'Solicitacoes'!$N$2:$N$501,"&gt;"&amp;C391)&gt;0,"Ocupado","Disponível"))))</x:f>
        <x:v>Revisar escala</x:v>
      </x:c>
      <x:c r="N391" s="2" t="n">
        <x:f>IF(A391="","",ROW()-1)</x:f>
        <x:v>390</x:v>
      </x:c>
    </x:row>
    <x:row r="392" ht="24" customHeight="1">
      <x:c r="A392" s="13" t="str">
        <x:v>Géssyca Martins</x:v>
      </x:c>
      <x:c r="B392" s="14" t="d">
        <x:v>2026-10-28T00:00:00.000Z</x:v>
      </x:c>
      <x:c r="C392" s="26" t="n">
        <x:v>0.7083333333333334</x:v>
      </x:c>
      <x:c r="D392" s="13" t="str">
        <x:v>presencial</x:v>
      </x:c>
      <x:c r="E392" s="13" t="str">
        <x:v>não</x:v>
      </x:c>
      <x:c r="F392" s="13" t="str">
        <x:v>Sala 1</x:v>
      </x:c>
      <x:c r="G392" s="12" t="n">
        <x:f>IF(A392="","",'Agenda'!$B$5)</x:f>
        <x:v>50</x:v>
      </x:c>
      <x:c r="H392" s="12" t="n">
        <x:f>IF(A392="","",'Agenda'!$B$6)</x:f>
        <x:v>10</x:v>
      </x:c>
      <x:c r="I392" s="24" t="n">
        <x:f>IF(A392="","",C392+G392/1440)</x:f>
        <x:v>0.7430555555555556</x:v>
      </x:c>
      <x:c r="J392" s="24" t="n">
        <x:f>IF(A392="","",C392+(G392+H392)/1440)</x:f>
        <x:v>0.75</x:v>
      </x:c>
      <x:c r="K392" s="27" t="n">
        <x:f>IF(A392="","",IF(E392&lt;&gt;"sim",0,COUNTIFS($B$2:$B$501,B392,$F$2:$F$501,F392,$E$2:$E$501,"sim",$C$2:$C$501,"&lt;"&amp;J392,$J$2:$J$501,"&gt;"&amp;C392)-1))</x:f>
        <x:v>0</x:v>
      </x:c>
      <x:c r="L392" s="27" t="n">
        <x:f>IF(A392="","",IF(E392&lt;&gt;"sim",0,COUNTIFS($B$2:$B$501,B392,$A$2:$A$501,A392,$E$2:$E$501,"sim",$C$2:$C$501,"&lt;"&amp;J392,$J$2:$J$501,"&gt;"&amp;C392)-1))</x:f>
        <x:v>0</x:v>
      </x:c>
      <x:c r="M392" s="2" t="str">
        <x:f>IF(A392="","",IF(E392&lt;&gt;"sim","Revisar escala",IF(OR(K392&gt;0,L392&gt;0),"Conflito de escala",IF(COUNTIFS('Solicitacoes'!$F$2:$F$501,B392,'Solicitacoes'!$K$2:$K$501,F392,'Solicitacoes'!$I$2:$I$501,"pendente",'Solicitacoes'!$G$2:$G$501,"&lt;"&amp;J392,'Solicitacoes'!$N$2:$N$501,"&gt;"&amp;C392)+COUNTIFS('Solicitacoes'!$F$2:$F$501,B392,'Solicitacoes'!$E$2:$E$501,A392,'Solicitacoes'!$I$2:$I$501,"pendente",'Solicitacoes'!$G$2:$G$501,"&lt;"&amp;J392,'Solicitacoes'!$N$2:$N$501,"&gt;"&amp;C392)+COUNTIFS('Solicitacoes'!$F$2:$F$501,B392,'Solicitacoes'!$K$2:$K$501,F392,'Solicitacoes'!$I$2:$I$501,"confirmado",'Solicitacoes'!$G$2:$G$501,"&lt;"&amp;J392,'Solicitacoes'!$N$2:$N$501,"&gt;"&amp;C392)+COUNTIFS('Solicitacoes'!$F$2:$F$501,B392,'Solicitacoes'!$E$2:$E$501,A392,'Solicitacoes'!$I$2:$I$501,"confirmado",'Solicitacoes'!$G$2:$G$501,"&lt;"&amp;J392,'Solicitacoes'!$N$2:$N$501,"&gt;"&amp;C392)&gt;0,"Ocupado","Disponível"))))</x:f>
        <x:v>Revisar escala</x:v>
      </x:c>
      <x:c r="N392" s="2" t="n">
        <x:f>IF(A392="","",ROW()-1)</x:f>
        <x:v>391</x:v>
      </x:c>
    </x:row>
    <x:row r="393" ht="24" customHeight="1">
      <x:c r="A393" s="13" t="str">
        <x:v>Laura Casanova</x:v>
      </x:c>
      <x:c r="B393" s="14" t="d">
        <x:v>2026-10-28T00:00:00.000Z</x:v>
      </x:c>
      <x:c r="C393" s="26" t="n">
        <x:v>0.7083333333333334</x:v>
      </x:c>
      <x:c r="D393" s="13" t="str">
        <x:v>presencial</x:v>
      </x:c>
      <x:c r="E393" s="13" t="str">
        <x:v>não</x:v>
      </x:c>
      <x:c r="F393" s="13" t="str">
        <x:v>Sala 2</x:v>
      </x:c>
      <x:c r="G393" s="12" t="n">
        <x:f>IF(A393="","",'Agenda'!$B$5)</x:f>
        <x:v>50</x:v>
      </x:c>
      <x:c r="H393" s="12" t="n">
        <x:f>IF(A393="","",'Agenda'!$B$6)</x:f>
        <x:v>10</x:v>
      </x:c>
      <x:c r="I393" s="24" t="n">
        <x:f>IF(A393="","",C393+G393/1440)</x:f>
        <x:v>0.7430555555555556</x:v>
      </x:c>
      <x:c r="J393" s="24" t="n">
        <x:f>IF(A393="","",C393+(G393+H393)/1440)</x:f>
        <x:v>0.75</x:v>
      </x:c>
      <x:c r="K393" s="27" t="n">
        <x:f>IF(A393="","",IF(E393&lt;&gt;"sim",0,COUNTIFS($B$2:$B$501,B393,$F$2:$F$501,F393,$E$2:$E$501,"sim",$C$2:$C$501,"&lt;"&amp;J393,$J$2:$J$501,"&gt;"&amp;C393)-1))</x:f>
        <x:v>0</x:v>
      </x:c>
      <x:c r="L393" s="27" t="n">
        <x:f>IF(A393="","",IF(E393&lt;&gt;"sim",0,COUNTIFS($B$2:$B$501,B393,$A$2:$A$501,A393,$E$2:$E$501,"sim",$C$2:$C$501,"&lt;"&amp;J393,$J$2:$J$501,"&gt;"&amp;C393)-1))</x:f>
        <x:v>0</x:v>
      </x:c>
      <x:c r="M393" s="2" t="str">
        <x:f>IF(A393="","",IF(E393&lt;&gt;"sim","Revisar escala",IF(OR(K393&gt;0,L393&gt;0),"Conflito de escala",IF(COUNTIFS('Solicitacoes'!$F$2:$F$501,B393,'Solicitacoes'!$K$2:$K$501,F393,'Solicitacoes'!$I$2:$I$501,"pendente",'Solicitacoes'!$G$2:$G$501,"&lt;"&amp;J393,'Solicitacoes'!$N$2:$N$501,"&gt;"&amp;C393)+COUNTIFS('Solicitacoes'!$F$2:$F$501,B393,'Solicitacoes'!$E$2:$E$501,A393,'Solicitacoes'!$I$2:$I$501,"pendente",'Solicitacoes'!$G$2:$G$501,"&lt;"&amp;J393,'Solicitacoes'!$N$2:$N$501,"&gt;"&amp;C393)+COUNTIFS('Solicitacoes'!$F$2:$F$501,B393,'Solicitacoes'!$K$2:$K$501,F393,'Solicitacoes'!$I$2:$I$501,"confirmado",'Solicitacoes'!$G$2:$G$501,"&lt;"&amp;J393,'Solicitacoes'!$N$2:$N$501,"&gt;"&amp;C393)+COUNTIFS('Solicitacoes'!$F$2:$F$501,B393,'Solicitacoes'!$E$2:$E$501,A393,'Solicitacoes'!$I$2:$I$501,"confirmado",'Solicitacoes'!$G$2:$G$501,"&lt;"&amp;J393,'Solicitacoes'!$N$2:$N$501,"&gt;"&amp;C393)&gt;0,"Ocupado","Disponível"))))</x:f>
        <x:v>Revisar escala</x:v>
      </x:c>
      <x:c r="N393" s="2" t="n">
        <x:f>IF(A393="","",ROW()-1)</x:f>
        <x:v>392</x:v>
      </x:c>
    </x:row>
    <x:row r="394" ht="24" customHeight="1">
      <x:c r="A394" s="13" t="str">
        <x:v>Géssyca Martins</x:v>
      </x:c>
      <x:c r="B394" s="14" t="d">
        <x:v>2026-10-28T00:00:00.000Z</x:v>
      </x:c>
      <x:c r="C394" s="26" t="n">
        <x:v>0.75</x:v>
      </x:c>
      <x:c r="D394" s="13" t="str">
        <x:v>presencial</x:v>
      </x:c>
      <x:c r="E394" s="13" t="str">
        <x:v>não</x:v>
      </x:c>
      <x:c r="F394" s="13" t="str">
        <x:v>Sala 1</x:v>
      </x:c>
      <x:c r="G394" s="12" t="n">
        <x:f>IF(A394="","",'Agenda'!$B$5)</x:f>
        <x:v>50</x:v>
      </x:c>
      <x:c r="H394" s="12" t="n">
        <x:f>IF(A394="","",'Agenda'!$B$6)</x:f>
        <x:v>10</x:v>
      </x:c>
      <x:c r="I394" s="24" t="n">
        <x:f>IF(A394="","",C394+G394/1440)</x:f>
        <x:v>0.7847222222222222</x:v>
      </x:c>
      <x:c r="J394" s="24" t="n">
        <x:f>IF(A394="","",C394+(G394+H394)/1440)</x:f>
        <x:v>0.7916666666666666</x:v>
      </x:c>
      <x:c r="K394" s="27" t="n">
        <x:f>IF(A394="","",IF(E394&lt;&gt;"sim",0,COUNTIFS($B$2:$B$501,B394,$F$2:$F$501,F394,$E$2:$E$501,"sim",$C$2:$C$501,"&lt;"&amp;J394,$J$2:$J$501,"&gt;"&amp;C394)-1))</x:f>
        <x:v>0</x:v>
      </x:c>
      <x:c r="L394" s="27" t="n">
        <x:f>IF(A394="","",IF(E394&lt;&gt;"sim",0,COUNTIFS($B$2:$B$501,B394,$A$2:$A$501,A394,$E$2:$E$501,"sim",$C$2:$C$501,"&lt;"&amp;J394,$J$2:$J$501,"&gt;"&amp;C394)-1))</x:f>
        <x:v>0</x:v>
      </x:c>
      <x:c r="M394" s="2" t="str">
        <x:f>IF(A394="","",IF(E394&lt;&gt;"sim","Revisar escala",IF(OR(K394&gt;0,L394&gt;0),"Conflito de escala",IF(COUNTIFS('Solicitacoes'!$F$2:$F$501,B394,'Solicitacoes'!$K$2:$K$501,F394,'Solicitacoes'!$I$2:$I$501,"pendente",'Solicitacoes'!$G$2:$G$501,"&lt;"&amp;J394,'Solicitacoes'!$N$2:$N$501,"&gt;"&amp;C394)+COUNTIFS('Solicitacoes'!$F$2:$F$501,B394,'Solicitacoes'!$E$2:$E$501,A394,'Solicitacoes'!$I$2:$I$501,"pendente",'Solicitacoes'!$G$2:$G$501,"&lt;"&amp;J394,'Solicitacoes'!$N$2:$N$501,"&gt;"&amp;C394)+COUNTIFS('Solicitacoes'!$F$2:$F$501,B394,'Solicitacoes'!$K$2:$K$501,F394,'Solicitacoes'!$I$2:$I$501,"confirmado",'Solicitacoes'!$G$2:$G$501,"&lt;"&amp;J394,'Solicitacoes'!$N$2:$N$501,"&gt;"&amp;C394)+COUNTIFS('Solicitacoes'!$F$2:$F$501,B394,'Solicitacoes'!$E$2:$E$501,A394,'Solicitacoes'!$I$2:$I$501,"confirmado",'Solicitacoes'!$G$2:$G$501,"&lt;"&amp;J394,'Solicitacoes'!$N$2:$N$501,"&gt;"&amp;C394)&gt;0,"Ocupado","Disponível"))))</x:f>
        <x:v>Revisar escala</x:v>
      </x:c>
      <x:c r="N394" s="2" t="n">
        <x:f>IF(A394="","",ROW()-1)</x:f>
        <x:v>393</x:v>
      </x:c>
    </x:row>
    <x:row r="395" ht="24" customHeight="1">
      <x:c r="A395" s="13" t="str">
        <x:v>Laura Casanova</x:v>
      </x:c>
      <x:c r="B395" s="14" t="d">
        <x:v>2026-10-28T00:00:00.000Z</x:v>
      </x:c>
      <x:c r="C395" s="26" t="n">
        <x:v>0.75</x:v>
      </x:c>
      <x:c r="D395" s="13" t="str">
        <x:v>presencial</x:v>
      </x:c>
      <x:c r="E395" s="13" t="str">
        <x:v>não</x:v>
      </x:c>
      <x:c r="F395" s="13" t="str">
        <x:v>Sala 2</x:v>
      </x:c>
      <x:c r="G395" s="12" t="n">
        <x:f>IF(A395="","",'Agenda'!$B$5)</x:f>
        <x:v>50</x:v>
      </x:c>
      <x:c r="H395" s="12" t="n">
        <x:f>IF(A395="","",'Agenda'!$B$6)</x:f>
        <x:v>10</x:v>
      </x:c>
      <x:c r="I395" s="24" t="n">
        <x:f>IF(A395="","",C395+G395/1440)</x:f>
        <x:v>0.7847222222222222</x:v>
      </x:c>
      <x:c r="J395" s="24" t="n">
        <x:f>IF(A395="","",C395+(G395+H395)/1440)</x:f>
        <x:v>0.7916666666666666</x:v>
      </x:c>
      <x:c r="K395" s="27" t="n">
        <x:f>IF(A395="","",IF(E395&lt;&gt;"sim",0,COUNTIFS($B$2:$B$501,B395,$F$2:$F$501,F395,$E$2:$E$501,"sim",$C$2:$C$501,"&lt;"&amp;J395,$J$2:$J$501,"&gt;"&amp;C395)-1))</x:f>
        <x:v>0</x:v>
      </x:c>
      <x:c r="L395" s="27" t="n">
        <x:f>IF(A395="","",IF(E395&lt;&gt;"sim",0,COUNTIFS($B$2:$B$501,B395,$A$2:$A$501,A395,$E$2:$E$501,"sim",$C$2:$C$501,"&lt;"&amp;J395,$J$2:$J$501,"&gt;"&amp;C395)-1))</x:f>
        <x:v>0</x:v>
      </x:c>
      <x:c r="M395" s="2" t="str">
        <x:f>IF(A395="","",IF(E395&lt;&gt;"sim","Revisar escala",IF(OR(K395&gt;0,L395&gt;0),"Conflito de escala",IF(COUNTIFS('Solicitacoes'!$F$2:$F$501,B395,'Solicitacoes'!$K$2:$K$501,F395,'Solicitacoes'!$I$2:$I$501,"pendente",'Solicitacoes'!$G$2:$G$501,"&lt;"&amp;J395,'Solicitacoes'!$N$2:$N$501,"&gt;"&amp;C395)+COUNTIFS('Solicitacoes'!$F$2:$F$501,B395,'Solicitacoes'!$E$2:$E$501,A395,'Solicitacoes'!$I$2:$I$501,"pendente",'Solicitacoes'!$G$2:$G$501,"&lt;"&amp;J395,'Solicitacoes'!$N$2:$N$501,"&gt;"&amp;C395)+COUNTIFS('Solicitacoes'!$F$2:$F$501,B395,'Solicitacoes'!$K$2:$K$501,F395,'Solicitacoes'!$I$2:$I$501,"confirmado",'Solicitacoes'!$G$2:$G$501,"&lt;"&amp;J395,'Solicitacoes'!$N$2:$N$501,"&gt;"&amp;C395)+COUNTIFS('Solicitacoes'!$F$2:$F$501,B395,'Solicitacoes'!$E$2:$E$501,A395,'Solicitacoes'!$I$2:$I$501,"confirmado",'Solicitacoes'!$G$2:$G$501,"&lt;"&amp;J395,'Solicitacoes'!$N$2:$N$501,"&gt;"&amp;C395)&gt;0,"Ocupado","Disponível"))))</x:f>
        <x:v>Revisar escala</x:v>
      </x:c>
      <x:c r="N395" s="2" t="n">
        <x:f>IF(A395="","",ROW()-1)</x:f>
        <x:v>394</x:v>
      </x:c>
    </x:row>
    <x:row r="396" ht="24" customHeight="1">
      <x:c r="A396" s="13" t="str">
        <x:v>Géssyca Martins</x:v>
      </x:c>
      <x:c r="B396" s="14" t="d">
        <x:v>2026-10-28T00:00:00.000Z</x:v>
      </x:c>
      <x:c r="C396" s="26" t="n">
        <x:v>0.7916666666666666</x:v>
      </x:c>
      <x:c r="D396" s="13" t="str">
        <x:v>presencial</x:v>
      </x:c>
      <x:c r="E396" s="13" t="str">
        <x:v>não</x:v>
      </x:c>
      <x:c r="F396" s="13" t="str">
        <x:v>Sala 1</x:v>
      </x:c>
      <x:c r="G396" s="12" t="n">
        <x:f>IF(A396="","",'Agenda'!$B$5)</x:f>
        <x:v>50</x:v>
      </x:c>
      <x:c r="H396" s="12" t="n">
        <x:f>IF(A396="","",'Agenda'!$B$6)</x:f>
        <x:v>10</x:v>
      </x:c>
      <x:c r="I396" s="24" t="n">
        <x:f>IF(A396="","",C396+G396/1440)</x:f>
        <x:v>0.8263888888888888</x:v>
      </x:c>
      <x:c r="J396" s="24" t="n">
        <x:f>IF(A396="","",C396+(G396+H396)/1440)</x:f>
        <x:v>0.8333333333333333</x:v>
      </x:c>
      <x:c r="K396" s="27" t="n">
        <x:f>IF(A396="","",IF(E396&lt;&gt;"sim",0,COUNTIFS($B$2:$B$501,B396,$F$2:$F$501,F396,$E$2:$E$501,"sim",$C$2:$C$501,"&lt;"&amp;J396,$J$2:$J$501,"&gt;"&amp;C396)-1))</x:f>
        <x:v>0</x:v>
      </x:c>
      <x:c r="L396" s="27" t="n">
        <x:f>IF(A396="","",IF(E396&lt;&gt;"sim",0,COUNTIFS($B$2:$B$501,B396,$A$2:$A$501,A396,$E$2:$E$501,"sim",$C$2:$C$501,"&lt;"&amp;J396,$J$2:$J$501,"&gt;"&amp;C396)-1))</x:f>
        <x:v>0</x:v>
      </x:c>
      <x:c r="M396" s="2" t="str">
        <x:f>IF(A396="","",IF(E396&lt;&gt;"sim","Revisar escala",IF(OR(K396&gt;0,L396&gt;0),"Conflito de escala",IF(COUNTIFS('Solicitacoes'!$F$2:$F$501,B396,'Solicitacoes'!$K$2:$K$501,F396,'Solicitacoes'!$I$2:$I$501,"pendente",'Solicitacoes'!$G$2:$G$501,"&lt;"&amp;J396,'Solicitacoes'!$N$2:$N$501,"&gt;"&amp;C396)+COUNTIFS('Solicitacoes'!$F$2:$F$501,B396,'Solicitacoes'!$E$2:$E$501,A396,'Solicitacoes'!$I$2:$I$501,"pendente",'Solicitacoes'!$G$2:$G$501,"&lt;"&amp;J396,'Solicitacoes'!$N$2:$N$501,"&gt;"&amp;C396)+COUNTIFS('Solicitacoes'!$F$2:$F$501,B396,'Solicitacoes'!$K$2:$K$501,F396,'Solicitacoes'!$I$2:$I$501,"confirmado",'Solicitacoes'!$G$2:$G$501,"&lt;"&amp;J396,'Solicitacoes'!$N$2:$N$501,"&gt;"&amp;C396)+COUNTIFS('Solicitacoes'!$F$2:$F$501,B396,'Solicitacoes'!$E$2:$E$501,A396,'Solicitacoes'!$I$2:$I$501,"confirmado",'Solicitacoes'!$G$2:$G$501,"&lt;"&amp;J396,'Solicitacoes'!$N$2:$N$501,"&gt;"&amp;C396)&gt;0,"Ocupado","Disponível"))))</x:f>
        <x:v>Revisar escala</x:v>
      </x:c>
      <x:c r="N396" s="2" t="n">
        <x:f>IF(A396="","",ROW()-1)</x:f>
        <x:v>395</x:v>
      </x:c>
    </x:row>
    <x:row r="397" ht="24" customHeight="1">
      <x:c r="A397" s="13" t="str">
        <x:v>Laura Casanova</x:v>
      </x:c>
      <x:c r="B397" s="14" t="d">
        <x:v>2026-10-28T00:00:00.000Z</x:v>
      </x:c>
      <x:c r="C397" s="26" t="n">
        <x:v>0.7916666666666666</x:v>
      </x:c>
      <x:c r="D397" s="13" t="str">
        <x:v>presencial</x:v>
      </x:c>
      <x:c r="E397" s="13" t="str">
        <x:v>não</x:v>
      </x:c>
      <x:c r="F397" s="13" t="str">
        <x:v>Sala 2</x:v>
      </x:c>
      <x:c r="G397" s="12" t="n">
        <x:f>IF(A397="","",'Agenda'!$B$5)</x:f>
        <x:v>50</x:v>
      </x:c>
      <x:c r="H397" s="12" t="n">
        <x:f>IF(A397="","",'Agenda'!$B$6)</x:f>
        <x:v>10</x:v>
      </x:c>
      <x:c r="I397" s="24" t="n">
        <x:f>IF(A397="","",C397+G397/1440)</x:f>
        <x:v>0.8263888888888888</x:v>
      </x:c>
      <x:c r="J397" s="24" t="n">
        <x:f>IF(A397="","",C397+(G397+H397)/1440)</x:f>
        <x:v>0.8333333333333333</x:v>
      </x:c>
      <x:c r="K397" s="27" t="n">
        <x:f>IF(A397="","",IF(E397&lt;&gt;"sim",0,COUNTIFS($B$2:$B$501,B397,$F$2:$F$501,F397,$E$2:$E$501,"sim",$C$2:$C$501,"&lt;"&amp;J397,$J$2:$J$501,"&gt;"&amp;C397)-1))</x:f>
        <x:v>0</x:v>
      </x:c>
      <x:c r="L397" s="27" t="n">
        <x:f>IF(A397="","",IF(E397&lt;&gt;"sim",0,COUNTIFS($B$2:$B$501,B397,$A$2:$A$501,A397,$E$2:$E$501,"sim",$C$2:$C$501,"&lt;"&amp;J397,$J$2:$J$501,"&gt;"&amp;C397)-1))</x:f>
        <x:v>0</x:v>
      </x:c>
      <x:c r="M397" s="2" t="str">
        <x:f>IF(A397="","",IF(E397&lt;&gt;"sim","Revisar escala",IF(OR(K397&gt;0,L397&gt;0),"Conflito de escala",IF(COUNTIFS('Solicitacoes'!$F$2:$F$501,B397,'Solicitacoes'!$K$2:$K$501,F397,'Solicitacoes'!$I$2:$I$501,"pendente",'Solicitacoes'!$G$2:$G$501,"&lt;"&amp;J397,'Solicitacoes'!$N$2:$N$501,"&gt;"&amp;C397)+COUNTIFS('Solicitacoes'!$F$2:$F$501,B397,'Solicitacoes'!$E$2:$E$501,A397,'Solicitacoes'!$I$2:$I$501,"pendente",'Solicitacoes'!$G$2:$G$501,"&lt;"&amp;J397,'Solicitacoes'!$N$2:$N$501,"&gt;"&amp;C397)+COUNTIFS('Solicitacoes'!$F$2:$F$501,B397,'Solicitacoes'!$K$2:$K$501,F397,'Solicitacoes'!$I$2:$I$501,"confirmado",'Solicitacoes'!$G$2:$G$501,"&lt;"&amp;J397,'Solicitacoes'!$N$2:$N$501,"&gt;"&amp;C397)+COUNTIFS('Solicitacoes'!$F$2:$F$501,B397,'Solicitacoes'!$E$2:$E$501,A397,'Solicitacoes'!$I$2:$I$501,"confirmado",'Solicitacoes'!$G$2:$G$501,"&lt;"&amp;J397,'Solicitacoes'!$N$2:$N$501,"&gt;"&amp;C397)&gt;0,"Ocupado","Disponível"))))</x:f>
        <x:v>Revisar escala</x:v>
      </x:c>
      <x:c r="N397" s="2" t="n">
        <x:f>IF(A397="","",ROW()-1)</x:f>
        <x:v>396</x:v>
      </x:c>
    </x:row>
    <x:row r="398" ht="24" customHeight="1">
      <x:c r="A398" s="13" t="str">
        <x:v>Aline Reis</x:v>
      </x:c>
      <x:c r="B398" s="14" t="d">
        <x:v>2026-10-29T00:00:00.000Z</x:v>
      </x:c>
      <x:c r="C398" s="26" t="n">
        <x:v>0.375</x:v>
      </x:c>
      <x:c r="D398" s="13" t="str">
        <x:v>presencial</x:v>
      </x:c>
      <x:c r="E398" s="13" t="str">
        <x:v>não</x:v>
      </x:c>
      <x:c r="F398" s="13" t="str">
        <x:v>Sala 1</x:v>
      </x:c>
      <x:c r="G398" s="12" t="n">
        <x:f>IF(A398="","",'Agenda'!$B$5)</x:f>
        <x:v>50</x:v>
      </x:c>
      <x:c r="H398" s="12" t="n">
        <x:f>IF(A398="","",'Agenda'!$B$6)</x:f>
        <x:v>10</x:v>
      </x:c>
      <x:c r="I398" s="24" t="n">
        <x:f>IF(A398="","",C398+G398/1440)</x:f>
        <x:v>0.4097222222222222</x:v>
      </x:c>
      <x:c r="J398" s="24" t="n">
        <x:f>IF(A398="","",C398+(G398+H398)/1440)</x:f>
        <x:v>0.4166666666666667</x:v>
      </x:c>
      <x:c r="K398" s="27" t="n">
        <x:f>IF(A398="","",IF(E398&lt;&gt;"sim",0,COUNTIFS($B$2:$B$501,B398,$F$2:$F$501,F398,$E$2:$E$501,"sim",$C$2:$C$501,"&lt;"&amp;J398,$J$2:$J$501,"&gt;"&amp;C398)-1))</x:f>
        <x:v>0</x:v>
      </x:c>
      <x:c r="L398" s="27" t="n">
        <x:f>IF(A398="","",IF(E398&lt;&gt;"sim",0,COUNTIFS($B$2:$B$501,B398,$A$2:$A$501,A398,$E$2:$E$501,"sim",$C$2:$C$501,"&lt;"&amp;J398,$J$2:$J$501,"&gt;"&amp;C398)-1))</x:f>
        <x:v>0</x:v>
      </x:c>
      <x:c r="M398" s="2" t="str">
        <x:f>IF(A398="","",IF(E398&lt;&gt;"sim","Revisar escala",IF(OR(K398&gt;0,L398&gt;0),"Conflito de escala",IF(COUNTIFS('Solicitacoes'!$F$2:$F$501,B398,'Solicitacoes'!$K$2:$K$501,F398,'Solicitacoes'!$I$2:$I$501,"pendente",'Solicitacoes'!$G$2:$G$501,"&lt;"&amp;J398,'Solicitacoes'!$N$2:$N$501,"&gt;"&amp;C398)+COUNTIFS('Solicitacoes'!$F$2:$F$501,B398,'Solicitacoes'!$E$2:$E$501,A398,'Solicitacoes'!$I$2:$I$501,"pendente",'Solicitacoes'!$G$2:$G$501,"&lt;"&amp;J398,'Solicitacoes'!$N$2:$N$501,"&gt;"&amp;C398)+COUNTIFS('Solicitacoes'!$F$2:$F$501,B398,'Solicitacoes'!$K$2:$K$501,F398,'Solicitacoes'!$I$2:$I$501,"confirmado",'Solicitacoes'!$G$2:$G$501,"&lt;"&amp;J398,'Solicitacoes'!$N$2:$N$501,"&gt;"&amp;C398)+COUNTIFS('Solicitacoes'!$F$2:$F$501,B398,'Solicitacoes'!$E$2:$E$501,A398,'Solicitacoes'!$I$2:$I$501,"confirmado",'Solicitacoes'!$G$2:$G$501,"&lt;"&amp;J398,'Solicitacoes'!$N$2:$N$501,"&gt;"&amp;C398)&gt;0,"Ocupado","Disponível"))))</x:f>
        <x:v>Revisar escala</x:v>
      </x:c>
      <x:c r="N398" s="2" t="n">
        <x:f>IF(A398="","",ROW()-1)</x:f>
        <x:v>397</x:v>
      </x:c>
    </x:row>
    <x:row r="399" ht="24" customHeight="1">
      <x:c r="A399" s="13" t="str">
        <x:v>Géssyca Martins</x:v>
      </x:c>
      <x:c r="B399" s="14" t="d">
        <x:v>2026-10-29T00:00:00.000Z</x:v>
      </x:c>
      <x:c r="C399" s="26" t="n">
        <x:v>0.375</x:v>
      </x:c>
      <x:c r="D399" s="13" t="str">
        <x:v>presencial</x:v>
      </x:c>
      <x:c r="E399" s="13" t="str">
        <x:v>não</x:v>
      </x:c>
      <x:c r="F399" s="13" t="str">
        <x:v>Sala 2</x:v>
      </x:c>
      <x:c r="G399" s="12" t="n">
        <x:f>IF(A399="","",'Agenda'!$B$5)</x:f>
        <x:v>50</x:v>
      </x:c>
      <x:c r="H399" s="12" t="n">
        <x:f>IF(A399="","",'Agenda'!$B$6)</x:f>
        <x:v>10</x:v>
      </x:c>
      <x:c r="I399" s="24" t="n">
        <x:f>IF(A399="","",C399+G399/1440)</x:f>
        <x:v>0.4097222222222222</x:v>
      </x:c>
      <x:c r="J399" s="24" t="n">
        <x:f>IF(A399="","",C399+(G399+H399)/1440)</x:f>
        <x:v>0.4166666666666667</x:v>
      </x:c>
      <x:c r="K399" s="27" t="n">
        <x:f>IF(A399="","",IF(E399&lt;&gt;"sim",0,COUNTIFS($B$2:$B$501,B399,$F$2:$F$501,F399,$E$2:$E$501,"sim",$C$2:$C$501,"&lt;"&amp;J399,$J$2:$J$501,"&gt;"&amp;C399)-1))</x:f>
        <x:v>0</x:v>
      </x:c>
      <x:c r="L399" s="27" t="n">
        <x:f>IF(A399="","",IF(E399&lt;&gt;"sim",0,COUNTIFS($B$2:$B$501,B399,$A$2:$A$501,A399,$E$2:$E$501,"sim",$C$2:$C$501,"&lt;"&amp;J399,$J$2:$J$501,"&gt;"&amp;C399)-1))</x:f>
        <x:v>0</x:v>
      </x:c>
      <x:c r="M399" s="2" t="str">
        <x:f>IF(A399="","",IF(E399&lt;&gt;"sim","Revisar escala",IF(OR(K399&gt;0,L399&gt;0),"Conflito de escala",IF(COUNTIFS('Solicitacoes'!$F$2:$F$501,B399,'Solicitacoes'!$K$2:$K$501,F399,'Solicitacoes'!$I$2:$I$501,"pendente",'Solicitacoes'!$G$2:$G$501,"&lt;"&amp;J399,'Solicitacoes'!$N$2:$N$501,"&gt;"&amp;C399)+COUNTIFS('Solicitacoes'!$F$2:$F$501,B399,'Solicitacoes'!$E$2:$E$501,A399,'Solicitacoes'!$I$2:$I$501,"pendente",'Solicitacoes'!$G$2:$G$501,"&lt;"&amp;J399,'Solicitacoes'!$N$2:$N$501,"&gt;"&amp;C399)+COUNTIFS('Solicitacoes'!$F$2:$F$501,B399,'Solicitacoes'!$K$2:$K$501,F399,'Solicitacoes'!$I$2:$I$501,"confirmado",'Solicitacoes'!$G$2:$G$501,"&lt;"&amp;J399,'Solicitacoes'!$N$2:$N$501,"&gt;"&amp;C399)+COUNTIFS('Solicitacoes'!$F$2:$F$501,B399,'Solicitacoes'!$E$2:$E$501,A399,'Solicitacoes'!$I$2:$I$501,"confirmado",'Solicitacoes'!$G$2:$G$501,"&lt;"&amp;J399,'Solicitacoes'!$N$2:$N$501,"&gt;"&amp;C399)&gt;0,"Ocupado","Disponível"))))</x:f>
        <x:v>Revisar escala</x:v>
      </x:c>
      <x:c r="N399" s="2" t="n">
        <x:f>IF(A399="","",ROW()-1)</x:f>
        <x:v>398</x:v>
      </x:c>
    </x:row>
    <x:row r="400" ht="24" customHeight="1">
      <x:c r="A400" s="13" t="str">
        <x:v>Aline Reis</x:v>
      </x:c>
      <x:c r="B400" s="14" t="d">
        <x:v>2026-10-29T00:00:00.000Z</x:v>
      </x:c>
      <x:c r="C400" s="26" t="n">
        <x:v>0.4166666666666667</x:v>
      </x:c>
      <x:c r="D400" s="13" t="str">
        <x:v>presencial</x:v>
      </x:c>
      <x:c r="E400" s="13" t="str">
        <x:v>não</x:v>
      </x:c>
      <x:c r="F400" s="13" t="str">
        <x:v>Sala 1</x:v>
      </x:c>
      <x:c r="G400" s="12" t="n">
        <x:f>IF(A400="","",'Agenda'!$B$5)</x:f>
        <x:v>50</x:v>
      </x:c>
      <x:c r="H400" s="12" t="n">
        <x:f>IF(A400="","",'Agenda'!$B$6)</x:f>
        <x:v>10</x:v>
      </x:c>
      <x:c r="I400" s="24" t="n">
        <x:f>IF(A400="","",C400+G400/1440)</x:f>
        <x:v>0.4513888888888889</x:v>
      </x:c>
      <x:c r="J400" s="24" t="n">
        <x:f>IF(A400="","",C400+(G400+H400)/1440)</x:f>
        <x:v>0.45833333333333337</x:v>
      </x:c>
      <x:c r="K400" s="27" t="n">
        <x:f>IF(A400="","",IF(E400&lt;&gt;"sim",0,COUNTIFS($B$2:$B$501,B400,$F$2:$F$501,F400,$E$2:$E$501,"sim",$C$2:$C$501,"&lt;"&amp;J400,$J$2:$J$501,"&gt;"&amp;C400)-1))</x:f>
        <x:v>0</x:v>
      </x:c>
      <x:c r="L400" s="27" t="n">
        <x:f>IF(A400="","",IF(E400&lt;&gt;"sim",0,COUNTIFS($B$2:$B$501,B400,$A$2:$A$501,A400,$E$2:$E$501,"sim",$C$2:$C$501,"&lt;"&amp;J400,$J$2:$J$501,"&gt;"&amp;C400)-1))</x:f>
        <x:v>0</x:v>
      </x:c>
      <x:c r="M400" s="2" t="str">
        <x:f>IF(A400="","",IF(E400&lt;&gt;"sim","Revisar escala",IF(OR(K400&gt;0,L400&gt;0),"Conflito de escala",IF(COUNTIFS('Solicitacoes'!$F$2:$F$501,B400,'Solicitacoes'!$K$2:$K$501,F400,'Solicitacoes'!$I$2:$I$501,"pendente",'Solicitacoes'!$G$2:$G$501,"&lt;"&amp;J400,'Solicitacoes'!$N$2:$N$501,"&gt;"&amp;C400)+COUNTIFS('Solicitacoes'!$F$2:$F$501,B400,'Solicitacoes'!$E$2:$E$501,A400,'Solicitacoes'!$I$2:$I$501,"pendente",'Solicitacoes'!$G$2:$G$501,"&lt;"&amp;J400,'Solicitacoes'!$N$2:$N$501,"&gt;"&amp;C400)+COUNTIFS('Solicitacoes'!$F$2:$F$501,B400,'Solicitacoes'!$K$2:$K$501,F400,'Solicitacoes'!$I$2:$I$501,"confirmado",'Solicitacoes'!$G$2:$G$501,"&lt;"&amp;J400,'Solicitacoes'!$N$2:$N$501,"&gt;"&amp;C400)+COUNTIFS('Solicitacoes'!$F$2:$F$501,B400,'Solicitacoes'!$E$2:$E$501,A400,'Solicitacoes'!$I$2:$I$501,"confirmado",'Solicitacoes'!$G$2:$G$501,"&lt;"&amp;J400,'Solicitacoes'!$N$2:$N$501,"&gt;"&amp;C400)&gt;0,"Ocupado","Disponível"))))</x:f>
        <x:v>Revisar escala</x:v>
      </x:c>
      <x:c r="N400" s="2" t="n">
        <x:f>IF(A400="","",ROW()-1)</x:f>
        <x:v>399</x:v>
      </x:c>
    </x:row>
    <x:row r="401" ht="24" customHeight="1">
      <x:c r="A401" s="13" t="str">
        <x:v>Géssyca Martins</x:v>
      </x:c>
      <x:c r="B401" s="14" t="d">
        <x:v>2026-10-29T00:00:00.000Z</x:v>
      </x:c>
      <x:c r="C401" s="26" t="n">
        <x:v>0.4166666666666667</x:v>
      </x:c>
      <x:c r="D401" s="13" t="str">
        <x:v>presencial</x:v>
      </x:c>
      <x:c r="E401" s="13" t="str">
        <x:v>não</x:v>
      </x:c>
      <x:c r="F401" s="13" t="str">
        <x:v>Sala 2</x:v>
      </x:c>
      <x:c r="G401" s="12" t="n">
        <x:f>IF(A401="","",'Agenda'!$B$5)</x:f>
        <x:v>50</x:v>
      </x:c>
      <x:c r="H401" s="12" t="n">
        <x:f>IF(A401="","",'Agenda'!$B$6)</x:f>
        <x:v>10</x:v>
      </x:c>
      <x:c r="I401" s="24" t="n">
        <x:f>IF(A401="","",C401+G401/1440)</x:f>
        <x:v>0.4513888888888889</x:v>
      </x:c>
      <x:c r="J401" s="24" t="n">
        <x:f>IF(A401="","",C401+(G401+H401)/1440)</x:f>
        <x:v>0.45833333333333337</x:v>
      </x:c>
      <x:c r="K401" s="27" t="n">
        <x:f>IF(A401="","",IF(E401&lt;&gt;"sim",0,COUNTIFS($B$2:$B$501,B401,$F$2:$F$501,F401,$E$2:$E$501,"sim",$C$2:$C$501,"&lt;"&amp;J401,$J$2:$J$501,"&gt;"&amp;C401)-1))</x:f>
        <x:v>0</x:v>
      </x:c>
      <x:c r="L401" s="27" t="n">
        <x:f>IF(A401="","",IF(E401&lt;&gt;"sim",0,COUNTIFS($B$2:$B$501,B401,$A$2:$A$501,A401,$E$2:$E$501,"sim",$C$2:$C$501,"&lt;"&amp;J401,$J$2:$J$501,"&gt;"&amp;C401)-1))</x:f>
        <x:v>0</x:v>
      </x:c>
      <x:c r="M401" s="2" t="str">
        <x:f>IF(A401="","",IF(E401&lt;&gt;"sim","Revisar escala",IF(OR(K401&gt;0,L401&gt;0),"Conflito de escala",IF(COUNTIFS('Solicitacoes'!$F$2:$F$501,B401,'Solicitacoes'!$K$2:$K$501,F401,'Solicitacoes'!$I$2:$I$501,"pendente",'Solicitacoes'!$G$2:$G$501,"&lt;"&amp;J401,'Solicitacoes'!$N$2:$N$501,"&gt;"&amp;C401)+COUNTIFS('Solicitacoes'!$F$2:$F$501,B401,'Solicitacoes'!$E$2:$E$501,A401,'Solicitacoes'!$I$2:$I$501,"pendente",'Solicitacoes'!$G$2:$G$501,"&lt;"&amp;J401,'Solicitacoes'!$N$2:$N$501,"&gt;"&amp;C401)+COUNTIFS('Solicitacoes'!$F$2:$F$501,B401,'Solicitacoes'!$K$2:$K$501,F401,'Solicitacoes'!$I$2:$I$501,"confirmado",'Solicitacoes'!$G$2:$G$501,"&lt;"&amp;J401,'Solicitacoes'!$N$2:$N$501,"&gt;"&amp;C401)+COUNTIFS('Solicitacoes'!$F$2:$F$501,B401,'Solicitacoes'!$E$2:$E$501,A401,'Solicitacoes'!$I$2:$I$501,"confirmado",'Solicitacoes'!$G$2:$G$501,"&lt;"&amp;J401,'Solicitacoes'!$N$2:$N$501,"&gt;"&amp;C401)&gt;0,"Ocupado","Disponível"))))</x:f>
        <x:v>Revisar escala</x:v>
      </x:c>
      <x:c r="N401" s="2" t="n">
        <x:f>IF(A401="","",ROW()-1)</x:f>
        <x:v>400</x:v>
      </x:c>
    </x:row>
    <x:row r="402" ht="24" customHeight="1">
      <x:c r="A402" s="13" t="str">
        <x:v>Aline Reis</x:v>
      </x:c>
      <x:c r="B402" s="14" t="d">
        <x:v>2026-10-29T00:00:00.000Z</x:v>
      </x:c>
      <x:c r="C402" s="26" t="n">
        <x:v>0.4583333333333333</x:v>
      </x:c>
      <x:c r="D402" s="13" t="str">
        <x:v>presencial</x:v>
      </x:c>
      <x:c r="E402" s="13" t="str">
        <x:v>não</x:v>
      </x:c>
      <x:c r="F402" s="13" t="str">
        <x:v>Sala 1</x:v>
      </x:c>
      <x:c r="G402" s="12" t="n">
        <x:f>IF(A402="","",'Agenda'!$B$5)</x:f>
        <x:v>50</x:v>
      </x:c>
      <x:c r="H402" s="12" t="n">
        <x:f>IF(A402="","",'Agenda'!$B$6)</x:f>
        <x:v>10</x:v>
      </x:c>
      <x:c r="I402" s="24" t="n">
        <x:f>IF(A402="","",C402+G402/1440)</x:f>
        <x:v>0.4930555555555555</x:v>
      </x:c>
      <x:c r="J402" s="24" t="n">
        <x:f>IF(A402="","",C402+(G402+H402)/1440)</x:f>
        <x:v>0.5</x:v>
      </x:c>
      <x:c r="K402" s="27" t="n">
        <x:f>IF(A402="","",IF(E402&lt;&gt;"sim",0,COUNTIFS($B$2:$B$501,B402,$F$2:$F$501,F402,$E$2:$E$501,"sim",$C$2:$C$501,"&lt;"&amp;J402,$J$2:$J$501,"&gt;"&amp;C402)-1))</x:f>
        <x:v>0</x:v>
      </x:c>
      <x:c r="L402" s="27" t="n">
        <x:f>IF(A402="","",IF(E402&lt;&gt;"sim",0,COUNTIFS($B$2:$B$501,B402,$A$2:$A$501,A402,$E$2:$E$501,"sim",$C$2:$C$501,"&lt;"&amp;J402,$J$2:$J$501,"&gt;"&amp;C402)-1))</x:f>
        <x:v>0</x:v>
      </x:c>
      <x:c r="M402" s="2" t="str">
        <x:f>IF(A402="","",IF(E402&lt;&gt;"sim","Revisar escala",IF(OR(K402&gt;0,L402&gt;0),"Conflito de escala",IF(COUNTIFS('Solicitacoes'!$F$2:$F$501,B402,'Solicitacoes'!$K$2:$K$501,F402,'Solicitacoes'!$I$2:$I$501,"pendente",'Solicitacoes'!$G$2:$G$501,"&lt;"&amp;J402,'Solicitacoes'!$N$2:$N$501,"&gt;"&amp;C402)+COUNTIFS('Solicitacoes'!$F$2:$F$501,B402,'Solicitacoes'!$E$2:$E$501,A402,'Solicitacoes'!$I$2:$I$501,"pendente",'Solicitacoes'!$G$2:$G$501,"&lt;"&amp;J402,'Solicitacoes'!$N$2:$N$501,"&gt;"&amp;C402)+COUNTIFS('Solicitacoes'!$F$2:$F$501,B402,'Solicitacoes'!$K$2:$K$501,F402,'Solicitacoes'!$I$2:$I$501,"confirmado",'Solicitacoes'!$G$2:$G$501,"&lt;"&amp;J402,'Solicitacoes'!$N$2:$N$501,"&gt;"&amp;C402)+COUNTIFS('Solicitacoes'!$F$2:$F$501,B402,'Solicitacoes'!$E$2:$E$501,A402,'Solicitacoes'!$I$2:$I$501,"confirmado",'Solicitacoes'!$G$2:$G$501,"&lt;"&amp;J402,'Solicitacoes'!$N$2:$N$501,"&gt;"&amp;C402)&gt;0,"Ocupado","Disponível"))))</x:f>
        <x:v>Revisar escala</x:v>
      </x:c>
      <x:c r="N402" s="2" t="n">
        <x:f>IF(A402="","",ROW()-1)</x:f>
        <x:v>401</x:v>
      </x:c>
    </x:row>
    <x:row r="403" ht="24" customHeight="1">
      <x:c r="A403" s="13" t="str">
        <x:v>Géssyca Martins</x:v>
      </x:c>
      <x:c r="B403" s="14" t="d">
        <x:v>2026-10-29T00:00:00.000Z</x:v>
      </x:c>
      <x:c r="C403" s="26" t="n">
        <x:v>0.4583333333333333</x:v>
      </x:c>
      <x:c r="D403" s="13" t="str">
        <x:v>presencial</x:v>
      </x:c>
      <x:c r="E403" s="13" t="str">
        <x:v>não</x:v>
      </x:c>
      <x:c r="F403" s="13" t="str">
        <x:v>Sala 2</x:v>
      </x:c>
      <x:c r="G403" s="12" t="n">
        <x:f>IF(A403="","",'Agenda'!$B$5)</x:f>
        <x:v>50</x:v>
      </x:c>
      <x:c r="H403" s="12" t="n">
        <x:f>IF(A403="","",'Agenda'!$B$6)</x:f>
        <x:v>10</x:v>
      </x:c>
      <x:c r="I403" s="24" t="n">
        <x:f>IF(A403="","",C403+G403/1440)</x:f>
        <x:v>0.4930555555555555</x:v>
      </x:c>
      <x:c r="J403" s="24" t="n">
        <x:f>IF(A403="","",C403+(G403+H403)/1440)</x:f>
        <x:v>0.5</x:v>
      </x:c>
      <x:c r="K403" s="27" t="n">
        <x:f>IF(A403="","",IF(E403&lt;&gt;"sim",0,COUNTIFS($B$2:$B$501,B403,$F$2:$F$501,F403,$E$2:$E$501,"sim",$C$2:$C$501,"&lt;"&amp;J403,$J$2:$J$501,"&gt;"&amp;C403)-1))</x:f>
        <x:v>0</x:v>
      </x:c>
      <x:c r="L403" s="27" t="n">
        <x:f>IF(A403="","",IF(E403&lt;&gt;"sim",0,COUNTIFS($B$2:$B$501,B403,$A$2:$A$501,A403,$E$2:$E$501,"sim",$C$2:$C$501,"&lt;"&amp;J403,$J$2:$J$501,"&gt;"&amp;C403)-1))</x:f>
        <x:v>0</x:v>
      </x:c>
      <x:c r="M403" s="2" t="str">
        <x:f>IF(A403="","",IF(E403&lt;&gt;"sim","Revisar escala",IF(OR(K403&gt;0,L403&gt;0),"Conflito de escala",IF(COUNTIFS('Solicitacoes'!$F$2:$F$501,B403,'Solicitacoes'!$K$2:$K$501,F403,'Solicitacoes'!$I$2:$I$501,"pendente",'Solicitacoes'!$G$2:$G$501,"&lt;"&amp;J403,'Solicitacoes'!$N$2:$N$501,"&gt;"&amp;C403)+COUNTIFS('Solicitacoes'!$F$2:$F$501,B403,'Solicitacoes'!$E$2:$E$501,A403,'Solicitacoes'!$I$2:$I$501,"pendente",'Solicitacoes'!$G$2:$G$501,"&lt;"&amp;J403,'Solicitacoes'!$N$2:$N$501,"&gt;"&amp;C403)+COUNTIFS('Solicitacoes'!$F$2:$F$501,B403,'Solicitacoes'!$K$2:$K$501,F403,'Solicitacoes'!$I$2:$I$501,"confirmado",'Solicitacoes'!$G$2:$G$501,"&lt;"&amp;J403,'Solicitacoes'!$N$2:$N$501,"&gt;"&amp;C403)+COUNTIFS('Solicitacoes'!$F$2:$F$501,B403,'Solicitacoes'!$E$2:$E$501,A403,'Solicitacoes'!$I$2:$I$501,"confirmado",'Solicitacoes'!$G$2:$G$501,"&lt;"&amp;J403,'Solicitacoes'!$N$2:$N$501,"&gt;"&amp;C403)&gt;0,"Ocupado","Disponível"))))</x:f>
        <x:v>Revisar escala</x:v>
      </x:c>
      <x:c r="N403" s="2" t="n">
        <x:f>IF(A403="","",ROW()-1)</x:f>
        <x:v>402</x:v>
      </x:c>
    </x:row>
    <x:row r="404" ht="24" customHeight="1">
      <x:c r="A404" s="13" t="str">
        <x:v>Aline Reis</x:v>
      </x:c>
      <x:c r="B404" s="14" t="d">
        <x:v>2026-10-29T00:00:00.000Z</x:v>
      </x:c>
      <x:c r="C404" s="26" t="n">
        <x:v>0.5</x:v>
      </x:c>
      <x:c r="D404" s="13" t="str">
        <x:v>presencial</x:v>
      </x:c>
      <x:c r="E404" s="13" t="str">
        <x:v>não</x:v>
      </x:c>
      <x:c r="F404" s="13" t="str">
        <x:v>Sala 1</x:v>
      </x:c>
      <x:c r="G404" s="12" t="n">
        <x:f>IF(A404="","",'Agenda'!$B$5)</x:f>
        <x:v>50</x:v>
      </x:c>
      <x:c r="H404" s="12" t="n">
        <x:f>IF(A404="","",'Agenda'!$B$6)</x:f>
        <x:v>10</x:v>
      </x:c>
      <x:c r="I404" s="24" t="n">
        <x:f>IF(A404="","",C404+G404/1440)</x:f>
        <x:v>0.5347222222222222</x:v>
      </x:c>
      <x:c r="J404" s="24" t="n">
        <x:f>IF(A404="","",C404+(G404+H404)/1440)</x:f>
        <x:v>0.5416666666666666</x:v>
      </x:c>
      <x:c r="K404" s="27" t="n">
        <x:f>IF(A404="","",IF(E404&lt;&gt;"sim",0,COUNTIFS($B$2:$B$501,B404,$F$2:$F$501,F404,$E$2:$E$501,"sim",$C$2:$C$501,"&lt;"&amp;J404,$J$2:$J$501,"&gt;"&amp;C404)-1))</x:f>
        <x:v>0</x:v>
      </x:c>
      <x:c r="L404" s="27" t="n">
        <x:f>IF(A404="","",IF(E404&lt;&gt;"sim",0,COUNTIFS($B$2:$B$501,B404,$A$2:$A$501,A404,$E$2:$E$501,"sim",$C$2:$C$501,"&lt;"&amp;J404,$J$2:$J$501,"&gt;"&amp;C404)-1))</x:f>
        <x:v>0</x:v>
      </x:c>
      <x:c r="M404" s="2" t="str">
        <x:f>IF(A404="","",IF(E404&lt;&gt;"sim","Revisar escala",IF(OR(K404&gt;0,L404&gt;0),"Conflito de escala",IF(COUNTIFS('Solicitacoes'!$F$2:$F$501,B404,'Solicitacoes'!$K$2:$K$501,F404,'Solicitacoes'!$I$2:$I$501,"pendente",'Solicitacoes'!$G$2:$G$501,"&lt;"&amp;J404,'Solicitacoes'!$N$2:$N$501,"&gt;"&amp;C404)+COUNTIFS('Solicitacoes'!$F$2:$F$501,B404,'Solicitacoes'!$E$2:$E$501,A404,'Solicitacoes'!$I$2:$I$501,"pendente",'Solicitacoes'!$G$2:$G$501,"&lt;"&amp;J404,'Solicitacoes'!$N$2:$N$501,"&gt;"&amp;C404)+COUNTIFS('Solicitacoes'!$F$2:$F$501,B404,'Solicitacoes'!$K$2:$K$501,F404,'Solicitacoes'!$I$2:$I$501,"confirmado",'Solicitacoes'!$G$2:$G$501,"&lt;"&amp;J404,'Solicitacoes'!$N$2:$N$501,"&gt;"&amp;C404)+COUNTIFS('Solicitacoes'!$F$2:$F$501,B404,'Solicitacoes'!$E$2:$E$501,A404,'Solicitacoes'!$I$2:$I$501,"confirmado",'Solicitacoes'!$G$2:$G$501,"&lt;"&amp;J404,'Solicitacoes'!$N$2:$N$501,"&gt;"&amp;C404)&gt;0,"Ocupado","Disponível"))))</x:f>
        <x:v>Revisar escala</x:v>
      </x:c>
      <x:c r="N404" s="2" t="n">
        <x:f>IF(A404="","",ROW()-1)</x:f>
        <x:v>403</x:v>
      </x:c>
    </x:row>
    <x:row r="405" ht="24" customHeight="1">
      <x:c r="A405" s="13" t="str">
        <x:v>Géssyca Martins</x:v>
      </x:c>
      <x:c r="B405" s="14" t="d">
        <x:v>2026-10-29T00:00:00.000Z</x:v>
      </x:c>
      <x:c r="C405" s="26" t="n">
        <x:v>0.5</x:v>
      </x:c>
      <x:c r="D405" s="13" t="str">
        <x:v>presencial</x:v>
      </x:c>
      <x:c r="E405" s="13" t="str">
        <x:v>não</x:v>
      </x:c>
      <x:c r="F405" s="13" t="str">
        <x:v>Sala 2</x:v>
      </x:c>
      <x:c r="G405" s="12" t="n">
        <x:f>IF(A405="","",'Agenda'!$B$5)</x:f>
        <x:v>50</x:v>
      </x:c>
      <x:c r="H405" s="12" t="n">
        <x:f>IF(A405="","",'Agenda'!$B$6)</x:f>
        <x:v>10</x:v>
      </x:c>
      <x:c r="I405" s="24" t="n">
        <x:f>IF(A405="","",C405+G405/1440)</x:f>
        <x:v>0.5347222222222222</x:v>
      </x:c>
      <x:c r="J405" s="24" t="n">
        <x:f>IF(A405="","",C405+(G405+H405)/1440)</x:f>
        <x:v>0.5416666666666666</x:v>
      </x:c>
      <x:c r="K405" s="27" t="n">
        <x:f>IF(A405="","",IF(E405&lt;&gt;"sim",0,COUNTIFS($B$2:$B$501,B405,$F$2:$F$501,F405,$E$2:$E$501,"sim",$C$2:$C$501,"&lt;"&amp;J405,$J$2:$J$501,"&gt;"&amp;C405)-1))</x:f>
        <x:v>0</x:v>
      </x:c>
      <x:c r="L405" s="27" t="n">
        <x:f>IF(A405="","",IF(E405&lt;&gt;"sim",0,COUNTIFS($B$2:$B$501,B405,$A$2:$A$501,A405,$E$2:$E$501,"sim",$C$2:$C$501,"&lt;"&amp;J405,$J$2:$J$501,"&gt;"&amp;C405)-1))</x:f>
        <x:v>0</x:v>
      </x:c>
      <x:c r="M405" s="2" t="str">
        <x:f>IF(A405="","",IF(E405&lt;&gt;"sim","Revisar escala",IF(OR(K405&gt;0,L405&gt;0),"Conflito de escala",IF(COUNTIFS('Solicitacoes'!$F$2:$F$501,B405,'Solicitacoes'!$K$2:$K$501,F405,'Solicitacoes'!$I$2:$I$501,"pendente",'Solicitacoes'!$G$2:$G$501,"&lt;"&amp;J405,'Solicitacoes'!$N$2:$N$501,"&gt;"&amp;C405)+COUNTIFS('Solicitacoes'!$F$2:$F$501,B405,'Solicitacoes'!$E$2:$E$501,A405,'Solicitacoes'!$I$2:$I$501,"pendente",'Solicitacoes'!$G$2:$G$501,"&lt;"&amp;J405,'Solicitacoes'!$N$2:$N$501,"&gt;"&amp;C405)+COUNTIFS('Solicitacoes'!$F$2:$F$501,B405,'Solicitacoes'!$K$2:$K$501,F405,'Solicitacoes'!$I$2:$I$501,"confirmado",'Solicitacoes'!$G$2:$G$501,"&lt;"&amp;J405,'Solicitacoes'!$N$2:$N$501,"&gt;"&amp;C405)+COUNTIFS('Solicitacoes'!$F$2:$F$501,B405,'Solicitacoes'!$E$2:$E$501,A405,'Solicitacoes'!$I$2:$I$501,"confirmado",'Solicitacoes'!$G$2:$G$501,"&lt;"&amp;J405,'Solicitacoes'!$N$2:$N$501,"&gt;"&amp;C405)&gt;0,"Ocupado","Disponível"))))</x:f>
        <x:v>Revisar escala</x:v>
      </x:c>
      <x:c r="N405" s="2" t="n">
        <x:f>IF(A405="","",ROW()-1)</x:f>
        <x:v>404</x:v>
      </x:c>
    </x:row>
    <x:row r="406" ht="24" customHeight="1">
      <x:c r="A406" s="13" t="str">
        <x:v>Aline Reis</x:v>
      </x:c>
      <x:c r="B406" s="14" t="d">
        <x:v>2026-10-29T00:00:00.000Z</x:v>
      </x:c>
      <x:c r="C406" s="26" t="n">
        <x:v>0.5416666666666666</x:v>
      </x:c>
      <x:c r="D406" s="13" t="str">
        <x:v>presencial</x:v>
      </x:c>
      <x:c r="E406" s="13" t="str">
        <x:v>não</x:v>
      </x:c>
      <x:c r="F406" s="13" t="str">
        <x:v>Sala 1</x:v>
      </x:c>
      <x:c r="G406" s="12" t="n">
        <x:f>IF(A406="","",'Agenda'!$B$5)</x:f>
        <x:v>50</x:v>
      </x:c>
      <x:c r="H406" s="12" t="n">
        <x:f>IF(A406="","",'Agenda'!$B$6)</x:f>
        <x:v>10</x:v>
      </x:c>
      <x:c r="I406" s="24" t="n">
        <x:f>IF(A406="","",C406+G406/1440)</x:f>
        <x:v>0.5763888888888888</x:v>
      </x:c>
      <x:c r="J406" s="24" t="n">
        <x:f>IF(A406="","",C406+(G406+H406)/1440)</x:f>
        <x:v>0.5833333333333333</x:v>
      </x:c>
      <x:c r="K406" s="27" t="n">
        <x:f>IF(A406="","",IF(E406&lt;&gt;"sim",0,COUNTIFS($B$2:$B$501,B406,$F$2:$F$501,F406,$E$2:$E$501,"sim",$C$2:$C$501,"&lt;"&amp;J406,$J$2:$J$501,"&gt;"&amp;C406)-1))</x:f>
        <x:v>0</x:v>
      </x:c>
      <x:c r="L406" s="27" t="n">
        <x:f>IF(A406="","",IF(E406&lt;&gt;"sim",0,COUNTIFS($B$2:$B$501,B406,$A$2:$A$501,A406,$E$2:$E$501,"sim",$C$2:$C$501,"&lt;"&amp;J406,$J$2:$J$501,"&gt;"&amp;C406)-1))</x:f>
        <x:v>0</x:v>
      </x:c>
      <x:c r="M406" s="2" t="str">
        <x:f>IF(A406="","",IF(E406&lt;&gt;"sim","Revisar escala",IF(OR(K406&gt;0,L406&gt;0),"Conflito de escala",IF(COUNTIFS('Solicitacoes'!$F$2:$F$501,B406,'Solicitacoes'!$K$2:$K$501,F406,'Solicitacoes'!$I$2:$I$501,"pendente",'Solicitacoes'!$G$2:$G$501,"&lt;"&amp;J406,'Solicitacoes'!$N$2:$N$501,"&gt;"&amp;C406)+COUNTIFS('Solicitacoes'!$F$2:$F$501,B406,'Solicitacoes'!$E$2:$E$501,A406,'Solicitacoes'!$I$2:$I$501,"pendente",'Solicitacoes'!$G$2:$G$501,"&lt;"&amp;J406,'Solicitacoes'!$N$2:$N$501,"&gt;"&amp;C406)+COUNTIFS('Solicitacoes'!$F$2:$F$501,B406,'Solicitacoes'!$K$2:$K$501,F406,'Solicitacoes'!$I$2:$I$501,"confirmado",'Solicitacoes'!$G$2:$G$501,"&lt;"&amp;J406,'Solicitacoes'!$N$2:$N$501,"&gt;"&amp;C406)+COUNTIFS('Solicitacoes'!$F$2:$F$501,B406,'Solicitacoes'!$E$2:$E$501,A406,'Solicitacoes'!$I$2:$I$501,"confirmado",'Solicitacoes'!$G$2:$G$501,"&lt;"&amp;J406,'Solicitacoes'!$N$2:$N$501,"&gt;"&amp;C406)&gt;0,"Ocupado","Disponível"))))</x:f>
        <x:v>Revisar escala</x:v>
      </x:c>
      <x:c r="N406" s="2" t="n">
        <x:f>IF(A406="","",ROW()-1)</x:f>
        <x:v>405</x:v>
      </x:c>
    </x:row>
    <x:row r="407" ht="24" customHeight="1">
      <x:c r="A407" s="13" t="str">
        <x:v>Géssyca Martins</x:v>
      </x:c>
      <x:c r="B407" s="14" t="d">
        <x:v>2026-10-29T00:00:00.000Z</x:v>
      </x:c>
      <x:c r="C407" s="26" t="n">
        <x:v>0.5416666666666666</x:v>
      </x:c>
      <x:c r="D407" s="13" t="str">
        <x:v>presencial</x:v>
      </x:c>
      <x:c r="E407" s="13" t="str">
        <x:v>não</x:v>
      </x:c>
      <x:c r="F407" s="13" t="str">
        <x:v>Sala 2</x:v>
      </x:c>
      <x:c r="G407" s="12" t="n">
        <x:f>IF(A407="","",'Agenda'!$B$5)</x:f>
        <x:v>50</x:v>
      </x:c>
      <x:c r="H407" s="12" t="n">
        <x:f>IF(A407="","",'Agenda'!$B$6)</x:f>
        <x:v>10</x:v>
      </x:c>
      <x:c r="I407" s="24" t="n">
        <x:f>IF(A407="","",C407+G407/1440)</x:f>
        <x:v>0.5763888888888888</x:v>
      </x:c>
      <x:c r="J407" s="24" t="n">
        <x:f>IF(A407="","",C407+(G407+H407)/1440)</x:f>
        <x:v>0.5833333333333333</x:v>
      </x:c>
      <x:c r="K407" s="27" t="n">
        <x:f>IF(A407="","",IF(E407&lt;&gt;"sim",0,COUNTIFS($B$2:$B$501,B407,$F$2:$F$501,F407,$E$2:$E$501,"sim",$C$2:$C$501,"&lt;"&amp;J407,$J$2:$J$501,"&gt;"&amp;C407)-1))</x:f>
        <x:v>0</x:v>
      </x:c>
      <x:c r="L407" s="27" t="n">
        <x:f>IF(A407="","",IF(E407&lt;&gt;"sim",0,COUNTIFS($B$2:$B$501,B407,$A$2:$A$501,A407,$E$2:$E$501,"sim",$C$2:$C$501,"&lt;"&amp;J407,$J$2:$J$501,"&gt;"&amp;C407)-1))</x:f>
        <x:v>0</x:v>
      </x:c>
      <x:c r="M407" s="2" t="str">
        <x:f>IF(A407="","",IF(E407&lt;&gt;"sim","Revisar escala",IF(OR(K407&gt;0,L407&gt;0),"Conflito de escala",IF(COUNTIFS('Solicitacoes'!$F$2:$F$501,B407,'Solicitacoes'!$K$2:$K$501,F407,'Solicitacoes'!$I$2:$I$501,"pendente",'Solicitacoes'!$G$2:$G$501,"&lt;"&amp;J407,'Solicitacoes'!$N$2:$N$501,"&gt;"&amp;C407)+COUNTIFS('Solicitacoes'!$F$2:$F$501,B407,'Solicitacoes'!$E$2:$E$501,A407,'Solicitacoes'!$I$2:$I$501,"pendente",'Solicitacoes'!$G$2:$G$501,"&lt;"&amp;J407,'Solicitacoes'!$N$2:$N$501,"&gt;"&amp;C407)+COUNTIFS('Solicitacoes'!$F$2:$F$501,B407,'Solicitacoes'!$K$2:$K$501,F407,'Solicitacoes'!$I$2:$I$501,"confirmado",'Solicitacoes'!$G$2:$G$501,"&lt;"&amp;J407,'Solicitacoes'!$N$2:$N$501,"&gt;"&amp;C407)+COUNTIFS('Solicitacoes'!$F$2:$F$501,B407,'Solicitacoes'!$E$2:$E$501,A407,'Solicitacoes'!$I$2:$I$501,"confirmado",'Solicitacoes'!$G$2:$G$501,"&lt;"&amp;J407,'Solicitacoes'!$N$2:$N$501,"&gt;"&amp;C407)&gt;0,"Ocupado","Disponível"))))</x:f>
        <x:v>Revisar escala</x:v>
      </x:c>
      <x:c r="N407" s="2" t="n">
        <x:f>IF(A407="","",ROW()-1)</x:f>
        <x:v>406</x:v>
      </x:c>
    </x:row>
    <x:row r="408" ht="24" customHeight="1">
      <x:c r="A408" s="13" t="str">
        <x:v>Laura Casanova</x:v>
      </x:c>
      <x:c r="B408" s="14" t="d">
        <x:v>2026-10-29T00:00:00.000Z</x:v>
      </x:c>
      <x:c r="C408" s="26" t="n">
        <x:v>0.5833333333333334</x:v>
      </x:c>
      <x:c r="D408" s="13" t="str">
        <x:v>presencial</x:v>
      </x:c>
      <x:c r="E408" s="13" t="str">
        <x:v>não</x:v>
      </x:c>
      <x:c r="F408" s="13" t="str">
        <x:v>Sala 1</x:v>
      </x:c>
      <x:c r="G408" s="12" t="n">
        <x:f>IF(A408="","",'Agenda'!$B$5)</x:f>
        <x:v>50</x:v>
      </x:c>
      <x:c r="H408" s="12" t="n">
        <x:f>IF(A408="","",'Agenda'!$B$6)</x:f>
        <x:v>10</x:v>
      </x:c>
      <x:c r="I408" s="24" t="n">
        <x:f>IF(A408="","",C408+G408/1440)</x:f>
        <x:v>0.6180555555555556</x:v>
      </x:c>
      <x:c r="J408" s="24" t="n">
        <x:f>IF(A408="","",C408+(G408+H408)/1440)</x:f>
        <x:v>0.625</x:v>
      </x:c>
      <x:c r="K408" s="27" t="n">
        <x:f>IF(A408="","",IF(E408&lt;&gt;"sim",0,COUNTIFS($B$2:$B$501,B408,$F$2:$F$501,F408,$E$2:$E$501,"sim",$C$2:$C$501,"&lt;"&amp;J408,$J$2:$J$501,"&gt;"&amp;C408)-1))</x:f>
        <x:v>0</x:v>
      </x:c>
      <x:c r="L408" s="27" t="n">
        <x:f>IF(A408="","",IF(E408&lt;&gt;"sim",0,COUNTIFS($B$2:$B$501,B408,$A$2:$A$501,A408,$E$2:$E$501,"sim",$C$2:$C$501,"&lt;"&amp;J408,$J$2:$J$501,"&gt;"&amp;C408)-1))</x:f>
        <x:v>0</x:v>
      </x:c>
      <x:c r="M408" s="2" t="str">
        <x:f>IF(A408="","",IF(E408&lt;&gt;"sim","Revisar escala",IF(OR(K408&gt;0,L408&gt;0),"Conflito de escala",IF(COUNTIFS('Solicitacoes'!$F$2:$F$501,B408,'Solicitacoes'!$K$2:$K$501,F408,'Solicitacoes'!$I$2:$I$501,"pendente",'Solicitacoes'!$G$2:$G$501,"&lt;"&amp;J408,'Solicitacoes'!$N$2:$N$501,"&gt;"&amp;C408)+COUNTIFS('Solicitacoes'!$F$2:$F$501,B408,'Solicitacoes'!$E$2:$E$501,A408,'Solicitacoes'!$I$2:$I$501,"pendente",'Solicitacoes'!$G$2:$G$501,"&lt;"&amp;J408,'Solicitacoes'!$N$2:$N$501,"&gt;"&amp;C408)+COUNTIFS('Solicitacoes'!$F$2:$F$501,B408,'Solicitacoes'!$K$2:$K$501,F408,'Solicitacoes'!$I$2:$I$501,"confirmado",'Solicitacoes'!$G$2:$G$501,"&lt;"&amp;J408,'Solicitacoes'!$N$2:$N$501,"&gt;"&amp;C408)+COUNTIFS('Solicitacoes'!$F$2:$F$501,B408,'Solicitacoes'!$E$2:$E$501,A408,'Solicitacoes'!$I$2:$I$501,"confirmado",'Solicitacoes'!$G$2:$G$501,"&lt;"&amp;J408,'Solicitacoes'!$N$2:$N$501,"&gt;"&amp;C408)&gt;0,"Ocupado","Disponível"))))</x:f>
        <x:v>Revisar escala</x:v>
      </x:c>
      <x:c r="N408" s="2" t="n">
        <x:f>IF(A408="","",ROW()-1)</x:f>
        <x:v>407</x:v>
      </x:c>
    </x:row>
    <x:row r="409" ht="24" customHeight="1">
      <x:c r="A409" s="13" t="str">
        <x:v>Aline Reis</x:v>
      </x:c>
      <x:c r="B409" s="14" t="d">
        <x:v>2026-10-29T00:00:00.000Z</x:v>
      </x:c>
      <x:c r="C409" s="26" t="n">
        <x:v>0.5833333333333334</x:v>
      </x:c>
      <x:c r="D409" s="13" t="str">
        <x:v>presencial</x:v>
      </x:c>
      <x:c r="E409" s="13" t="str">
        <x:v>não</x:v>
      </x:c>
      <x:c r="F409" s="13" t="str">
        <x:v>Sala 2</x:v>
      </x:c>
      <x:c r="G409" s="12" t="n">
        <x:f>IF(A409="","",'Agenda'!$B$5)</x:f>
        <x:v>50</x:v>
      </x:c>
      <x:c r="H409" s="12" t="n">
        <x:f>IF(A409="","",'Agenda'!$B$6)</x:f>
        <x:v>10</x:v>
      </x:c>
      <x:c r="I409" s="24" t="n">
        <x:f>IF(A409="","",C409+G409/1440)</x:f>
        <x:v>0.6180555555555556</x:v>
      </x:c>
      <x:c r="J409" s="24" t="n">
        <x:f>IF(A409="","",C409+(G409+H409)/1440)</x:f>
        <x:v>0.625</x:v>
      </x:c>
      <x:c r="K409" s="27" t="n">
        <x:f>IF(A409="","",IF(E409&lt;&gt;"sim",0,COUNTIFS($B$2:$B$501,B409,$F$2:$F$501,F409,$E$2:$E$501,"sim",$C$2:$C$501,"&lt;"&amp;J409,$J$2:$J$501,"&gt;"&amp;C409)-1))</x:f>
        <x:v>0</x:v>
      </x:c>
      <x:c r="L409" s="27" t="n">
        <x:f>IF(A409="","",IF(E409&lt;&gt;"sim",0,COUNTIFS($B$2:$B$501,B409,$A$2:$A$501,A409,$E$2:$E$501,"sim",$C$2:$C$501,"&lt;"&amp;J409,$J$2:$J$501,"&gt;"&amp;C409)-1))</x:f>
        <x:v>0</x:v>
      </x:c>
      <x:c r="M409" s="2" t="str">
        <x:f>IF(A409="","",IF(E409&lt;&gt;"sim","Revisar escala",IF(OR(K409&gt;0,L409&gt;0),"Conflito de escala",IF(COUNTIFS('Solicitacoes'!$F$2:$F$501,B409,'Solicitacoes'!$K$2:$K$501,F409,'Solicitacoes'!$I$2:$I$501,"pendente",'Solicitacoes'!$G$2:$G$501,"&lt;"&amp;J409,'Solicitacoes'!$N$2:$N$501,"&gt;"&amp;C409)+COUNTIFS('Solicitacoes'!$F$2:$F$501,B409,'Solicitacoes'!$E$2:$E$501,A409,'Solicitacoes'!$I$2:$I$501,"pendente",'Solicitacoes'!$G$2:$G$501,"&lt;"&amp;J409,'Solicitacoes'!$N$2:$N$501,"&gt;"&amp;C409)+COUNTIFS('Solicitacoes'!$F$2:$F$501,B409,'Solicitacoes'!$K$2:$K$501,F409,'Solicitacoes'!$I$2:$I$501,"confirmado",'Solicitacoes'!$G$2:$G$501,"&lt;"&amp;J409,'Solicitacoes'!$N$2:$N$501,"&gt;"&amp;C409)+COUNTIFS('Solicitacoes'!$F$2:$F$501,B409,'Solicitacoes'!$E$2:$E$501,A409,'Solicitacoes'!$I$2:$I$501,"confirmado",'Solicitacoes'!$G$2:$G$501,"&lt;"&amp;J409,'Solicitacoes'!$N$2:$N$501,"&gt;"&amp;C409)&gt;0,"Ocupado","Disponível"))))</x:f>
        <x:v>Revisar escala</x:v>
      </x:c>
      <x:c r="N409" s="2" t="n">
        <x:f>IF(A409="","",ROW()-1)</x:f>
        <x:v>408</x:v>
      </x:c>
    </x:row>
    <x:row r="410" ht="24" customHeight="1">
      <x:c r="A410" s="13" t="str">
        <x:v>Laura Casanova</x:v>
      </x:c>
      <x:c r="B410" s="14" t="d">
        <x:v>2026-10-29T00:00:00.000Z</x:v>
      </x:c>
      <x:c r="C410" s="26" t="n">
        <x:v>0.625</x:v>
      </x:c>
      <x:c r="D410" s="13" t="str">
        <x:v>presencial</x:v>
      </x:c>
      <x:c r="E410" s="13" t="str">
        <x:v>não</x:v>
      </x:c>
      <x:c r="F410" s="13" t="str">
        <x:v>Sala 1</x:v>
      </x:c>
      <x:c r="G410" s="12" t="n">
        <x:f>IF(A410="","",'Agenda'!$B$5)</x:f>
        <x:v>50</x:v>
      </x:c>
      <x:c r="H410" s="12" t="n">
        <x:f>IF(A410="","",'Agenda'!$B$6)</x:f>
        <x:v>10</x:v>
      </x:c>
      <x:c r="I410" s="24" t="n">
        <x:f>IF(A410="","",C410+G410/1440)</x:f>
        <x:v>0.6597222222222222</x:v>
      </x:c>
      <x:c r="J410" s="24" t="n">
        <x:f>IF(A410="","",C410+(G410+H410)/1440)</x:f>
        <x:v>0.6666666666666666</x:v>
      </x:c>
      <x:c r="K410" s="27" t="n">
        <x:f>IF(A410="","",IF(E410&lt;&gt;"sim",0,COUNTIFS($B$2:$B$501,B410,$F$2:$F$501,F410,$E$2:$E$501,"sim",$C$2:$C$501,"&lt;"&amp;J410,$J$2:$J$501,"&gt;"&amp;C410)-1))</x:f>
        <x:v>0</x:v>
      </x:c>
      <x:c r="L410" s="27" t="n">
        <x:f>IF(A410="","",IF(E410&lt;&gt;"sim",0,COUNTIFS($B$2:$B$501,B410,$A$2:$A$501,A410,$E$2:$E$501,"sim",$C$2:$C$501,"&lt;"&amp;J410,$J$2:$J$501,"&gt;"&amp;C410)-1))</x:f>
        <x:v>0</x:v>
      </x:c>
      <x:c r="M410" s="2" t="str">
        <x:f>IF(A410="","",IF(E410&lt;&gt;"sim","Revisar escala",IF(OR(K410&gt;0,L410&gt;0),"Conflito de escala",IF(COUNTIFS('Solicitacoes'!$F$2:$F$501,B410,'Solicitacoes'!$K$2:$K$501,F410,'Solicitacoes'!$I$2:$I$501,"pendente",'Solicitacoes'!$G$2:$G$501,"&lt;"&amp;J410,'Solicitacoes'!$N$2:$N$501,"&gt;"&amp;C410)+COUNTIFS('Solicitacoes'!$F$2:$F$501,B410,'Solicitacoes'!$E$2:$E$501,A410,'Solicitacoes'!$I$2:$I$501,"pendente",'Solicitacoes'!$G$2:$G$501,"&lt;"&amp;J410,'Solicitacoes'!$N$2:$N$501,"&gt;"&amp;C410)+COUNTIFS('Solicitacoes'!$F$2:$F$501,B410,'Solicitacoes'!$K$2:$K$501,F410,'Solicitacoes'!$I$2:$I$501,"confirmado",'Solicitacoes'!$G$2:$G$501,"&lt;"&amp;J410,'Solicitacoes'!$N$2:$N$501,"&gt;"&amp;C410)+COUNTIFS('Solicitacoes'!$F$2:$F$501,B410,'Solicitacoes'!$E$2:$E$501,A410,'Solicitacoes'!$I$2:$I$501,"confirmado",'Solicitacoes'!$G$2:$G$501,"&lt;"&amp;J410,'Solicitacoes'!$N$2:$N$501,"&gt;"&amp;C410)&gt;0,"Ocupado","Disponível"))))</x:f>
        <x:v>Revisar escala</x:v>
      </x:c>
      <x:c r="N410" s="2" t="n">
        <x:f>IF(A410="","",ROW()-1)</x:f>
        <x:v>409</x:v>
      </x:c>
    </x:row>
    <x:row r="411" ht="24" customHeight="1">
      <x:c r="A411" s="13" t="str">
        <x:v>Aline Reis</x:v>
      </x:c>
      <x:c r="B411" s="14" t="d">
        <x:v>2026-10-29T00:00:00.000Z</x:v>
      </x:c>
      <x:c r="C411" s="26" t="n">
        <x:v>0.625</x:v>
      </x:c>
      <x:c r="D411" s="13" t="str">
        <x:v>presencial</x:v>
      </x:c>
      <x:c r="E411" s="13" t="str">
        <x:v>não</x:v>
      </x:c>
      <x:c r="F411" s="13" t="str">
        <x:v>Sala 2</x:v>
      </x:c>
      <x:c r="G411" s="12" t="n">
        <x:f>IF(A411="","",'Agenda'!$B$5)</x:f>
        <x:v>50</x:v>
      </x:c>
      <x:c r="H411" s="12" t="n">
        <x:f>IF(A411="","",'Agenda'!$B$6)</x:f>
        <x:v>10</x:v>
      </x:c>
      <x:c r="I411" s="24" t="n">
        <x:f>IF(A411="","",C411+G411/1440)</x:f>
        <x:v>0.6597222222222222</x:v>
      </x:c>
      <x:c r="J411" s="24" t="n">
        <x:f>IF(A411="","",C411+(G411+H411)/1440)</x:f>
        <x:v>0.6666666666666666</x:v>
      </x:c>
      <x:c r="K411" s="27" t="n">
        <x:f>IF(A411="","",IF(E411&lt;&gt;"sim",0,COUNTIFS($B$2:$B$501,B411,$F$2:$F$501,F411,$E$2:$E$501,"sim",$C$2:$C$501,"&lt;"&amp;J411,$J$2:$J$501,"&gt;"&amp;C411)-1))</x:f>
        <x:v>0</x:v>
      </x:c>
      <x:c r="L411" s="27" t="n">
        <x:f>IF(A411="","",IF(E411&lt;&gt;"sim",0,COUNTIFS($B$2:$B$501,B411,$A$2:$A$501,A411,$E$2:$E$501,"sim",$C$2:$C$501,"&lt;"&amp;J411,$J$2:$J$501,"&gt;"&amp;C411)-1))</x:f>
        <x:v>0</x:v>
      </x:c>
      <x:c r="M411" s="2" t="str">
        <x:f>IF(A411="","",IF(E411&lt;&gt;"sim","Revisar escala",IF(OR(K411&gt;0,L411&gt;0),"Conflito de escala",IF(COUNTIFS('Solicitacoes'!$F$2:$F$501,B411,'Solicitacoes'!$K$2:$K$501,F411,'Solicitacoes'!$I$2:$I$501,"pendente",'Solicitacoes'!$G$2:$G$501,"&lt;"&amp;J411,'Solicitacoes'!$N$2:$N$501,"&gt;"&amp;C411)+COUNTIFS('Solicitacoes'!$F$2:$F$501,B411,'Solicitacoes'!$E$2:$E$501,A411,'Solicitacoes'!$I$2:$I$501,"pendente",'Solicitacoes'!$G$2:$G$501,"&lt;"&amp;J411,'Solicitacoes'!$N$2:$N$501,"&gt;"&amp;C411)+COUNTIFS('Solicitacoes'!$F$2:$F$501,B411,'Solicitacoes'!$K$2:$K$501,F411,'Solicitacoes'!$I$2:$I$501,"confirmado",'Solicitacoes'!$G$2:$G$501,"&lt;"&amp;J411,'Solicitacoes'!$N$2:$N$501,"&gt;"&amp;C411)+COUNTIFS('Solicitacoes'!$F$2:$F$501,B411,'Solicitacoes'!$E$2:$E$501,A411,'Solicitacoes'!$I$2:$I$501,"confirmado",'Solicitacoes'!$G$2:$G$501,"&lt;"&amp;J411,'Solicitacoes'!$N$2:$N$501,"&gt;"&amp;C411)&gt;0,"Ocupado","Disponível"))))</x:f>
        <x:v>Revisar escala</x:v>
      </x:c>
      <x:c r="N411" s="2" t="n">
        <x:f>IF(A411="","",ROW()-1)</x:f>
        <x:v>410</x:v>
      </x:c>
    </x:row>
    <x:row r="412" ht="24" customHeight="1">
      <x:c r="A412" s="13" t="str">
        <x:v>Laura Casanova</x:v>
      </x:c>
      <x:c r="B412" s="14" t="d">
        <x:v>2026-10-29T00:00:00.000Z</x:v>
      </x:c>
      <x:c r="C412" s="26" t="n">
        <x:v>0.6666666666666666</x:v>
      </x:c>
      <x:c r="D412" s="13" t="str">
        <x:v>presencial</x:v>
      </x:c>
      <x:c r="E412" s="13" t="str">
        <x:v>não</x:v>
      </x:c>
      <x:c r="F412" s="13" t="str">
        <x:v>Sala 1</x:v>
      </x:c>
      <x:c r="G412" s="12" t="n">
        <x:f>IF(A412="","",'Agenda'!$B$5)</x:f>
        <x:v>50</x:v>
      </x:c>
      <x:c r="H412" s="12" t="n">
        <x:f>IF(A412="","",'Agenda'!$B$6)</x:f>
        <x:v>10</x:v>
      </x:c>
      <x:c r="I412" s="24" t="n">
        <x:f>IF(A412="","",C412+G412/1440)</x:f>
        <x:v>0.7013888888888888</x:v>
      </x:c>
      <x:c r="J412" s="24" t="n">
        <x:f>IF(A412="","",C412+(G412+H412)/1440)</x:f>
        <x:v>0.7083333333333333</x:v>
      </x:c>
      <x:c r="K412" s="27" t="n">
        <x:f>IF(A412="","",IF(E412&lt;&gt;"sim",0,COUNTIFS($B$2:$B$501,B412,$F$2:$F$501,F412,$E$2:$E$501,"sim",$C$2:$C$501,"&lt;"&amp;J412,$J$2:$J$501,"&gt;"&amp;C412)-1))</x:f>
        <x:v>0</x:v>
      </x:c>
      <x:c r="L412" s="27" t="n">
        <x:f>IF(A412="","",IF(E412&lt;&gt;"sim",0,COUNTIFS($B$2:$B$501,B412,$A$2:$A$501,A412,$E$2:$E$501,"sim",$C$2:$C$501,"&lt;"&amp;J412,$J$2:$J$501,"&gt;"&amp;C412)-1))</x:f>
        <x:v>0</x:v>
      </x:c>
      <x:c r="M412" s="2" t="str">
        <x:f>IF(A412="","",IF(E412&lt;&gt;"sim","Revisar escala",IF(OR(K412&gt;0,L412&gt;0),"Conflito de escala",IF(COUNTIFS('Solicitacoes'!$F$2:$F$501,B412,'Solicitacoes'!$K$2:$K$501,F412,'Solicitacoes'!$I$2:$I$501,"pendente",'Solicitacoes'!$G$2:$G$501,"&lt;"&amp;J412,'Solicitacoes'!$N$2:$N$501,"&gt;"&amp;C412)+COUNTIFS('Solicitacoes'!$F$2:$F$501,B412,'Solicitacoes'!$E$2:$E$501,A412,'Solicitacoes'!$I$2:$I$501,"pendente",'Solicitacoes'!$G$2:$G$501,"&lt;"&amp;J412,'Solicitacoes'!$N$2:$N$501,"&gt;"&amp;C412)+COUNTIFS('Solicitacoes'!$F$2:$F$501,B412,'Solicitacoes'!$K$2:$K$501,F412,'Solicitacoes'!$I$2:$I$501,"confirmado",'Solicitacoes'!$G$2:$G$501,"&lt;"&amp;J412,'Solicitacoes'!$N$2:$N$501,"&gt;"&amp;C412)+COUNTIFS('Solicitacoes'!$F$2:$F$501,B412,'Solicitacoes'!$E$2:$E$501,A412,'Solicitacoes'!$I$2:$I$501,"confirmado",'Solicitacoes'!$G$2:$G$501,"&lt;"&amp;J412,'Solicitacoes'!$N$2:$N$501,"&gt;"&amp;C412)&gt;0,"Ocupado","Disponível"))))</x:f>
        <x:v>Revisar escala</x:v>
      </x:c>
      <x:c r="N412" s="2" t="n">
        <x:f>IF(A412="","",ROW()-1)</x:f>
        <x:v>411</x:v>
      </x:c>
    </x:row>
    <x:row r="413" ht="24" customHeight="1">
      <x:c r="A413" s="13" t="str">
        <x:v>Aline Reis</x:v>
      </x:c>
      <x:c r="B413" s="14" t="d">
        <x:v>2026-10-29T00:00:00.000Z</x:v>
      </x:c>
      <x:c r="C413" s="26" t="n">
        <x:v>0.6666666666666666</x:v>
      </x:c>
      <x:c r="D413" s="13" t="str">
        <x:v>presencial</x:v>
      </x:c>
      <x:c r="E413" s="13" t="str">
        <x:v>não</x:v>
      </x:c>
      <x:c r="F413" s="13" t="str">
        <x:v>Sala 2</x:v>
      </x:c>
      <x:c r="G413" s="12" t="n">
        <x:f>IF(A413="","",'Agenda'!$B$5)</x:f>
        <x:v>50</x:v>
      </x:c>
      <x:c r="H413" s="12" t="n">
        <x:f>IF(A413="","",'Agenda'!$B$6)</x:f>
        <x:v>10</x:v>
      </x:c>
      <x:c r="I413" s="24" t="n">
        <x:f>IF(A413="","",C413+G413/1440)</x:f>
        <x:v>0.7013888888888888</x:v>
      </x:c>
      <x:c r="J413" s="24" t="n">
        <x:f>IF(A413="","",C413+(G413+H413)/1440)</x:f>
        <x:v>0.7083333333333333</x:v>
      </x:c>
      <x:c r="K413" s="27" t="n">
        <x:f>IF(A413="","",IF(E413&lt;&gt;"sim",0,COUNTIFS($B$2:$B$501,B413,$F$2:$F$501,F413,$E$2:$E$501,"sim",$C$2:$C$501,"&lt;"&amp;J413,$J$2:$J$501,"&gt;"&amp;C413)-1))</x:f>
        <x:v>0</x:v>
      </x:c>
      <x:c r="L413" s="27" t="n">
        <x:f>IF(A413="","",IF(E413&lt;&gt;"sim",0,COUNTIFS($B$2:$B$501,B413,$A$2:$A$501,A413,$E$2:$E$501,"sim",$C$2:$C$501,"&lt;"&amp;J413,$J$2:$J$501,"&gt;"&amp;C413)-1))</x:f>
        <x:v>0</x:v>
      </x:c>
      <x:c r="M413" s="2" t="str">
        <x:f>IF(A413="","",IF(E413&lt;&gt;"sim","Revisar escala",IF(OR(K413&gt;0,L413&gt;0),"Conflito de escala",IF(COUNTIFS('Solicitacoes'!$F$2:$F$501,B413,'Solicitacoes'!$K$2:$K$501,F413,'Solicitacoes'!$I$2:$I$501,"pendente",'Solicitacoes'!$G$2:$G$501,"&lt;"&amp;J413,'Solicitacoes'!$N$2:$N$501,"&gt;"&amp;C413)+COUNTIFS('Solicitacoes'!$F$2:$F$501,B413,'Solicitacoes'!$E$2:$E$501,A413,'Solicitacoes'!$I$2:$I$501,"pendente",'Solicitacoes'!$G$2:$G$501,"&lt;"&amp;J413,'Solicitacoes'!$N$2:$N$501,"&gt;"&amp;C413)+COUNTIFS('Solicitacoes'!$F$2:$F$501,B413,'Solicitacoes'!$K$2:$K$501,F413,'Solicitacoes'!$I$2:$I$501,"confirmado",'Solicitacoes'!$G$2:$G$501,"&lt;"&amp;J413,'Solicitacoes'!$N$2:$N$501,"&gt;"&amp;C413)+COUNTIFS('Solicitacoes'!$F$2:$F$501,B413,'Solicitacoes'!$E$2:$E$501,A413,'Solicitacoes'!$I$2:$I$501,"confirmado",'Solicitacoes'!$G$2:$G$501,"&lt;"&amp;J413,'Solicitacoes'!$N$2:$N$501,"&gt;"&amp;C413)&gt;0,"Ocupado","Disponível"))))</x:f>
        <x:v>Revisar escala</x:v>
      </x:c>
      <x:c r="N413" s="2" t="n">
        <x:f>IF(A413="","",ROW()-1)</x:f>
        <x:v>412</x:v>
      </x:c>
    </x:row>
    <x:row r="414" ht="24" customHeight="1">
      <x:c r="A414" s="13" t="str">
        <x:v>Laura Casanova</x:v>
      </x:c>
      <x:c r="B414" s="14" t="d">
        <x:v>2026-10-29T00:00:00.000Z</x:v>
      </x:c>
      <x:c r="C414" s="26" t="n">
        <x:v>0.7083333333333334</x:v>
      </x:c>
      <x:c r="D414" s="13" t="str">
        <x:v>presencial</x:v>
      </x:c>
      <x:c r="E414" s="13" t="str">
        <x:v>não</x:v>
      </x:c>
      <x:c r="F414" s="13" t="str">
        <x:v>Sala 1</x:v>
      </x:c>
      <x:c r="G414" s="12" t="n">
        <x:f>IF(A414="","",'Agenda'!$B$5)</x:f>
        <x:v>50</x:v>
      </x:c>
      <x:c r="H414" s="12" t="n">
        <x:f>IF(A414="","",'Agenda'!$B$6)</x:f>
        <x:v>10</x:v>
      </x:c>
      <x:c r="I414" s="24" t="n">
        <x:f>IF(A414="","",C414+G414/1440)</x:f>
        <x:v>0.7430555555555556</x:v>
      </x:c>
      <x:c r="J414" s="24" t="n">
        <x:f>IF(A414="","",C414+(G414+H414)/1440)</x:f>
        <x:v>0.75</x:v>
      </x:c>
      <x:c r="K414" s="27" t="n">
        <x:f>IF(A414="","",IF(E414&lt;&gt;"sim",0,COUNTIFS($B$2:$B$501,B414,$F$2:$F$501,F414,$E$2:$E$501,"sim",$C$2:$C$501,"&lt;"&amp;J414,$J$2:$J$501,"&gt;"&amp;C414)-1))</x:f>
        <x:v>0</x:v>
      </x:c>
      <x:c r="L414" s="27" t="n">
        <x:f>IF(A414="","",IF(E414&lt;&gt;"sim",0,COUNTIFS($B$2:$B$501,B414,$A$2:$A$501,A414,$E$2:$E$501,"sim",$C$2:$C$501,"&lt;"&amp;J414,$J$2:$J$501,"&gt;"&amp;C414)-1))</x:f>
        <x:v>0</x:v>
      </x:c>
      <x:c r="M414" s="2" t="str">
        <x:f>IF(A414="","",IF(E414&lt;&gt;"sim","Revisar escala",IF(OR(K414&gt;0,L414&gt;0),"Conflito de escala",IF(COUNTIFS('Solicitacoes'!$F$2:$F$501,B414,'Solicitacoes'!$K$2:$K$501,F414,'Solicitacoes'!$I$2:$I$501,"pendente",'Solicitacoes'!$G$2:$G$501,"&lt;"&amp;J414,'Solicitacoes'!$N$2:$N$501,"&gt;"&amp;C414)+COUNTIFS('Solicitacoes'!$F$2:$F$501,B414,'Solicitacoes'!$E$2:$E$501,A414,'Solicitacoes'!$I$2:$I$501,"pendente",'Solicitacoes'!$G$2:$G$501,"&lt;"&amp;J414,'Solicitacoes'!$N$2:$N$501,"&gt;"&amp;C414)+COUNTIFS('Solicitacoes'!$F$2:$F$501,B414,'Solicitacoes'!$K$2:$K$501,F414,'Solicitacoes'!$I$2:$I$501,"confirmado",'Solicitacoes'!$G$2:$G$501,"&lt;"&amp;J414,'Solicitacoes'!$N$2:$N$501,"&gt;"&amp;C414)+COUNTIFS('Solicitacoes'!$F$2:$F$501,B414,'Solicitacoes'!$E$2:$E$501,A414,'Solicitacoes'!$I$2:$I$501,"confirmado",'Solicitacoes'!$G$2:$G$501,"&lt;"&amp;J414,'Solicitacoes'!$N$2:$N$501,"&gt;"&amp;C414)&gt;0,"Ocupado","Disponível"))))</x:f>
        <x:v>Revisar escala</x:v>
      </x:c>
      <x:c r="N414" s="2" t="n">
        <x:f>IF(A414="","",ROW()-1)</x:f>
        <x:v>413</x:v>
      </x:c>
    </x:row>
    <x:row r="415" ht="24" customHeight="1">
      <x:c r="A415" s="13" t="str">
        <x:v>Aline Reis</x:v>
      </x:c>
      <x:c r="B415" s="14" t="d">
        <x:v>2026-10-29T00:00:00.000Z</x:v>
      </x:c>
      <x:c r="C415" s="26" t="n">
        <x:v>0.7083333333333334</x:v>
      </x:c>
      <x:c r="D415" s="13" t="str">
        <x:v>presencial</x:v>
      </x:c>
      <x:c r="E415" s="13" t="str">
        <x:v>não</x:v>
      </x:c>
      <x:c r="F415" s="13" t="str">
        <x:v>Sala 2</x:v>
      </x:c>
      <x:c r="G415" s="12" t="n">
        <x:f>IF(A415="","",'Agenda'!$B$5)</x:f>
        <x:v>50</x:v>
      </x:c>
      <x:c r="H415" s="12" t="n">
        <x:f>IF(A415="","",'Agenda'!$B$6)</x:f>
        <x:v>10</x:v>
      </x:c>
      <x:c r="I415" s="24" t="n">
        <x:f>IF(A415="","",C415+G415/1440)</x:f>
        <x:v>0.7430555555555556</x:v>
      </x:c>
      <x:c r="J415" s="24" t="n">
        <x:f>IF(A415="","",C415+(G415+H415)/1440)</x:f>
        <x:v>0.75</x:v>
      </x:c>
      <x:c r="K415" s="27" t="n">
        <x:f>IF(A415="","",IF(E415&lt;&gt;"sim",0,COUNTIFS($B$2:$B$501,B415,$F$2:$F$501,F415,$E$2:$E$501,"sim",$C$2:$C$501,"&lt;"&amp;J415,$J$2:$J$501,"&gt;"&amp;C415)-1))</x:f>
        <x:v>0</x:v>
      </x:c>
      <x:c r="L415" s="27" t="n">
        <x:f>IF(A415="","",IF(E415&lt;&gt;"sim",0,COUNTIFS($B$2:$B$501,B415,$A$2:$A$501,A415,$E$2:$E$501,"sim",$C$2:$C$501,"&lt;"&amp;J415,$J$2:$J$501,"&gt;"&amp;C415)-1))</x:f>
        <x:v>0</x:v>
      </x:c>
      <x:c r="M415" s="2" t="str">
        <x:f>IF(A415="","",IF(E415&lt;&gt;"sim","Revisar escala",IF(OR(K415&gt;0,L415&gt;0),"Conflito de escala",IF(COUNTIFS('Solicitacoes'!$F$2:$F$501,B415,'Solicitacoes'!$K$2:$K$501,F415,'Solicitacoes'!$I$2:$I$501,"pendente",'Solicitacoes'!$G$2:$G$501,"&lt;"&amp;J415,'Solicitacoes'!$N$2:$N$501,"&gt;"&amp;C415)+COUNTIFS('Solicitacoes'!$F$2:$F$501,B415,'Solicitacoes'!$E$2:$E$501,A415,'Solicitacoes'!$I$2:$I$501,"pendente",'Solicitacoes'!$G$2:$G$501,"&lt;"&amp;J415,'Solicitacoes'!$N$2:$N$501,"&gt;"&amp;C415)+COUNTIFS('Solicitacoes'!$F$2:$F$501,B415,'Solicitacoes'!$K$2:$K$501,F415,'Solicitacoes'!$I$2:$I$501,"confirmado",'Solicitacoes'!$G$2:$G$501,"&lt;"&amp;J415,'Solicitacoes'!$N$2:$N$501,"&gt;"&amp;C415)+COUNTIFS('Solicitacoes'!$F$2:$F$501,B415,'Solicitacoes'!$E$2:$E$501,A415,'Solicitacoes'!$I$2:$I$501,"confirmado",'Solicitacoes'!$G$2:$G$501,"&lt;"&amp;J415,'Solicitacoes'!$N$2:$N$501,"&gt;"&amp;C415)&gt;0,"Ocupado","Disponível"))))</x:f>
        <x:v>Revisar escala</x:v>
      </x:c>
      <x:c r="N415" s="2" t="n">
        <x:f>IF(A415="","",ROW()-1)</x:f>
        <x:v>414</x:v>
      </x:c>
    </x:row>
    <x:row r="416" ht="24" customHeight="1">
      <x:c r="A416" s="13" t="str">
        <x:v>Laura Casanova</x:v>
      </x:c>
      <x:c r="B416" s="14" t="d">
        <x:v>2026-10-29T00:00:00.000Z</x:v>
      </x:c>
      <x:c r="C416" s="26" t="n">
        <x:v>0.75</x:v>
      </x:c>
      <x:c r="D416" s="13" t="str">
        <x:v>presencial</x:v>
      </x:c>
      <x:c r="E416" s="13" t="str">
        <x:v>não</x:v>
      </x:c>
      <x:c r="F416" s="13" t="str">
        <x:v>Sala 1</x:v>
      </x:c>
      <x:c r="G416" s="12" t="n">
        <x:f>IF(A416="","",'Agenda'!$B$5)</x:f>
        <x:v>50</x:v>
      </x:c>
      <x:c r="H416" s="12" t="n">
        <x:f>IF(A416="","",'Agenda'!$B$6)</x:f>
        <x:v>10</x:v>
      </x:c>
      <x:c r="I416" s="24" t="n">
        <x:f>IF(A416="","",C416+G416/1440)</x:f>
        <x:v>0.7847222222222222</x:v>
      </x:c>
      <x:c r="J416" s="24" t="n">
        <x:f>IF(A416="","",C416+(G416+H416)/1440)</x:f>
        <x:v>0.7916666666666666</x:v>
      </x:c>
      <x:c r="K416" s="27" t="n">
        <x:f>IF(A416="","",IF(E416&lt;&gt;"sim",0,COUNTIFS($B$2:$B$501,B416,$F$2:$F$501,F416,$E$2:$E$501,"sim",$C$2:$C$501,"&lt;"&amp;J416,$J$2:$J$501,"&gt;"&amp;C416)-1))</x:f>
        <x:v>0</x:v>
      </x:c>
      <x:c r="L416" s="27" t="n">
        <x:f>IF(A416="","",IF(E416&lt;&gt;"sim",0,COUNTIFS($B$2:$B$501,B416,$A$2:$A$501,A416,$E$2:$E$501,"sim",$C$2:$C$501,"&lt;"&amp;J416,$J$2:$J$501,"&gt;"&amp;C416)-1))</x:f>
        <x:v>0</x:v>
      </x:c>
      <x:c r="M416" s="2" t="str">
        <x:f>IF(A416="","",IF(E416&lt;&gt;"sim","Revisar escala",IF(OR(K416&gt;0,L416&gt;0),"Conflito de escala",IF(COUNTIFS('Solicitacoes'!$F$2:$F$501,B416,'Solicitacoes'!$K$2:$K$501,F416,'Solicitacoes'!$I$2:$I$501,"pendente",'Solicitacoes'!$G$2:$G$501,"&lt;"&amp;J416,'Solicitacoes'!$N$2:$N$501,"&gt;"&amp;C416)+COUNTIFS('Solicitacoes'!$F$2:$F$501,B416,'Solicitacoes'!$E$2:$E$501,A416,'Solicitacoes'!$I$2:$I$501,"pendente",'Solicitacoes'!$G$2:$G$501,"&lt;"&amp;J416,'Solicitacoes'!$N$2:$N$501,"&gt;"&amp;C416)+COUNTIFS('Solicitacoes'!$F$2:$F$501,B416,'Solicitacoes'!$K$2:$K$501,F416,'Solicitacoes'!$I$2:$I$501,"confirmado",'Solicitacoes'!$G$2:$G$501,"&lt;"&amp;J416,'Solicitacoes'!$N$2:$N$501,"&gt;"&amp;C416)+COUNTIFS('Solicitacoes'!$F$2:$F$501,B416,'Solicitacoes'!$E$2:$E$501,A416,'Solicitacoes'!$I$2:$I$501,"confirmado",'Solicitacoes'!$G$2:$G$501,"&lt;"&amp;J416,'Solicitacoes'!$N$2:$N$501,"&gt;"&amp;C416)&gt;0,"Ocupado","Disponível"))))</x:f>
        <x:v>Revisar escala</x:v>
      </x:c>
      <x:c r="N416" s="2" t="n">
        <x:f>IF(A416="","",ROW()-1)</x:f>
        <x:v>415</x:v>
      </x:c>
    </x:row>
    <x:row r="417" ht="24" customHeight="1">
      <x:c r="A417" s="13" t="str">
        <x:v>Aline Reis</x:v>
      </x:c>
      <x:c r="B417" s="14" t="d">
        <x:v>2026-10-29T00:00:00.000Z</x:v>
      </x:c>
      <x:c r="C417" s="26" t="n">
        <x:v>0.75</x:v>
      </x:c>
      <x:c r="D417" s="13" t="str">
        <x:v>presencial</x:v>
      </x:c>
      <x:c r="E417" s="13" t="str">
        <x:v>não</x:v>
      </x:c>
      <x:c r="F417" s="13" t="str">
        <x:v>Sala 2</x:v>
      </x:c>
      <x:c r="G417" s="12" t="n">
        <x:f>IF(A417="","",'Agenda'!$B$5)</x:f>
        <x:v>50</x:v>
      </x:c>
      <x:c r="H417" s="12" t="n">
        <x:f>IF(A417="","",'Agenda'!$B$6)</x:f>
        <x:v>10</x:v>
      </x:c>
      <x:c r="I417" s="24" t="n">
        <x:f>IF(A417="","",C417+G417/1440)</x:f>
        <x:v>0.7847222222222222</x:v>
      </x:c>
      <x:c r="J417" s="24" t="n">
        <x:f>IF(A417="","",C417+(G417+H417)/1440)</x:f>
        <x:v>0.7916666666666666</x:v>
      </x:c>
      <x:c r="K417" s="27" t="n">
        <x:f>IF(A417="","",IF(E417&lt;&gt;"sim",0,COUNTIFS($B$2:$B$501,B417,$F$2:$F$501,F417,$E$2:$E$501,"sim",$C$2:$C$501,"&lt;"&amp;J417,$J$2:$J$501,"&gt;"&amp;C417)-1))</x:f>
        <x:v>0</x:v>
      </x:c>
      <x:c r="L417" s="27" t="n">
        <x:f>IF(A417="","",IF(E417&lt;&gt;"sim",0,COUNTIFS($B$2:$B$501,B417,$A$2:$A$501,A417,$E$2:$E$501,"sim",$C$2:$C$501,"&lt;"&amp;J417,$J$2:$J$501,"&gt;"&amp;C417)-1))</x:f>
        <x:v>0</x:v>
      </x:c>
      <x:c r="M417" s="2" t="str">
        <x:f>IF(A417="","",IF(E417&lt;&gt;"sim","Revisar escala",IF(OR(K417&gt;0,L417&gt;0),"Conflito de escala",IF(COUNTIFS('Solicitacoes'!$F$2:$F$501,B417,'Solicitacoes'!$K$2:$K$501,F417,'Solicitacoes'!$I$2:$I$501,"pendente",'Solicitacoes'!$G$2:$G$501,"&lt;"&amp;J417,'Solicitacoes'!$N$2:$N$501,"&gt;"&amp;C417)+COUNTIFS('Solicitacoes'!$F$2:$F$501,B417,'Solicitacoes'!$E$2:$E$501,A417,'Solicitacoes'!$I$2:$I$501,"pendente",'Solicitacoes'!$G$2:$G$501,"&lt;"&amp;J417,'Solicitacoes'!$N$2:$N$501,"&gt;"&amp;C417)+COUNTIFS('Solicitacoes'!$F$2:$F$501,B417,'Solicitacoes'!$K$2:$K$501,F417,'Solicitacoes'!$I$2:$I$501,"confirmado",'Solicitacoes'!$G$2:$G$501,"&lt;"&amp;J417,'Solicitacoes'!$N$2:$N$501,"&gt;"&amp;C417)+COUNTIFS('Solicitacoes'!$F$2:$F$501,B417,'Solicitacoes'!$E$2:$E$501,A417,'Solicitacoes'!$I$2:$I$501,"confirmado",'Solicitacoes'!$G$2:$G$501,"&lt;"&amp;J417,'Solicitacoes'!$N$2:$N$501,"&gt;"&amp;C417)&gt;0,"Ocupado","Disponível"))))</x:f>
        <x:v>Revisar escala</x:v>
      </x:c>
      <x:c r="N417" s="2" t="n">
        <x:f>IF(A417="","",ROW()-1)</x:f>
        <x:v>416</x:v>
      </x:c>
    </x:row>
    <x:row r="418" ht="24" customHeight="1">
      <x:c r="A418" s="13" t="str">
        <x:v>Laura Casanova</x:v>
      </x:c>
      <x:c r="B418" s="14" t="d">
        <x:v>2026-10-29T00:00:00.000Z</x:v>
      </x:c>
      <x:c r="C418" s="26" t="n">
        <x:v>0.7916666666666666</x:v>
      </x:c>
      <x:c r="D418" s="13" t="str">
        <x:v>presencial</x:v>
      </x:c>
      <x:c r="E418" s="13" t="str">
        <x:v>não</x:v>
      </x:c>
      <x:c r="F418" s="13" t="str">
        <x:v>Sala 1</x:v>
      </x:c>
      <x:c r="G418" s="12" t="n">
        <x:f>IF(A418="","",'Agenda'!$B$5)</x:f>
        <x:v>50</x:v>
      </x:c>
      <x:c r="H418" s="12" t="n">
        <x:f>IF(A418="","",'Agenda'!$B$6)</x:f>
        <x:v>10</x:v>
      </x:c>
      <x:c r="I418" s="24" t="n">
        <x:f>IF(A418="","",C418+G418/1440)</x:f>
        <x:v>0.8263888888888888</x:v>
      </x:c>
      <x:c r="J418" s="24" t="n">
        <x:f>IF(A418="","",C418+(G418+H418)/1440)</x:f>
        <x:v>0.8333333333333333</x:v>
      </x:c>
      <x:c r="K418" s="27" t="n">
        <x:f>IF(A418="","",IF(E418&lt;&gt;"sim",0,COUNTIFS($B$2:$B$501,B418,$F$2:$F$501,F418,$E$2:$E$501,"sim",$C$2:$C$501,"&lt;"&amp;J418,$J$2:$J$501,"&gt;"&amp;C418)-1))</x:f>
        <x:v>0</x:v>
      </x:c>
      <x:c r="L418" s="27" t="n">
        <x:f>IF(A418="","",IF(E418&lt;&gt;"sim",0,COUNTIFS($B$2:$B$501,B418,$A$2:$A$501,A418,$E$2:$E$501,"sim",$C$2:$C$501,"&lt;"&amp;J418,$J$2:$J$501,"&gt;"&amp;C418)-1))</x:f>
        <x:v>0</x:v>
      </x:c>
      <x:c r="M418" s="2" t="str">
        <x:f>IF(A418="","",IF(E418&lt;&gt;"sim","Revisar escala",IF(OR(K418&gt;0,L418&gt;0),"Conflito de escala",IF(COUNTIFS('Solicitacoes'!$F$2:$F$501,B418,'Solicitacoes'!$K$2:$K$501,F418,'Solicitacoes'!$I$2:$I$501,"pendente",'Solicitacoes'!$G$2:$G$501,"&lt;"&amp;J418,'Solicitacoes'!$N$2:$N$501,"&gt;"&amp;C418)+COUNTIFS('Solicitacoes'!$F$2:$F$501,B418,'Solicitacoes'!$E$2:$E$501,A418,'Solicitacoes'!$I$2:$I$501,"pendente",'Solicitacoes'!$G$2:$G$501,"&lt;"&amp;J418,'Solicitacoes'!$N$2:$N$501,"&gt;"&amp;C418)+COUNTIFS('Solicitacoes'!$F$2:$F$501,B418,'Solicitacoes'!$K$2:$K$501,F418,'Solicitacoes'!$I$2:$I$501,"confirmado",'Solicitacoes'!$G$2:$G$501,"&lt;"&amp;J418,'Solicitacoes'!$N$2:$N$501,"&gt;"&amp;C418)+COUNTIFS('Solicitacoes'!$F$2:$F$501,B418,'Solicitacoes'!$E$2:$E$501,A418,'Solicitacoes'!$I$2:$I$501,"confirmado",'Solicitacoes'!$G$2:$G$501,"&lt;"&amp;J418,'Solicitacoes'!$N$2:$N$501,"&gt;"&amp;C418)&gt;0,"Ocupado","Disponível"))))</x:f>
        <x:v>Revisar escala</x:v>
      </x:c>
      <x:c r="N418" s="2" t="n">
        <x:f>IF(A418="","",ROW()-1)</x:f>
        <x:v>417</x:v>
      </x:c>
    </x:row>
    <x:row r="419" ht="24" customHeight="1">
      <x:c r="A419" s="13" t="str">
        <x:v>Aline Reis</x:v>
      </x:c>
      <x:c r="B419" s="14" t="d">
        <x:v>2026-10-29T00:00:00.000Z</x:v>
      </x:c>
      <x:c r="C419" s="26" t="n">
        <x:v>0.7916666666666666</x:v>
      </x:c>
      <x:c r="D419" s="13" t="str">
        <x:v>presencial</x:v>
      </x:c>
      <x:c r="E419" s="13" t="str">
        <x:v>não</x:v>
      </x:c>
      <x:c r="F419" s="13" t="str">
        <x:v>Sala 2</x:v>
      </x:c>
      <x:c r="G419" s="12" t="n">
        <x:f>IF(A419="","",'Agenda'!$B$5)</x:f>
        <x:v>50</x:v>
      </x:c>
      <x:c r="H419" s="12" t="n">
        <x:f>IF(A419="","",'Agenda'!$B$6)</x:f>
        <x:v>10</x:v>
      </x:c>
      <x:c r="I419" s="24" t="n">
        <x:f>IF(A419="","",C419+G419/1440)</x:f>
        <x:v>0.8263888888888888</x:v>
      </x:c>
      <x:c r="J419" s="24" t="n">
        <x:f>IF(A419="","",C419+(G419+H419)/1440)</x:f>
        <x:v>0.8333333333333333</x:v>
      </x:c>
      <x:c r="K419" s="27" t="n">
        <x:f>IF(A419="","",IF(E419&lt;&gt;"sim",0,COUNTIFS($B$2:$B$501,B419,$F$2:$F$501,F419,$E$2:$E$501,"sim",$C$2:$C$501,"&lt;"&amp;J419,$J$2:$J$501,"&gt;"&amp;C419)-1))</x:f>
        <x:v>0</x:v>
      </x:c>
      <x:c r="L419" s="27" t="n">
        <x:f>IF(A419="","",IF(E419&lt;&gt;"sim",0,COUNTIFS($B$2:$B$501,B419,$A$2:$A$501,A419,$E$2:$E$501,"sim",$C$2:$C$501,"&lt;"&amp;J419,$J$2:$J$501,"&gt;"&amp;C419)-1))</x:f>
        <x:v>0</x:v>
      </x:c>
      <x:c r="M419" s="2" t="str">
        <x:f>IF(A419="","",IF(E419&lt;&gt;"sim","Revisar escala",IF(OR(K419&gt;0,L419&gt;0),"Conflito de escala",IF(COUNTIFS('Solicitacoes'!$F$2:$F$501,B419,'Solicitacoes'!$K$2:$K$501,F419,'Solicitacoes'!$I$2:$I$501,"pendente",'Solicitacoes'!$G$2:$G$501,"&lt;"&amp;J419,'Solicitacoes'!$N$2:$N$501,"&gt;"&amp;C419)+COUNTIFS('Solicitacoes'!$F$2:$F$501,B419,'Solicitacoes'!$E$2:$E$501,A419,'Solicitacoes'!$I$2:$I$501,"pendente",'Solicitacoes'!$G$2:$G$501,"&lt;"&amp;J419,'Solicitacoes'!$N$2:$N$501,"&gt;"&amp;C419)+COUNTIFS('Solicitacoes'!$F$2:$F$501,B419,'Solicitacoes'!$K$2:$K$501,F419,'Solicitacoes'!$I$2:$I$501,"confirmado",'Solicitacoes'!$G$2:$G$501,"&lt;"&amp;J419,'Solicitacoes'!$N$2:$N$501,"&gt;"&amp;C419)+COUNTIFS('Solicitacoes'!$F$2:$F$501,B419,'Solicitacoes'!$E$2:$E$501,A419,'Solicitacoes'!$I$2:$I$501,"confirmado",'Solicitacoes'!$G$2:$G$501,"&lt;"&amp;J419,'Solicitacoes'!$N$2:$N$501,"&gt;"&amp;C419)&gt;0,"Ocupado","Disponível"))))</x:f>
        <x:v>Revisar escala</x:v>
      </x:c>
      <x:c r="N419" s="2" t="n">
        <x:f>IF(A419="","",ROW()-1)</x:f>
        <x:v>418</x:v>
      </x:c>
    </x:row>
    <x:row r="420" ht="24" customHeight="1">
      <x:c r="A420" s="13" t="str">
        <x:v>Géssyca Martins</x:v>
      </x:c>
      <x:c r="B420" s="14" t="d">
        <x:v>2026-10-30T00:00:00.000Z</x:v>
      </x:c>
      <x:c r="C420" s="26" t="n">
        <x:v>0.375</x:v>
      </x:c>
      <x:c r="D420" s="13" t="str">
        <x:v>presencial</x:v>
      </x:c>
      <x:c r="E420" s="13" t="str">
        <x:v>não</x:v>
      </x:c>
      <x:c r="F420" s="13" t="str">
        <x:v>Sala 1</x:v>
      </x:c>
      <x:c r="G420" s="12" t="n">
        <x:f>IF(A420="","",'Agenda'!$B$5)</x:f>
        <x:v>50</x:v>
      </x:c>
      <x:c r="H420" s="12" t="n">
        <x:f>IF(A420="","",'Agenda'!$B$6)</x:f>
        <x:v>10</x:v>
      </x:c>
      <x:c r="I420" s="24" t="n">
        <x:f>IF(A420="","",C420+G420/1440)</x:f>
        <x:v>0.4097222222222222</x:v>
      </x:c>
      <x:c r="J420" s="24" t="n">
        <x:f>IF(A420="","",C420+(G420+H420)/1440)</x:f>
        <x:v>0.4166666666666667</x:v>
      </x:c>
      <x:c r="K420" s="27" t="n">
        <x:f>IF(A420="","",IF(E420&lt;&gt;"sim",0,COUNTIFS($B$2:$B$501,B420,$F$2:$F$501,F420,$E$2:$E$501,"sim",$C$2:$C$501,"&lt;"&amp;J420,$J$2:$J$501,"&gt;"&amp;C420)-1))</x:f>
        <x:v>0</x:v>
      </x:c>
      <x:c r="L420" s="27" t="n">
        <x:f>IF(A420="","",IF(E420&lt;&gt;"sim",0,COUNTIFS($B$2:$B$501,B420,$A$2:$A$501,A420,$E$2:$E$501,"sim",$C$2:$C$501,"&lt;"&amp;J420,$J$2:$J$501,"&gt;"&amp;C420)-1))</x:f>
        <x:v>0</x:v>
      </x:c>
      <x:c r="M420" s="2" t="str">
        <x:f>IF(A420="","",IF(E420&lt;&gt;"sim","Revisar escala",IF(OR(K420&gt;0,L420&gt;0),"Conflito de escala",IF(COUNTIFS('Solicitacoes'!$F$2:$F$501,B420,'Solicitacoes'!$K$2:$K$501,F420,'Solicitacoes'!$I$2:$I$501,"pendente",'Solicitacoes'!$G$2:$G$501,"&lt;"&amp;J420,'Solicitacoes'!$N$2:$N$501,"&gt;"&amp;C420)+COUNTIFS('Solicitacoes'!$F$2:$F$501,B420,'Solicitacoes'!$E$2:$E$501,A420,'Solicitacoes'!$I$2:$I$501,"pendente",'Solicitacoes'!$G$2:$G$501,"&lt;"&amp;J420,'Solicitacoes'!$N$2:$N$501,"&gt;"&amp;C420)+COUNTIFS('Solicitacoes'!$F$2:$F$501,B420,'Solicitacoes'!$K$2:$K$501,F420,'Solicitacoes'!$I$2:$I$501,"confirmado",'Solicitacoes'!$G$2:$G$501,"&lt;"&amp;J420,'Solicitacoes'!$N$2:$N$501,"&gt;"&amp;C420)+COUNTIFS('Solicitacoes'!$F$2:$F$501,B420,'Solicitacoes'!$E$2:$E$501,A420,'Solicitacoes'!$I$2:$I$501,"confirmado",'Solicitacoes'!$G$2:$G$501,"&lt;"&amp;J420,'Solicitacoes'!$N$2:$N$501,"&gt;"&amp;C420)&gt;0,"Ocupado","Disponível"))))</x:f>
        <x:v>Revisar escala</x:v>
      </x:c>
      <x:c r="N420" s="2" t="n">
        <x:f>IF(A420="","",ROW()-1)</x:f>
        <x:v>419</x:v>
      </x:c>
    </x:row>
    <x:row r="421" ht="24" customHeight="1">
      <x:c r="A421" s="13" t="str">
        <x:v>Laura Casanova</x:v>
      </x:c>
      <x:c r="B421" s="14" t="d">
        <x:v>2026-10-30T00:00:00.000Z</x:v>
      </x:c>
      <x:c r="C421" s="26" t="n">
        <x:v>0.375</x:v>
      </x:c>
      <x:c r="D421" s="13" t="str">
        <x:v>presencial</x:v>
      </x:c>
      <x:c r="E421" s="13" t="str">
        <x:v>não</x:v>
      </x:c>
      <x:c r="F421" s="13" t="str">
        <x:v>Sala 2</x:v>
      </x:c>
      <x:c r="G421" s="12" t="n">
        <x:f>IF(A421="","",'Agenda'!$B$5)</x:f>
        <x:v>50</x:v>
      </x:c>
      <x:c r="H421" s="12" t="n">
        <x:f>IF(A421="","",'Agenda'!$B$6)</x:f>
        <x:v>10</x:v>
      </x:c>
      <x:c r="I421" s="24" t="n">
        <x:f>IF(A421="","",C421+G421/1440)</x:f>
        <x:v>0.4097222222222222</x:v>
      </x:c>
      <x:c r="J421" s="24" t="n">
        <x:f>IF(A421="","",C421+(G421+H421)/1440)</x:f>
        <x:v>0.4166666666666667</x:v>
      </x:c>
      <x:c r="K421" s="27" t="n">
        <x:f>IF(A421="","",IF(E421&lt;&gt;"sim",0,COUNTIFS($B$2:$B$501,B421,$F$2:$F$501,F421,$E$2:$E$501,"sim",$C$2:$C$501,"&lt;"&amp;J421,$J$2:$J$501,"&gt;"&amp;C421)-1))</x:f>
        <x:v>0</x:v>
      </x:c>
      <x:c r="L421" s="27" t="n">
        <x:f>IF(A421="","",IF(E421&lt;&gt;"sim",0,COUNTIFS($B$2:$B$501,B421,$A$2:$A$501,A421,$E$2:$E$501,"sim",$C$2:$C$501,"&lt;"&amp;J421,$J$2:$J$501,"&gt;"&amp;C421)-1))</x:f>
        <x:v>0</x:v>
      </x:c>
      <x:c r="M421" s="2" t="str">
        <x:f>IF(A421="","",IF(E421&lt;&gt;"sim","Revisar escala",IF(OR(K421&gt;0,L421&gt;0),"Conflito de escala",IF(COUNTIFS('Solicitacoes'!$F$2:$F$501,B421,'Solicitacoes'!$K$2:$K$501,F421,'Solicitacoes'!$I$2:$I$501,"pendente",'Solicitacoes'!$G$2:$G$501,"&lt;"&amp;J421,'Solicitacoes'!$N$2:$N$501,"&gt;"&amp;C421)+COUNTIFS('Solicitacoes'!$F$2:$F$501,B421,'Solicitacoes'!$E$2:$E$501,A421,'Solicitacoes'!$I$2:$I$501,"pendente",'Solicitacoes'!$G$2:$G$501,"&lt;"&amp;J421,'Solicitacoes'!$N$2:$N$501,"&gt;"&amp;C421)+COUNTIFS('Solicitacoes'!$F$2:$F$501,B421,'Solicitacoes'!$K$2:$K$501,F421,'Solicitacoes'!$I$2:$I$501,"confirmado",'Solicitacoes'!$G$2:$G$501,"&lt;"&amp;J421,'Solicitacoes'!$N$2:$N$501,"&gt;"&amp;C421)+COUNTIFS('Solicitacoes'!$F$2:$F$501,B421,'Solicitacoes'!$E$2:$E$501,A421,'Solicitacoes'!$I$2:$I$501,"confirmado",'Solicitacoes'!$G$2:$G$501,"&lt;"&amp;J421,'Solicitacoes'!$N$2:$N$501,"&gt;"&amp;C421)&gt;0,"Ocupado","Disponível"))))</x:f>
        <x:v>Revisar escala</x:v>
      </x:c>
      <x:c r="N421" s="2" t="n">
        <x:f>IF(A421="","",ROW()-1)</x:f>
        <x:v>420</x:v>
      </x:c>
    </x:row>
    <x:row r="422" ht="24" customHeight="1">
      <x:c r="A422" s="13" t="str">
        <x:v>Géssyca Martins</x:v>
      </x:c>
      <x:c r="B422" s="14" t="d">
        <x:v>2026-10-30T00:00:00.000Z</x:v>
      </x:c>
      <x:c r="C422" s="26" t="n">
        <x:v>0.4166666666666667</x:v>
      </x:c>
      <x:c r="D422" s="13" t="str">
        <x:v>presencial</x:v>
      </x:c>
      <x:c r="E422" s="13" t="str">
        <x:v>não</x:v>
      </x:c>
      <x:c r="F422" s="13" t="str">
        <x:v>Sala 1</x:v>
      </x:c>
      <x:c r="G422" s="12" t="n">
        <x:f>IF(A422="","",'Agenda'!$B$5)</x:f>
        <x:v>50</x:v>
      </x:c>
      <x:c r="H422" s="12" t="n">
        <x:f>IF(A422="","",'Agenda'!$B$6)</x:f>
        <x:v>10</x:v>
      </x:c>
      <x:c r="I422" s="24" t="n">
        <x:f>IF(A422="","",C422+G422/1440)</x:f>
        <x:v>0.4513888888888889</x:v>
      </x:c>
      <x:c r="J422" s="24" t="n">
        <x:f>IF(A422="","",C422+(G422+H422)/1440)</x:f>
        <x:v>0.45833333333333337</x:v>
      </x:c>
      <x:c r="K422" s="27" t="n">
        <x:f>IF(A422="","",IF(E422&lt;&gt;"sim",0,COUNTIFS($B$2:$B$501,B422,$F$2:$F$501,F422,$E$2:$E$501,"sim",$C$2:$C$501,"&lt;"&amp;J422,$J$2:$J$501,"&gt;"&amp;C422)-1))</x:f>
        <x:v>0</x:v>
      </x:c>
      <x:c r="L422" s="27" t="n">
        <x:f>IF(A422="","",IF(E422&lt;&gt;"sim",0,COUNTIFS($B$2:$B$501,B422,$A$2:$A$501,A422,$E$2:$E$501,"sim",$C$2:$C$501,"&lt;"&amp;J422,$J$2:$J$501,"&gt;"&amp;C422)-1))</x:f>
        <x:v>0</x:v>
      </x:c>
      <x:c r="M422" s="2" t="str">
        <x:f>IF(A422="","",IF(E422&lt;&gt;"sim","Revisar escala",IF(OR(K422&gt;0,L422&gt;0),"Conflito de escala",IF(COUNTIFS('Solicitacoes'!$F$2:$F$501,B422,'Solicitacoes'!$K$2:$K$501,F422,'Solicitacoes'!$I$2:$I$501,"pendente",'Solicitacoes'!$G$2:$G$501,"&lt;"&amp;J422,'Solicitacoes'!$N$2:$N$501,"&gt;"&amp;C422)+COUNTIFS('Solicitacoes'!$F$2:$F$501,B422,'Solicitacoes'!$E$2:$E$501,A422,'Solicitacoes'!$I$2:$I$501,"pendente",'Solicitacoes'!$G$2:$G$501,"&lt;"&amp;J422,'Solicitacoes'!$N$2:$N$501,"&gt;"&amp;C422)+COUNTIFS('Solicitacoes'!$F$2:$F$501,B422,'Solicitacoes'!$K$2:$K$501,F422,'Solicitacoes'!$I$2:$I$501,"confirmado",'Solicitacoes'!$G$2:$G$501,"&lt;"&amp;J422,'Solicitacoes'!$N$2:$N$501,"&gt;"&amp;C422)+COUNTIFS('Solicitacoes'!$F$2:$F$501,B422,'Solicitacoes'!$E$2:$E$501,A422,'Solicitacoes'!$I$2:$I$501,"confirmado",'Solicitacoes'!$G$2:$G$501,"&lt;"&amp;J422,'Solicitacoes'!$N$2:$N$501,"&gt;"&amp;C422)&gt;0,"Ocupado","Disponível"))))</x:f>
        <x:v>Revisar escala</x:v>
      </x:c>
      <x:c r="N422" s="2" t="n">
        <x:f>IF(A422="","",ROW()-1)</x:f>
        <x:v>421</x:v>
      </x:c>
    </x:row>
    <x:row r="423" ht="24" customHeight="1">
      <x:c r="A423" s="13" t="str">
        <x:v>Laura Casanova</x:v>
      </x:c>
      <x:c r="B423" s="14" t="d">
        <x:v>2026-10-30T00:00:00.000Z</x:v>
      </x:c>
      <x:c r="C423" s="26" t="n">
        <x:v>0.4166666666666667</x:v>
      </x:c>
      <x:c r="D423" s="13" t="str">
        <x:v>presencial</x:v>
      </x:c>
      <x:c r="E423" s="13" t="str">
        <x:v>não</x:v>
      </x:c>
      <x:c r="F423" s="13" t="str">
        <x:v>Sala 2</x:v>
      </x:c>
      <x:c r="G423" s="12" t="n">
        <x:f>IF(A423="","",'Agenda'!$B$5)</x:f>
        <x:v>50</x:v>
      </x:c>
      <x:c r="H423" s="12" t="n">
        <x:f>IF(A423="","",'Agenda'!$B$6)</x:f>
        <x:v>10</x:v>
      </x:c>
      <x:c r="I423" s="24" t="n">
        <x:f>IF(A423="","",C423+G423/1440)</x:f>
        <x:v>0.4513888888888889</x:v>
      </x:c>
      <x:c r="J423" s="24" t="n">
        <x:f>IF(A423="","",C423+(G423+H423)/1440)</x:f>
        <x:v>0.45833333333333337</x:v>
      </x:c>
      <x:c r="K423" s="27" t="n">
        <x:f>IF(A423="","",IF(E423&lt;&gt;"sim",0,COUNTIFS($B$2:$B$501,B423,$F$2:$F$501,F423,$E$2:$E$501,"sim",$C$2:$C$501,"&lt;"&amp;J423,$J$2:$J$501,"&gt;"&amp;C423)-1))</x:f>
        <x:v>0</x:v>
      </x:c>
      <x:c r="L423" s="27" t="n">
        <x:f>IF(A423="","",IF(E423&lt;&gt;"sim",0,COUNTIFS($B$2:$B$501,B423,$A$2:$A$501,A423,$E$2:$E$501,"sim",$C$2:$C$501,"&lt;"&amp;J423,$J$2:$J$501,"&gt;"&amp;C423)-1))</x:f>
        <x:v>0</x:v>
      </x:c>
      <x:c r="M423" s="2" t="str">
        <x:f>IF(A423="","",IF(E423&lt;&gt;"sim","Revisar escala",IF(OR(K423&gt;0,L423&gt;0),"Conflito de escala",IF(COUNTIFS('Solicitacoes'!$F$2:$F$501,B423,'Solicitacoes'!$K$2:$K$501,F423,'Solicitacoes'!$I$2:$I$501,"pendente",'Solicitacoes'!$G$2:$G$501,"&lt;"&amp;J423,'Solicitacoes'!$N$2:$N$501,"&gt;"&amp;C423)+COUNTIFS('Solicitacoes'!$F$2:$F$501,B423,'Solicitacoes'!$E$2:$E$501,A423,'Solicitacoes'!$I$2:$I$501,"pendente",'Solicitacoes'!$G$2:$G$501,"&lt;"&amp;J423,'Solicitacoes'!$N$2:$N$501,"&gt;"&amp;C423)+COUNTIFS('Solicitacoes'!$F$2:$F$501,B423,'Solicitacoes'!$K$2:$K$501,F423,'Solicitacoes'!$I$2:$I$501,"confirmado",'Solicitacoes'!$G$2:$G$501,"&lt;"&amp;J423,'Solicitacoes'!$N$2:$N$501,"&gt;"&amp;C423)+COUNTIFS('Solicitacoes'!$F$2:$F$501,B423,'Solicitacoes'!$E$2:$E$501,A423,'Solicitacoes'!$I$2:$I$501,"confirmado",'Solicitacoes'!$G$2:$G$501,"&lt;"&amp;J423,'Solicitacoes'!$N$2:$N$501,"&gt;"&amp;C423)&gt;0,"Ocupado","Disponível"))))</x:f>
        <x:v>Revisar escala</x:v>
      </x:c>
      <x:c r="N423" s="2" t="n">
        <x:f>IF(A423="","",ROW()-1)</x:f>
        <x:v>422</x:v>
      </x:c>
    </x:row>
    <x:row r="424" ht="24" customHeight="1">
      <x:c r="A424" s="13" t="str">
        <x:v>Géssyca Martins</x:v>
      </x:c>
      <x:c r="B424" s="14" t="d">
        <x:v>2026-10-30T00:00:00.000Z</x:v>
      </x:c>
      <x:c r="C424" s="26" t="n">
        <x:v>0.4583333333333333</x:v>
      </x:c>
      <x:c r="D424" s="13" t="str">
        <x:v>presencial</x:v>
      </x:c>
      <x:c r="E424" s="13" t="str">
        <x:v>não</x:v>
      </x:c>
      <x:c r="F424" s="13" t="str">
        <x:v>Sala 1</x:v>
      </x:c>
      <x:c r="G424" s="12" t="n">
        <x:f>IF(A424="","",'Agenda'!$B$5)</x:f>
        <x:v>50</x:v>
      </x:c>
      <x:c r="H424" s="12" t="n">
        <x:f>IF(A424="","",'Agenda'!$B$6)</x:f>
        <x:v>10</x:v>
      </x:c>
      <x:c r="I424" s="24" t="n">
        <x:f>IF(A424="","",C424+G424/1440)</x:f>
        <x:v>0.4930555555555555</x:v>
      </x:c>
      <x:c r="J424" s="24" t="n">
        <x:f>IF(A424="","",C424+(G424+H424)/1440)</x:f>
        <x:v>0.5</x:v>
      </x:c>
      <x:c r="K424" s="27" t="n">
        <x:f>IF(A424="","",IF(E424&lt;&gt;"sim",0,COUNTIFS($B$2:$B$501,B424,$F$2:$F$501,F424,$E$2:$E$501,"sim",$C$2:$C$501,"&lt;"&amp;J424,$J$2:$J$501,"&gt;"&amp;C424)-1))</x:f>
        <x:v>0</x:v>
      </x:c>
      <x:c r="L424" s="27" t="n">
        <x:f>IF(A424="","",IF(E424&lt;&gt;"sim",0,COUNTIFS($B$2:$B$501,B424,$A$2:$A$501,A424,$E$2:$E$501,"sim",$C$2:$C$501,"&lt;"&amp;J424,$J$2:$J$501,"&gt;"&amp;C424)-1))</x:f>
        <x:v>0</x:v>
      </x:c>
      <x:c r="M424" s="2" t="str">
        <x:f>IF(A424="","",IF(E424&lt;&gt;"sim","Revisar escala",IF(OR(K424&gt;0,L424&gt;0),"Conflito de escala",IF(COUNTIFS('Solicitacoes'!$F$2:$F$501,B424,'Solicitacoes'!$K$2:$K$501,F424,'Solicitacoes'!$I$2:$I$501,"pendente",'Solicitacoes'!$G$2:$G$501,"&lt;"&amp;J424,'Solicitacoes'!$N$2:$N$501,"&gt;"&amp;C424)+COUNTIFS('Solicitacoes'!$F$2:$F$501,B424,'Solicitacoes'!$E$2:$E$501,A424,'Solicitacoes'!$I$2:$I$501,"pendente",'Solicitacoes'!$G$2:$G$501,"&lt;"&amp;J424,'Solicitacoes'!$N$2:$N$501,"&gt;"&amp;C424)+COUNTIFS('Solicitacoes'!$F$2:$F$501,B424,'Solicitacoes'!$K$2:$K$501,F424,'Solicitacoes'!$I$2:$I$501,"confirmado",'Solicitacoes'!$G$2:$G$501,"&lt;"&amp;J424,'Solicitacoes'!$N$2:$N$501,"&gt;"&amp;C424)+COUNTIFS('Solicitacoes'!$F$2:$F$501,B424,'Solicitacoes'!$E$2:$E$501,A424,'Solicitacoes'!$I$2:$I$501,"confirmado",'Solicitacoes'!$G$2:$G$501,"&lt;"&amp;J424,'Solicitacoes'!$N$2:$N$501,"&gt;"&amp;C424)&gt;0,"Ocupado","Disponível"))))</x:f>
        <x:v>Revisar escala</x:v>
      </x:c>
      <x:c r="N424" s="2" t="n">
        <x:f>IF(A424="","",ROW()-1)</x:f>
        <x:v>423</x:v>
      </x:c>
    </x:row>
    <x:row r="425" ht="24" customHeight="1">
      <x:c r="A425" s="13" t="str">
        <x:v>Laura Casanova</x:v>
      </x:c>
      <x:c r="B425" s="14" t="d">
        <x:v>2026-10-30T00:00:00.000Z</x:v>
      </x:c>
      <x:c r="C425" s="26" t="n">
        <x:v>0.4583333333333333</x:v>
      </x:c>
      <x:c r="D425" s="13" t="str">
        <x:v>presencial</x:v>
      </x:c>
      <x:c r="E425" s="13" t="str">
        <x:v>não</x:v>
      </x:c>
      <x:c r="F425" s="13" t="str">
        <x:v>Sala 2</x:v>
      </x:c>
      <x:c r="G425" s="12" t="n">
        <x:f>IF(A425="","",'Agenda'!$B$5)</x:f>
        <x:v>50</x:v>
      </x:c>
      <x:c r="H425" s="12" t="n">
        <x:f>IF(A425="","",'Agenda'!$B$6)</x:f>
        <x:v>10</x:v>
      </x:c>
      <x:c r="I425" s="24" t="n">
        <x:f>IF(A425="","",C425+G425/1440)</x:f>
        <x:v>0.4930555555555555</x:v>
      </x:c>
      <x:c r="J425" s="24" t="n">
        <x:f>IF(A425="","",C425+(G425+H425)/1440)</x:f>
        <x:v>0.5</x:v>
      </x:c>
      <x:c r="K425" s="27" t="n">
        <x:f>IF(A425="","",IF(E425&lt;&gt;"sim",0,COUNTIFS($B$2:$B$501,B425,$F$2:$F$501,F425,$E$2:$E$501,"sim",$C$2:$C$501,"&lt;"&amp;J425,$J$2:$J$501,"&gt;"&amp;C425)-1))</x:f>
        <x:v>0</x:v>
      </x:c>
      <x:c r="L425" s="27" t="n">
        <x:f>IF(A425="","",IF(E425&lt;&gt;"sim",0,COUNTIFS($B$2:$B$501,B425,$A$2:$A$501,A425,$E$2:$E$501,"sim",$C$2:$C$501,"&lt;"&amp;J425,$J$2:$J$501,"&gt;"&amp;C425)-1))</x:f>
        <x:v>0</x:v>
      </x:c>
      <x:c r="M425" s="2" t="str">
        <x:f>IF(A425="","",IF(E425&lt;&gt;"sim","Revisar escala",IF(OR(K425&gt;0,L425&gt;0),"Conflito de escala",IF(COUNTIFS('Solicitacoes'!$F$2:$F$501,B425,'Solicitacoes'!$K$2:$K$501,F425,'Solicitacoes'!$I$2:$I$501,"pendente",'Solicitacoes'!$G$2:$G$501,"&lt;"&amp;J425,'Solicitacoes'!$N$2:$N$501,"&gt;"&amp;C425)+COUNTIFS('Solicitacoes'!$F$2:$F$501,B425,'Solicitacoes'!$E$2:$E$501,A425,'Solicitacoes'!$I$2:$I$501,"pendente",'Solicitacoes'!$G$2:$G$501,"&lt;"&amp;J425,'Solicitacoes'!$N$2:$N$501,"&gt;"&amp;C425)+COUNTIFS('Solicitacoes'!$F$2:$F$501,B425,'Solicitacoes'!$K$2:$K$501,F425,'Solicitacoes'!$I$2:$I$501,"confirmado",'Solicitacoes'!$G$2:$G$501,"&lt;"&amp;J425,'Solicitacoes'!$N$2:$N$501,"&gt;"&amp;C425)+COUNTIFS('Solicitacoes'!$F$2:$F$501,B425,'Solicitacoes'!$E$2:$E$501,A425,'Solicitacoes'!$I$2:$I$501,"confirmado",'Solicitacoes'!$G$2:$G$501,"&lt;"&amp;J425,'Solicitacoes'!$N$2:$N$501,"&gt;"&amp;C425)&gt;0,"Ocupado","Disponível"))))</x:f>
        <x:v>Revisar escala</x:v>
      </x:c>
      <x:c r="N425" s="2" t="n">
        <x:f>IF(A425="","",ROW()-1)</x:f>
        <x:v>424</x:v>
      </x:c>
    </x:row>
    <x:row r="426" ht="24" customHeight="1">
      <x:c r="A426" s="13" t="str">
        <x:v>Géssyca Martins</x:v>
      </x:c>
      <x:c r="B426" s="14" t="d">
        <x:v>2026-10-30T00:00:00.000Z</x:v>
      </x:c>
      <x:c r="C426" s="26" t="n">
        <x:v>0.5</x:v>
      </x:c>
      <x:c r="D426" s="13" t="str">
        <x:v>presencial</x:v>
      </x:c>
      <x:c r="E426" s="13" t="str">
        <x:v>não</x:v>
      </x:c>
      <x:c r="F426" s="13" t="str">
        <x:v>Sala 1</x:v>
      </x:c>
      <x:c r="G426" s="12" t="n">
        <x:f>IF(A426="","",'Agenda'!$B$5)</x:f>
        <x:v>50</x:v>
      </x:c>
      <x:c r="H426" s="12" t="n">
        <x:f>IF(A426="","",'Agenda'!$B$6)</x:f>
        <x:v>10</x:v>
      </x:c>
      <x:c r="I426" s="24" t="n">
        <x:f>IF(A426="","",C426+G426/1440)</x:f>
        <x:v>0.5347222222222222</x:v>
      </x:c>
      <x:c r="J426" s="24" t="n">
        <x:f>IF(A426="","",C426+(G426+H426)/1440)</x:f>
        <x:v>0.5416666666666666</x:v>
      </x:c>
      <x:c r="K426" s="27" t="n">
        <x:f>IF(A426="","",IF(E426&lt;&gt;"sim",0,COUNTIFS($B$2:$B$501,B426,$F$2:$F$501,F426,$E$2:$E$501,"sim",$C$2:$C$501,"&lt;"&amp;J426,$J$2:$J$501,"&gt;"&amp;C426)-1))</x:f>
        <x:v>0</x:v>
      </x:c>
      <x:c r="L426" s="27" t="n">
        <x:f>IF(A426="","",IF(E426&lt;&gt;"sim",0,COUNTIFS($B$2:$B$501,B426,$A$2:$A$501,A426,$E$2:$E$501,"sim",$C$2:$C$501,"&lt;"&amp;J426,$J$2:$J$501,"&gt;"&amp;C426)-1))</x:f>
        <x:v>0</x:v>
      </x:c>
      <x:c r="M426" s="2" t="str">
        <x:f>IF(A426="","",IF(E426&lt;&gt;"sim","Revisar escala",IF(OR(K426&gt;0,L426&gt;0),"Conflito de escala",IF(COUNTIFS('Solicitacoes'!$F$2:$F$501,B426,'Solicitacoes'!$K$2:$K$501,F426,'Solicitacoes'!$I$2:$I$501,"pendente",'Solicitacoes'!$G$2:$G$501,"&lt;"&amp;J426,'Solicitacoes'!$N$2:$N$501,"&gt;"&amp;C426)+COUNTIFS('Solicitacoes'!$F$2:$F$501,B426,'Solicitacoes'!$E$2:$E$501,A426,'Solicitacoes'!$I$2:$I$501,"pendente",'Solicitacoes'!$G$2:$G$501,"&lt;"&amp;J426,'Solicitacoes'!$N$2:$N$501,"&gt;"&amp;C426)+COUNTIFS('Solicitacoes'!$F$2:$F$501,B426,'Solicitacoes'!$K$2:$K$501,F426,'Solicitacoes'!$I$2:$I$501,"confirmado",'Solicitacoes'!$G$2:$G$501,"&lt;"&amp;J426,'Solicitacoes'!$N$2:$N$501,"&gt;"&amp;C426)+COUNTIFS('Solicitacoes'!$F$2:$F$501,B426,'Solicitacoes'!$E$2:$E$501,A426,'Solicitacoes'!$I$2:$I$501,"confirmado",'Solicitacoes'!$G$2:$G$501,"&lt;"&amp;J426,'Solicitacoes'!$N$2:$N$501,"&gt;"&amp;C426)&gt;0,"Ocupado","Disponível"))))</x:f>
        <x:v>Revisar escala</x:v>
      </x:c>
      <x:c r="N426" s="2" t="n">
        <x:f>IF(A426="","",ROW()-1)</x:f>
        <x:v>425</x:v>
      </x:c>
    </x:row>
    <x:row r="427" ht="24" customHeight="1">
      <x:c r="A427" s="13" t="str">
        <x:v>Laura Casanova</x:v>
      </x:c>
      <x:c r="B427" s="14" t="d">
        <x:v>2026-10-30T00:00:00.000Z</x:v>
      </x:c>
      <x:c r="C427" s="26" t="n">
        <x:v>0.5</x:v>
      </x:c>
      <x:c r="D427" s="13" t="str">
        <x:v>presencial</x:v>
      </x:c>
      <x:c r="E427" s="13" t="str">
        <x:v>não</x:v>
      </x:c>
      <x:c r="F427" s="13" t="str">
        <x:v>Sala 2</x:v>
      </x:c>
      <x:c r="G427" s="12" t="n">
        <x:f>IF(A427="","",'Agenda'!$B$5)</x:f>
        <x:v>50</x:v>
      </x:c>
      <x:c r="H427" s="12" t="n">
        <x:f>IF(A427="","",'Agenda'!$B$6)</x:f>
        <x:v>10</x:v>
      </x:c>
      <x:c r="I427" s="24" t="n">
        <x:f>IF(A427="","",C427+G427/1440)</x:f>
        <x:v>0.5347222222222222</x:v>
      </x:c>
      <x:c r="J427" s="24" t="n">
        <x:f>IF(A427="","",C427+(G427+H427)/1440)</x:f>
        <x:v>0.5416666666666666</x:v>
      </x:c>
      <x:c r="K427" s="27" t="n">
        <x:f>IF(A427="","",IF(E427&lt;&gt;"sim",0,COUNTIFS($B$2:$B$501,B427,$F$2:$F$501,F427,$E$2:$E$501,"sim",$C$2:$C$501,"&lt;"&amp;J427,$J$2:$J$501,"&gt;"&amp;C427)-1))</x:f>
        <x:v>0</x:v>
      </x:c>
      <x:c r="L427" s="27" t="n">
        <x:f>IF(A427="","",IF(E427&lt;&gt;"sim",0,COUNTIFS($B$2:$B$501,B427,$A$2:$A$501,A427,$E$2:$E$501,"sim",$C$2:$C$501,"&lt;"&amp;J427,$J$2:$J$501,"&gt;"&amp;C427)-1))</x:f>
        <x:v>0</x:v>
      </x:c>
      <x:c r="M427" s="2" t="str">
        <x:f>IF(A427="","",IF(E427&lt;&gt;"sim","Revisar escala",IF(OR(K427&gt;0,L427&gt;0),"Conflito de escala",IF(COUNTIFS('Solicitacoes'!$F$2:$F$501,B427,'Solicitacoes'!$K$2:$K$501,F427,'Solicitacoes'!$I$2:$I$501,"pendente",'Solicitacoes'!$G$2:$G$501,"&lt;"&amp;J427,'Solicitacoes'!$N$2:$N$501,"&gt;"&amp;C427)+COUNTIFS('Solicitacoes'!$F$2:$F$501,B427,'Solicitacoes'!$E$2:$E$501,A427,'Solicitacoes'!$I$2:$I$501,"pendente",'Solicitacoes'!$G$2:$G$501,"&lt;"&amp;J427,'Solicitacoes'!$N$2:$N$501,"&gt;"&amp;C427)+COUNTIFS('Solicitacoes'!$F$2:$F$501,B427,'Solicitacoes'!$K$2:$K$501,F427,'Solicitacoes'!$I$2:$I$501,"confirmado",'Solicitacoes'!$G$2:$G$501,"&lt;"&amp;J427,'Solicitacoes'!$N$2:$N$501,"&gt;"&amp;C427)+COUNTIFS('Solicitacoes'!$F$2:$F$501,B427,'Solicitacoes'!$E$2:$E$501,A427,'Solicitacoes'!$I$2:$I$501,"confirmado",'Solicitacoes'!$G$2:$G$501,"&lt;"&amp;J427,'Solicitacoes'!$N$2:$N$501,"&gt;"&amp;C427)&gt;0,"Ocupado","Disponível"))))</x:f>
        <x:v>Revisar escala</x:v>
      </x:c>
      <x:c r="N427" s="2" t="n">
        <x:f>IF(A427="","",ROW()-1)</x:f>
        <x:v>426</x:v>
      </x:c>
    </x:row>
    <x:row r="428" ht="24" customHeight="1">
      <x:c r="A428" s="13" t="str">
        <x:v>Géssyca Martins</x:v>
      </x:c>
      <x:c r="B428" s="14" t="d">
        <x:v>2026-10-30T00:00:00.000Z</x:v>
      </x:c>
      <x:c r="C428" s="26" t="n">
        <x:v>0.5416666666666666</x:v>
      </x:c>
      <x:c r="D428" s="13" t="str">
        <x:v>presencial</x:v>
      </x:c>
      <x:c r="E428" s="13" t="str">
        <x:v>não</x:v>
      </x:c>
      <x:c r="F428" s="13" t="str">
        <x:v>Sala 1</x:v>
      </x:c>
      <x:c r="G428" s="12" t="n">
        <x:f>IF(A428="","",'Agenda'!$B$5)</x:f>
        <x:v>50</x:v>
      </x:c>
      <x:c r="H428" s="12" t="n">
        <x:f>IF(A428="","",'Agenda'!$B$6)</x:f>
        <x:v>10</x:v>
      </x:c>
      <x:c r="I428" s="24" t="n">
        <x:f>IF(A428="","",C428+G428/1440)</x:f>
        <x:v>0.5763888888888888</x:v>
      </x:c>
      <x:c r="J428" s="24" t="n">
        <x:f>IF(A428="","",C428+(G428+H428)/1440)</x:f>
        <x:v>0.5833333333333333</x:v>
      </x:c>
      <x:c r="K428" s="27" t="n">
        <x:f>IF(A428="","",IF(E428&lt;&gt;"sim",0,COUNTIFS($B$2:$B$501,B428,$F$2:$F$501,F428,$E$2:$E$501,"sim",$C$2:$C$501,"&lt;"&amp;J428,$J$2:$J$501,"&gt;"&amp;C428)-1))</x:f>
        <x:v>0</x:v>
      </x:c>
      <x:c r="L428" s="27" t="n">
        <x:f>IF(A428="","",IF(E428&lt;&gt;"sim",0,COUNTIFS($B$2:$B$501,B428,$A$2:$A$501,A428,$E$2:$E$501,"sim",$C$2:$C$501,"&lt;"&amp;J428,$J$2:$J$501,"&gt;"&amp;C428)-1))</x:f>
        <x:v>0</x:v>
      </x:c>
      <x:c r="M428" s="2" t="str">
        <x:f>IF(A428="","",IF(E428&lt;&gt;"sim","Revisar escala",IF(OR(K428&gt;0,L428&gt;0),"Conflito de escala",IF(COUNTIFS('Solicitacoes'!$F$2:$F$501,B428,'Solicitacoes'!$K$2:$K$501,F428,'Solicitacoes'!$I$2:$I$501,"pendente",'Solicitacoes'!$G$2:$G$501,"&lt;"&amp;J428,'Solicitacoes'!$N$2:$N$501,"&gt;"&amp;C428)+COUNTIFS('Solicitacoes'!$F$2:$F$501,B428,'Solicitacoes'!$E$2:$E$501,A428,'Solicitacoes'!$I$2:$I$501,"pendente",'Solicitacoes'!$G$2:$G$501,"&lt;"&amp;J428,'Solicitacoes'!$N$2:$N$501,"&gt;"&amp;C428)+COUNTIFS('Solicitacoes'!$F$2:$F$501,B428,'Solicitacoes'!$K$2:$K$501,F428,'Solicitacoes'!$I$2:$I$501,"confirmado",'Solicitacoes'!$G$2:$G$501,"&lt;"&amp;J428,'Solicitacoes'!$N$2:$N$501,"&gt;"&amp;C428)+COUNTIFS('Solicitacoes'!$F$2:$F$501,B428,'Solicitacoes'!$E$2:$E$501,A428,'Solicitacoes'!$I$2:$I$501,"confirmado",'Solicitacoes'!$G$2:$G$501,"&lt;"&amp;J428,'Solicitacoes'!$N$2:$N$501,"&gt;"&amp;C428)&gt;0,"Ocupado","Disponível"))))</x:f>
        <x:v>Revisar escala</x:v>
      </x:c>
      <x:c r="N428" s="2" t="n">
        <x:f>IF(A428="","",ROW()-1)</x:f>
        <x:v>427</x:v>
      </x:c>
    </x:row>
    <x:row r="429" ht="24" customHeight="1">
      <x:c r="A429" s="13" t="str">
        <x:v>Laura Casanova</x:v>
      </x:c>
      <x:c r="B429" s="14" t="d">
        <x:v>2026-10-30T00:00:00.000Z</x:v>
      </x:c>
      <x:c r="C429" s="26" t="n">
        <x:v>0.5416666666666666</x:v>
      </x:c>
      <x:c r="D429" s="13" t="str">
        <x:v>presencial</x:v>
      </x:c>
      <x:c r="E429" s="13" t="str">
        <x:v>não</x:v>
      </x:c>
      <x:c r="F429" s="13" t="str">
        <x:v>Sala 2</x:v>
      </x:c>
      <x:c r="G429" s="12" t="n">
        <x:f>IF(A429="","",'Agenda'!$B$5)</x:f>
        <x:v>50</x:v>
      </x:c>
      <x:c r="H429" s="12" t="n">
        <x:f>IF(A429="","",'Agenda'!$B$6)</x:f>
        <x:v>10</x:v>
      </x:c>
      <x:c r="I429" s="24" t="n">
        <x:f>IF(A429="","",C429+G429/1440)</x:f>
        <x:v>0.5763888888888888</x:v>
      </x:c>
      <x:c r="J429" s="24" t="n">
        <x:f>IF(A429="","",C429+(G429+H429)/1440)</x:f>
        <x:v>0.5833333333333333</x:v>
      </x:c>
      <x:c r="K429" s="27" t="n">
        <x:f>IF(A429="","",IF(E429&lt;&gt;"sim",0,COUNTIFS($B$2:$B$501,B429,$F$2:$F$501,F429,$E$2:$E$501,"sim",$C$2:$C$501,"&lt;"&amp;J429,$J$2:$J$501,"&gt;"&amp;C429)-1))</x:f>
        <x:v>0</x:v>
      </x:c>
      <x:c r="L429" s="27" t="n">
        <x:f>IF(A429="","",IF(E429&lt;&gt;"sim",0,COUNTIFS($B$2:$B$501,B429,$A$2:$A$501,A429,$E$2:$E$501,"sim",$C$2:$C$501,"&lt;"&amp;J429,$J$2:$J$501,"&gt;"&amp;C429)-1))</x:f>
        <x:v>0</x:v>
      </x:c>
      <x:c r="M429" s="2" t="str">
        <x:f>IF(A429="","",IF(E429&lt;&gt;"sim","Revisar escala",IF(OR(K429&gt;0,L429&gt;0),"Conflito de escala",IF(COUNTIFS('Solicitacoes'!$F$2:$F$501,B429,'Solicitacoes'!$K$2:$K$501,F429,'Solicitacoes'!$I$2:$I$501,"pendente",'Solicitacoes'!$G$2:$G$501,"&lt;"&amp;J429,'Solicitacoes'!$N$2:$N$501,"&gt;"&amp;C429)+COUNTIFS('Solicitacoes'!$F$2:$F$501,B429,'Solicitacoes'!$E$2:$E$501,A429,'Solicitacoes'!$I$2:$I$501,"pendente",'Solicitacoes'!$G$2:$G$501,"&lt;"&amp;J429,'Solicitacoes'!$N$2:$N$501,"&gt;"&amp;C429)+COUNTIFS('Solicitacoes'!$F$2:$F$501,B429,'Solicitacoes'!$K$2:$K$501,F429,'Solicitacoes'!$I$2:$I$501,"confirmado",'Solicitacoes'!$G$2:$G$501,"&lt;"&amp;J429,'Solicitacoes'!$N$2:$N$501,"&gt;"&amp;C429)+COUNTIFS('Solicitacoes'!$F$2:$F$501,B429,'Solicitacoes'!$E$2:$E$501,A429,'Solicitacoes'!$I$2:$I$501,"confirmado",'Solicitacoes'!$G$2:$G$501,"&lt;"&amp;J429,'Solicitacoes'!$N$2:$N$501,"&gt;"&amp;C429)&gt;0,"Ocupado","Disponível"))))</x:f>
        <x:v>Revisar escala</x:v>
      </x:c>
      <x:c r="N429" s="2" t="n">
        <x:f>IF(A429="","",ROW()-1)</x:f>
        <x:v>428</x:v>
      </x:c>
    </x:row>
    <x:row r="430" ht="24" customHeight="1">
      <x:c r="A430" s="13" t="str">
        <x:v>Aline Reis</x:v>
      </x:c>
      <x:c r="B430" s="14" t="d">
        <x:v>2026-10-30T00:00:00.000Z</x:v>
      </x:c>
      <x:c r="C430" s="26" t="n">
        <x:v>0.5833333333333334</x:v>
      </x:c>
      <x:c r="D430" s="13" t="str">
        <x:v>presencial</x:v>
      </x:c>
      <x:c r="E430" s="13" t="str">
        <x:v>não</x:v>
      </x:c>
      <x:c r="F430" s="13" t="str">
        <x:v>Sala 1</x:v>
      </x:c>
      <x:c r="G430" s="12" t="n">
        <x:f>IF(A430="","",'Agenda'!$B$5)</x:f>
        <x:v>50</x:v>
      </x:c>
      <x:c r="H430" s="12" t="n">
        <x:f>IF(A430="","",'Agenda'!$B$6)</x:f>
        <x:v>10</x:v>
      </x:c>
      <x:c r="I430" s="24" t="n">
        <x:f>IF(A430="","",C430+G430/1440)</x:f>
        <x:v>0.6180555555555556</x:v>
      </x:c>
      <x:c r="J430" s="24" t="n">
        <x:f>IF(A430="","",C430+(G430+H430)/1440)</x:f>
        <x:v>0.625</x:v>
      </x:c>
      <x:c r="K430" s="27" t="n">
        <x:f>IF(A430="","",IF(E430&lt;&gt;"sim",0,COUNTIFS($B$2:$B$501,B430,$F$2:$F$501,F430,$E$2:$E$501,"sim",$C$2:$C$501,"&lt;"&amp;J430,$J$2:$J$501,"&gt;"&amp;C430)-1))</x:f>
        <x:v>0</x:v>
      </x:c>
      <x:c r="L430" s="27" t="n">
        <x:f>IF(A430="","",IF(E430&lt;&gt;"sim",0,COUNTIFS($B$2:$B$501,B430,$A$2:$A$501,A430,$E$2:$E$501,"sim",$C$2:$C$501,"&lt;"&amp;J430,$J$2:$J$501,"&gt;"&amp;C430)-1))</x:f>
        <x:v>0</x:v>
      </x:c>
      <x:c r="M430" s="2" t="str">
        <x:f>IF(A430="","",IF(E430&lt;&gt;"sim","Revisar escala",IF(OR(K430&gt;0,L430&gt;0),"Conflito de escala",IF(COUNTIFS('Solicitacoes'!$F$2:$F$501,B430,'Solicitacoes'!$K$2:$K$501,F430,'Solicitacoes'!$I$2:$I$501,"pendente",'Solicitacoes'!$G$2:$G$501,"&lt;"&amp;J430,'Solicitacoes'!$N$2:$N$501,"&gt;"&amp;C430)+COUNTIFS('Solicitacoes'!$F$2:$F$501,B430,'Solicitacoes'!$E$2:$E$501,A430,'Solicitacoes'!$I$2:$I$501,"pendente",'Solicitacoes'!$G$2:$G$501,"&lt;"&amp;J430,'Solicitacoes'!$N$2:$N$501,"&gt;"&amp;C430)+COUNTIFS('Solicitacoes'!$F$2:$F$501,B430,'Solicitacoes'!$K$2:$K$501,F430,'Solicitacoes'!$I$2:$I$501,"confirmado",'Solicitacoes'!$G$2:$G$501,"&lt;"&amp;J430,'Solicitacoes'!$N$2:$N$501,"&gt;"&amp;C430)+COUNTIFS('Solicitacoes'!$F$2:$F$501,B430,'Solicitacoes'!$E$2:$E$501,A430,'Solicitacoes'!$I$2:$I$501,"confirmado",'Solicitacoes'!$G$2:$G$501,"&lt;"&amp;J430,'Solicitacoes'!$N$2:$N$501,"&gt;"&amp;C430)&gt;0,"Ocupado","Disponível"))))</x:f>
        <x:v>Revisar escala</x:v>
      </x:c>
      <x:c r="N430" s="2" t="n">
        <x:f>IF(A430="","",ROW()-1)</x:f>
        <x:v>429</x:v>
      </x:c>
    </x:row>
    <x:row r="431" ht="24" customHeight="1">
      <x:c r="A431" s="13" t="str">
        <x:v>Géssyca Martins</x:v>
      </x:c>
      <x:c r="B431" s="14" t="d">
        <x:v>2026-10-30T00:00:00.000Z</x:v>
      </x:c>
      <x:c r="C431" s="26" t="n">
        <x:v>0.5833333333333334</x:v>
      </x:c>
      <x:c r="D431" s="13" t="str">
        <x:v>presencial</x:v>
      </x:c>
      <x:c r="E431" s="13" t="str">
        <x:v>não</x:v>
      </x:c>
      <x:c r="F431" s="13" t="str">
        <x:v>Sala 2</x:v>
      </x:c>
      <x:c r="G431" s="12" t="n">
        <x:f>IF(A431="","",'Agenda'!$B$5)</x:f>
        <x:v>50</x:v>
      </x:c>
      <x:c r="H431" s="12" t="n">
        <x:f>IF(A431="","",'Agenda'!$B$6)</x:f>
        <x:v>10</x:v>
      </x:c>
      <x:c r="I431" s="24" t="n">
        <x:f>IF(A431="","",C431+G431/1440)</x:f>
        <x:v>0.6180555555555556</x:v>
      </x:c>
      <x:c r="J431" s="24" t="n">
        <x:f>IF(A431="","",C431+(G431+H431)/1440)</x:f>
        <x:v>0.625</x:v>
      </x:c>
      <x:c r="K431" s="27" t="n">
        <x:f>IF(A431="","",IF(E431&lt;&gt;"sim",0,COUNTIFS($B$2:$B$501,B431,$F$2:$F$501,F431,$E$2:$E$501,"sim",$C$2:$C$501,"&lt;"&amp;J431,$J$2:$J$501,"&gt;"&amp;C431)-1))</x:f>
        <x:v>0</x:v>
      </x:c>
      <x:c r="L431" s="27" t="n">
        <x:f>IF(A431="","",IF(E431&lt;&gt;"sim",0,COUNTIFS($B$2:$B$501,B431,$A$2:$A$501,A431,$E$2:$E$501,"sim",$C$2:$C$501,"&lt;"&amp;J431,$J$2:$J$501,"&gt;"&amp;C431)-1))</x:f>
        <x:v>0</x:v>
      </x:c>
      <x:c r="M431" s="2" t="str">
        <x:f>IF(A431="","",IF(E431&lt;&gt;"sim","Revisar escala",IF(OR(K431&gt;0,L431&gt;0),"Conflito de escala",IF(COUNTIFS('Solicitacoes'!$F$2:$F$501,B431,'Solicitacoes'!$K$2:$K$501,F431,'Solicitacoes'!$I$2:$I$501,"pendente",'Solicitacoes'!$G$2:$G$501,"&lt;"&amp;J431,'Solicitacoes'!$N$2:$N$501,"&gt;"&amp;C431)+COUNTIFS('Solicitacoes'!$F$2:$F$501,B431,'Solicitacoes'!$E$2:$E$501,A431,'Solicitacoes'!$I$2:$I$501,"pendente",'Solicitacoes'!$G$2:$G$501,"&lt;"&amp;J431,'Solicitacoes'!$N$2:$N$501,"&gt;"&amp;C431)+COUNTIFS('Solicitacoes'!$F$2:$F$501,B431,'Solicitacoes'!$K$2:$K$501,F431,'Solicitacoes'!$I$2:$I$501,"confirmado",'Solicitacoes'!$G$2:$G$501,"&lt;"&amp;J431,'Solicitacoes'!$N$2:$N$501,"&gt;"&amp;C431)+COUNTIFS('Solicitacoes'!$F$2:$F$501,B431,'Solicitacoes'!$E$2:$E$501,A431,'Solicitacoes'!$I$2:$I$501,"confirmado",'Solicitacoes'!$G$2:$G$501,"&lt;"&amp;J431,'Solicitacoes'!$N$2:$N$501,"&gt;"&amp;C431)&gt;0,"Ocupado","Disponível"))))</x:f>
        <x:v>Revisar escala</x:v>
      </x:c>
      <x:c r="N431" s="2" t="n">
        <x:f>IF(A431="","",ROW()-1)</x:f>
        <x:v>430</x:v>
      </x:c>
    </x:row>
    <x:row r="432" ht="24" customHeight="1">
      <x:c r="A432" s="13" t="str">
        <x:v>Aline Reis</x:v>
      </x:c>
      <x:c r="B432" s="14" t="d">
        <x:v>2026-10-30T00:00:00.000Z</x:v>
      </x:c>
      <x:c r="C432" s="26" t="n">
        <x:v>0.625</x:v>
      </x:c>
      <x:c r="D432" s="13" t="str">
        <x:v>presencial</x:v>
      </x:c>
      <x:c r="E432" s="13" t="str">
        <x:v>não</x:v>
      </x:c>
      <x:c r="F432" s="13" t="str">
        <x:v>Sala 1</x:v>
      </x:c>
      <x:c r="G432" s="12" t="n">
        <x:f>IF(A432="","",'Agenda'!$B$5)</x:f>
        <x:v>50</x:v>
      </x:c>
      <x:c r="H432" s="12" t="n">
        <x:f>IF(A432="","",'Agenda'!$B$6)</x:f>
        <x:v>10</x:v>
      </x:c>
      <x:c r="I432" s="24" t="n">
        <x:f>IF(A432="","",C432+G432/1440)</x:f>
        <x:v>0.6597222222222222</x:v>
      </x:c>
      <x:c r="J432" s="24" t="n">
        <x:f>IF(A432="","",C432+(G432+H432)/1440)</x:f>
        <x:v>0.6666666666666666</x:v>
      </x:c>
      <x:c r="K432" s="27" t="n">
        <x:f>IF(A432="","",IF(E432&lt;&gt;"sim",0,COUNTIFS($B$2:$B$501,B432,$F$2:$F$501,F432,$E$2:$E$501,"sim",$C$2:$C$501,"&lt;"&amp;J432,$J$2:$J$501,"&gt;"&amp;C432)-1))</x:f>
        <x:v>0</x:v>
      </x:c>
      <x:c r="L432" s="27" t="n">
        <x:f>IF(A432="","",IF(E432&lt;&gt;"sim",0,COUNTIFS($B$2:$B$501,B432,$A$2:$A$501,A432,$E$2:$E$501,"sim",$C$2:$C$501,"&lt;"&amp;J432,$J$2:$J$501,"&gt;"&amp;C432)-1))</x:f>
        <x:v>0</x:v>
      </x:c>
      <x:c r="M432" s="2" t="str">
        <x:f>IF(A432="","",IF(E432&lt;&gt;"sim","Revisar escala",IF(OR(K432&gt;0,L432&gt;0),"Conflito de escala",IF(COUNTIFS('Solicitacoes'!$F$2:$F$501,B432,'Solicitacoes'!$K$2:$K$501,F432,'Solicitacoes'!$I$2:$I$501,"pendente",'Solicitacoes'!$G$2:$G$501,"&lt;"&amp;J432,'Solicitacoes'!$N$2:$N$501,"&gt;"&amp;C432)+COUNTIFS('Solicitacoes'!$F$2:$F$501,B432,'Solicitacoes'!$E$2:$E$501,A432,'Solicitacoes'!$I$2:$I$501,"pendente",'Solicitacoes'!$G$2:$G$501,"&lt;"&amp;J432,'Solicitacoes'!$N$2:$N$501,"&gt;"&amp;C432)+COUNTIFS('Solicitacoes'!$F$2:$F$501,B432,'Solicitacoes'!$K$2:$K$501,F432,'Solicitacoes'!$I$2:$I$501,"confirmado",'Solicitacoes'!$G$2:$G$501,"&lt;"&amp;J432,'Solicitacoes'!$N$2:$N$501,"&gt;"&amp;C432)+COUNTIFS('Solicitacoes'!$F$2:$F$501,B432,'Solicitacoes'!$E$2:$E$501,A432,'Solicitacoes'!$I$2:$I$501,"confirmado",'Solicitacoes'!$G$2:$G$501,"&lt;"&amp;J432,'Solicitacoes'!$N$2:$N$501,"&gt;"&amp;C432)&gt;0,"Ocupado","Disponível"))))</x:f>
        <x:v>Revisar escala</x:v>
      </x:c>
      <x:c r="N432" s="2" t="n">
        <x:f>IF(A432="","",ROW()-1)</x:f>
        <x:v>431</x:v>
      </x:c>
    </x:row>
    <x:row r="433" ht="24" customHeight="1">
      <x:c r="A433" s="13" t="str">
        <x:v>Géssyca Martins</x:v>
      </x:c>
      <x:c r="B433" s="14" t="d">
        <x:v>2026-10-30T00:00:00.000Z</x:v>
      </x:c>
      <x:c r="C433" s="26" t="n">
        <x:v>0.625</x:v>
      </x:c>
      <x:c r="D433" s="13" t="str">
        <x:v>presencial</x:v>
      </x:c>
      <x:c r="E433" s="13" t="str">
        <x:v>não</x:v>
      </x:c>
      <x:c r="F433" s="13" t="str">
        <x:v>Sala 2</x:v>
      </x:c>
      <x:c r="G433" s="12" t="n">
        <x:f>IF(A433="","",'Agenda'!$B$5)</x:f>
        <x:v>50</x:v>
      </x:c>
      <x:c r="H433" s="12" t="n">
        <x:f>IF(A433="","",'Agenda'!$B$6)</x:f>
        <x:v>10</x:v>
      </x:c>
      <x:c r="I433" s="24" t="n">
        <x:f>IF(A433="","",C433+G433/1440)</x:f>
        <x:v>0.6597222222222222</x:v>
      </x:c>
      <x:c r="J433" s="24" t="n">
        <x:f>IF(A433="","",C433+(G433+H433)/1440)</x:f>
        <x:v>0.6666666666666666</x:v>
      </x:c>
      <x:c r="K433" s="27" t="n">
        <x:f>IF(A433="","",IF(E433&lt;&gt;"sim",0,COUNTIFS($B$2:$B$501,B433,$F$2:$F$501,F433,$E$2:$E$501,"sim",$C$2:$C$501,"&lt;"&amp;J433,$J$2:$J$501,"&gt;"&amp;C433)-1))</x:f>
        <x:v>0</x:v>
      </x:c>
      <x:c r="L433" s="27" t="n">
        <x:f>IF(A433="","",IF(E433&lt;&gt;"sim",0,COUNTIFS($B$2:$B$501,B433,$A$2:$A$501,A433,$E$2:$E$501,"sim",$C$2:$C$501,"&lt;"&amp;J433,$J$2:$J$501,"&gt;"&amp;C433)-1))</x:f>
        <x:v>0</x:v>
      </x:c>
      <x:c r="M433" s="2" t="str">
        <x:f>IF(A433="","",IF(E433&lt;&gt;"sim","Revisar escala",IF(OR(K433&gt;0,L433&gt;0),"Conflito de escala",IF(COUNTIFS('Solicitacoes'!$F$2:$F$501,B433,'Solicitacoes'!$K$2:$K$501,F433,'Solicitacoes'!$I$2:$I$501,"pendente",'Solicitacoes'!$G$2:$G$501,"&lt;"&amp;J433,'Solicitacoes'!$N$2:$N$501,"&gt;"&amp;C433)+COUNTIFS('Solicitacoes'!$F$2:$F$501,B433,'Solicitacoes'!$E$2:$E$501,A433,'Solicitacoes'!$I$2:$I$501,"pendente",'Solicitacoes'!$G$2:$G$501,"&lt;"&amp;J433,'Solicitacoes'!$N$2:$N$501,"&gt;"&amp;C433)+COUNTIFS('Solicitacoes'!$F$2:$F$501,B433,'Solicitacoes'!$K$2:$K$501,F433,'Solicitacoes'!$I$2:$I$501,"confirmado",'Solicitacoes'!$G$2:$G$501,"&lt;"&amp;J433,'Solicitacoes'!$N$2:$N$501,"&gt;"&amp;C433)+COUNTIFS('Solicitacoes'!$F$2:$F$501,B433,'Solicitacoes'!$E$2:$E$501,A433,'Solicitacoes'!$I$2:$I$501,"confirmado",'Solicitacoes'!$G$2:$G$501,"&lt;"&amp;J433,'Solicitacoes'!$N$2:$N$501,"&gt;"&amp;C433)&gt;0,"Ocupado","Disponível"))))</x:f>
        <x:v>Revisar escala</x:v>
      </x:c>
      <x:c r="N433" s="2" t="n">
        <x:f>IF(A433="","",ROW()-1)</x:f>
        <x:v>432</x:v>
      </x:c>
    </x:row>
    <x:row r="434" ht="24" customHeight="1">
      <x:c r="A434" s="13" t="str">
        <x:v>Aline Reis</x:v>
      </x:c>
      <x:c r="B434" s="14" t="d">
        <x:v>2026-10-30T00:00:00.000Z</x:v>
      </x:c>
      <x:c r="C434" s="26" t="n">
        <x:v>0.6666666666666666</x:v>
      </x:c>
      <x:c r="D434" s="13" t="str">
        <x:v>presencial</x:v>
      </x:c>
      <x:c r="E434" s="13" t="str">
        <x:v>não</x:v>
      </x:c>
      <x:c r="F434" s="13" t="str">
        <x:v>Sala 1</x:v>
      </x:c>
      <x:c r="G434" s="12" t="n">
        <x:f>IF(A434="","",'Agenda'!$B$5)</x:f>
        <x:v>50</x:v>
      </x:c>
      <x:c r="H434" s="12" t="n">
        <x:f>IF(A434="","",'Agenda'!$B$6)</x:f>
        <x:v>10</x:v>
      </x:c>
      <x:c r="I434" s="24" t="n">
        <x:f>IF(A434="","",C434+G434/1440)</x:f>
        <x:v>0.7013888888888888</x:v>
      </x:c>
      <x:c r="J434" s="24" t="n">
        <x:f>IF(A434="","",C434+(G434+H434)/1440)</x:f>
        <x:v>0.7083333333333333</x:v>
      </x:c>
      <x:c r="K434" s="27" t="n">
        <x:f>IF(A434="","",IF(E434&lt;&gt;"sim",0,COUNTIFS($B$2:$B$501,B434,$F$2:$F$501,F434,$E$2:$E$501,"sim",$C$2:$C$501,"&lt;"&amp;J434,$J$2:$J$501,"&gt;"&amp;C434)-1))</x:f>
        <x:v>0</x:v>
      </x:c>
      <x:c r="L434" s="27" t="n">
        <x:f>IF(A434="","",IF(E434&lt;&gt;"sim",0,COUNTIFS($B$2:$B$501,B434,$A$2:$A$501,A434,$E$2:$E$501,"sim",$C$2:$C$501,"&lt;"&amp;J434,$J$2:$J$501,"&gt;"&amp;C434)-1))</x:f>
        <x:v>0</x:v>
      </x:c>
      <x:c r="M434" s="2" t="str">
        <x:f>IF(A434="","",IF(E434&lt;&gt;"sim","Revisar escala",IF(OR(K434&gt;0,L434&gt;0),"Conflito de escala",IF(COUNTIFS('Solicitacoes'!$F$2:$F$501,B434,'Solicitacoes'!$K$2:$K$501,F434,'Solicitacoes'!$I$2:$I$501,"pendente",'Solicitacoes'!$G$2:$G$501,"&lt;"&amp;J434,'Solicitacoes'!$N$2:$N$501,"&gt;"&amp;C434)+COUNTIFS('Solicitacoes'!$F$2:$F$501,B434,'Solicitacoes'!$E$2:$E$501,A434,'Solicitacoes'!$I$2:$I$501,"pendente",'Solicitacoes'!$G$2:$G$501,"&lt;"&amp;J434,'Solicitacoes'!$N$2:$N$501,"&gt;"&amp;C434)+COUNTIFS('Solicitacoes'!$F$2:$F$501,B434,'Solicitacoes'!$K$2:$K$501,F434,'Solicitacoes'!$I$2:$I$501,"confirmado",'Solicitacoes'!$G$2:$G$501,"&lt;"&amp;J434,'Solicitacoes'!$N$2:$N$501,"&gt;"&amp;C434)+COUNTIFS('Solicitacoes'!$F$2:$F$501,B434,'Solicitacoes'!$E$2:$E$501,A434,'Solicitacoes'!$I$2:$I$501,"confirmado",'Solicitacoes'!$G$2:$G$501,"&lt;"&amp;J434,'Solicitacoes'!$N$2:$N$501,"&gt;"&amp;C434)&gt;0,"Ocupado","Disponível"))))</x:f>
        <x:v>Revisar escala</x:v>
      </x:c>
      <x:c r="N434" s="2" t="n">
        <x:f>IF(A434="","",ROW()-1)</x:f>
        <x:v>433</x:v>
      </x:c>
    </x:row>
    <x:row r="435" ht="24" customHeight="1">
      <x:c r="A435" s="13" t="str">
        <x:v>Géssyca Martins</x:v>
      </x:c>
      <x:c r="B435" s="14" t="d">
        <x:v>2026-10-30T00:00:00.000Z</x:v>
      </x:c>
      <x:c r="C435" s="26" t="n">
        <x:v>0.6666666666666666</x:v>
      </x:c>
      <x:c r="D435" s="13" t="str">
        <x:v>presencial</x:v>
      </x:c>
      <x:c r="E435" s="13" t="str">
        <x:v>não</x:v>
      </x:c>
      <x:c r="F435" s="13" t="str">
        <x:v>Sala 2</x:v>
      </x:c>
      <x:c r="G435" s="12" t="n">
        <x:f>IF(A435="","",'Agenda'!$B$5)</x:f>
        <x:v>50</x:v>
      </x:c>
      <x:c r="H435" s="12" t="n">
        <x:f>IF(A435="","",'Agenda'!$B$6)</x:f>
        <x:v>10</x:v>
      </x:c>
      <x:c r="I435" s="24" t="n">
        <x:f>IF(A435="","",C435+G435/1440)</x:f>
        <x:v>0.7013888888888888</x:v>
      </x:c>
      <x:c r="J435" s="24" t="n">
        <x:f>IF(A435="","",C435+(G435+H435)/1440)</x:f>
        <x:v>0.7083333333333333</x:v>
      </x:c>
      <x:c r="K435" s="27" t="n">
        <x:f>IF(A435="","",IF(E435&lt;&gt;"sim",0,COUNTIFS($B$2:$B$501,B435,$F$2:$F$501,F435,$E$2:$E$501,"sim",$C$2:$C$501,"&lt;"&amp;J435,$J$2:$J$501,"&gt;"&amp;C435)-1))</x:f>
        <x:v>0</x:v>
      </x:c>
      <x:c r="L435" s="27" t="n">
        <x:f>IF(A435="","",IF(E435&lt;&gt;"sim",0,COUNTIFS($B$2:$B$501,B435,$A$2:$A$501,A435,$E$2:$E$501,"sim",$C$2:$C$501,"&lt;"&amp;J435,$J$2:$J$501,"&gt;"&amp;C435)-1))</x:f>
        <x:v>0</x:v>
      </x:c>
      <x:c r="M435" s="2" t="str">
        <x:f>IF(A435="","",IF(E435&lt;&gt;"sim","Revisar escala",IF(OR(K435&gt;0,L435&gt;0),"Conflito de escala",IF(COUNTIFS('Solicitacoes'!$F$2:$F$501,B435,'Solicitacoes'!$K$2:$K$501,F435,'Solicitacoes'!$I$2:$I$501,"pendente",'Solicitacoes'!$G$2:$G$501,"&lt;"&amp;J435,'Solicitacoes'!$N$2:$N$501,"&gt;"&amp;C435)+COUNTIFS('Solicitacoes'!$F$2:$F$501,B435,'Solicitacoes'!$E$2:$E$501,A435,'Solicitacoes'!$I$2:$I$501,"pendente",'Solicitacoes'!$G$2:$G$501,"&lt;"&amp;J435,'Solicitacoes'!$N$2:$N$501,"&gt;"&amp;C435)+COUNTIFS('Solicitacoes'!$F$2:$F$501,B435,'Solicitacoes'!$K$2:$K$501,F435,'Solicitacoes'!$I$2:$I$501,"confirmado",'Solicitacoes'!$G$2:$G$501,"&lt;"&amp;J435,'Solicitacoes'!$N$2:$N$501,"&gt;"&amp;C435)+COUNTIFS('Solicitacoes'!$F$2:$F$501,B435,'Solicitacoes'!$E$2:$E$501,A435,'Solicitacoes'!$I$2:$I$501,"confirmado",'Solicitacoes'!$G$2:$G$501,"&lt;"&amp;J435,'Solicitacoes'!$N$2:$N$501,"&gt;"&amp;C435)&gt;0,"Ocupado","Disponível"))))</x:f>
        <x:v>Revisar escala</x:v>
      </x:c>
      <x:c r="N435" s="2" t="n">
        <x:f>IF(A435="","",ROW()-1)</x:f>
        <x:v>434</x:v>
      </x:c>
    </x:row>
    <x:row r="436" ht="24" customHeight="1">
      <x:c r="A436" s="13" t="str">
        <x:v>Aline Reis</x:v>
      </x:c>
      <x:c r="B436" s="14" t="d">
        <x:v>2026-10-30T00:00:00.000Z</x:v>
      </x:c>
      <x:c r="C436" s="26" t="n">
        <x:v>0.7083333333333334</x:v>
      </x:c>
      <x:c r="D436" s="13" t="str">
        <x:v>presencial</x:v>
      </x:c>
      <x:c r="E436" s="13" t="str">
        <x:v>não</x:v>
      </x:c>
      <x:c r="F436" s="13" t="str">
        <x:v>Sala 1</x:v>
      </x:c>
      <x:c r="G436" s="12" t="n">
        <x:f>IF(A436="","",'Agenda'!$B$5)</x:f>
        <x:v>50</x:v>
      </x:c>
      <x:c r="H436" s="12" t="n">
        <x:f>IF(A436="","",'Agenda'!$B$6)</x:f>
        <x:v>10</x:v>
      </x:c>
      <x:c r="I436" s="24" t="n">
        <x:f>IF(A436="","",C436+G436/1440)</x:f>
        <x:v>0.7430555555555556</x:v>
      </x:c>
      <x:c r="J436" s="24" t="n">
        <x:f>IF(A436="","",C436+(G436+H436)/1440)</x:f>
        <x:v>0.75</x:v>
      </x:c>
      <x:c r="K436" s="27" t="n">
        <x:f>IF(A436="","",IF(E436&lt;&gt;"sim",0,COUNTIFS($B$2:$B$501,B436,$F$2:$F$501,F436,$E$2:$E$501,"sim",$C$2:$C$501,"&lt;"&amp;J436,$J$2:$J$501,"&gt;"&amp;C436)-1))</x:f>
        <x:v>0</x:v>
      </x:c>
      <x:c r="L436" s="27" t="n">
        <x:f>IF(A436="","",IF(E436&lt;&gt;"sim",0,COUNTIFS($B$2:$B$501,B436,$A$2:$A$501,A436,$E$2:$E$501,"sim",$C$2:$C$501,"&lt;"&amp;J436,$J$2:$J$501,"&gt;"&amp;C436)-1))</x:f>
        <x:v>0</x:v>
      </x:c>
      <x:c r="M436" s="2" t="str">
        <x:f>IF(A436="","",IF(E436&lt;&gt;"sim","Revisar escala",IF(OR(K436&gt;0,L436&gt;0),"Conflito de escala",IF(COUNTIFS('Solicitacoes'!$F$2:$F$501,B436,'Solicitacoes'!$K$2:$K$501,F436,'Solicitacoes'!$I$2:$I$501,"pendente",'Solicitacoes'!$G$2:$G$501,"&lt;"&amp;J436,'Solicitacoes'!$N$2:$N$501,"&gt;"&amp;C436)+COUNTIFS('Solicitacoes'!$F$2:$F$501,B436,'Solicitacoes'!$E$2:$E$501,A436,'Solicitacoes'!$I$2:$I$501,"pendente",'Solicitacoes'!$G$2:$G$501,"&lt;"&amp;J436,'Solicitacoes'!$N$2:$N$501,"&gt;"&amp;C436)+COUNTIFS('Solicitacoes'!$F$2:$F$501,B436,'Solicitacoes'!$K$2:$K$501,F436,'Solicitacoes'!$I$2:$I$501,"confirmado",'Solicitacoes'!$G$2:$G$501,"&lt;"&amp;J436,'Solicitacoes'!$N$2:$N$501,"&gt;"&amp;C436)+COUNTIFS('Solicitacoes'!$F$2:$F$501,B436,'Solicitacoes'!$E$2:$E$501,A436,'Solicitacoes'!$I$2:$I$501,"confirmado",'Solicitacoes'!$G$2:$G$501,"&lt;"&amp;J436,'Solicitacoes'!$N$2:$N$501,"&gt;"&amp;C436)&gt;0,"Ocupado","Disponível"))))</x:f>
        <x:v>Revisar escala</x:v>
      </x:c>
      <x:c r="N436" s="2" t="n">
        <x:f>IF(A436="","",ROW()-1)</x:f>
        <x:v>435</x:v>
      </x:c>
    </x:row>
    <x:row r="437" ht="24" customHeight="1">
      <x:c r="A437" s="13" t="str">
        <x:v>Géssyca Martins</x:v>
      </x:c>
      <x:c r="B437" s="14" t="d">
        <x:v>2026-10-30T00:00:00.000Z</x:v>
      </x:c>
      <x:c r="C437" s="26" t="n">
        <x:v>0.7083333333333334</x:v>
      </x:c>
      <x:c r="D437" s="13" t="str">
        <x:v>presencial</x:v>
      </x:c>
      <x:c r="E437" s="13" t="str">
        <x:v>não</x:v>
      </x:c>
      <x:c r="F437" s="13" t="str">
        <x:v>Sala 2</x:v>
      </x:c>
      <x:c r="G437" s="12" t="n">
        <x:f>IF(A437="","",'Agenda'!$B$5)</x:f>
        <x:v>50</x:v>
      </x:c>
      <x:c r="H437" s="12" t="n">
        <x:f>IF(A437="","",'Agenda'!$B$6)</x:f>
        <x:v>10</x:v>
      </x:c>
      <x:c r="I437" s="24" t="n">
        <x:f>IF(A437="","",C437+G437/1440)</x:f>
        <x:v>0.7430555555555556</x:v>
      </x:c>
      <x:c r="J437" s="24" t="n">
        <x:f>IF(A437="","",C437+(G437+H437)/1440)</x:f>
        <x:v>0.75</x:v>
      </x:c>
      <x:c r="K437" s="27" t="n">
        <x:f>IF(A437="","",IF(E437&lt;&gt;"sim",0,COUNTIFS($B$2:$B$501,B437,$F$2:$F$501,F437,$E$2:$E$501,"sim",$C$2:$C$501,"&lt;"&amp;J437,$J$2:$J$501,"&gt;"&amp;C437)-1))</x:f>
        <x:v>0</x:v>
      </x:c>
      <x:c r="L437" s="27" t="n">
        <x:f>IF(A437="","",IF(E437&lt;&gt;"sim",0,COUNTIFS($B$2:$B$501,B437,$A$2:$A$501,A437,$E$2:$E$501,"sim",$C$2:$C$501,"&lt;"&amp;J437,$J$2:$J$501,"&gt;"&amp;C437)-1))</x:f>
        <x:v>0</x:v>
      </x:c>
      <x:c r="M437" s="2" t="str">
        <x:f>IF(A437="","",IF(E437&lt;&gt;"sim","Revisar escala",IF(OR(K437&gt;0,L437&gt;0),"Conflito de escala",IF(COUNTIFS('Solicitacoes'!$F$2:$F$501,B437,'Solicitacoes'!$K$2:$K$501,F437,'Solicitacoes'!$I$2:$I$501,"pendente",'Solicitacoes'!$G$2:$G$501,"&lt;"&amp;J437,'Solicitacoes'!$N$2:$N$501,"&gt;"&amp;C437)+COUNTIFS('Solicitacoes'!$F$2:$F$501,B437,'Solicitacoes'!$E$2:$E$501,A437,'Solicitacoes'!$I$2:$I$501,"pendente",'Solicitacoes'!$G$2:$G$501,"&lt;"&amp;J437,'Solicitacoes'!$N$2:$N$501,"&gt;"&amp;C437)+COUNTIFS('Solicitacoes'!$F$2:$F$501,B437,'Solicitacoes'!$K$2:$K$501,F437,'Solicitacoes'!$I$2:$I$501,"confirmado",'Solicitacoes'!$G$2:$G$501,"&lt;"&amp;J437,'Solicitacoes'!$N$2:$N$501,"&gt;"&amp;C437)+COUNTIFS('Solicitacoes'!$F$2:$F$501,B437,'Solicitacoes'!$E$2:$E$501,A437,'Solicitacoes'!$I$2:$I$501,"confirmado",'Solicitacoes'!$G$2:$G$501,"&lt;"&amp;J437,'Solicitacoes'!$N$2:$N$501,"&gt;"&amp;C437)&gt;0,"Ocupado","Disponível"))))</x:f>
        <x:v>Revisar escala</x:v>
      </x:c>
      <x:c r="N437" s="2" t="n">
        <x:f>IF(A437="","",ROW()-1)</x:f>
        <x:v>436</x:v>
      </x:c>
    </x:row>
    <x:row r="438" ht="24" customHeight="1">
      <x:c r="A438" s="13" t="str">
        <x:v>Aline Reis</x:v>
      </x:c>
      <x:c r="B438" s="14" t="d">
        <x:v>2026-10-30T00:00:00.000Z</x:v>
      </x:c>
      <x:c r="C438" s="26" t="n">
        <x:v>0.75</x:v>
      </x:c>
      <x:c r="D438" s="13" t="str">
        <x:v>presencial</x:v>
      </x:c>
      <x:c r="E438" s="13" t="str">
        <x:v>não</x:v>
      </x:c>
      <x:c r="F438" s="13" t="str">
        <x:v>Sala 1</x:v>
      </x:c>
      <x:c r="G438" s="12" t="n">
        <x:f>IF(A438="","",'Agenda'!$B$5)</x:f>
        <x:v>50</x:v>
      </x:c>
      <x:c r="H438" s="12" t="n">
        <x:f>IF(A438="","",'Agenda'!$B$6)</x:f>
        <x:v>10</x:v>
      </x:c>
      <x:c r="I438" s="24" t="n">
        <x:f>IF(A438="","",C438+G438/1440)</x:f>
        <x:v>0.7847222222222222</x:v>
      </x:c>
      <x:c r="J438" s="24" t="n">
        <x:f>IF(A438="","",C438+(G438+H438)/1440)</x:f>
        <x:v>0.7916666666666666</x:v>
      </x:c>
      <x:c r="K438" s="27" t="n">
        <x:f>IF(A438="","",IF(E438&lt;&gt;"sim",0,COUNTIFS($B$2:$B$501,B438,$F$2:$F$501,F438,$E$2:$E$501,"sim",$C$2:$C$501,"&lt;"&amp;J438,$J$2:$J$501,"&gt;"&amp;C438)-1))</x:f>
        <x:v>0</x:v>
      </x:c>
      <x:c r="L438" s="27" t="n">
        <x:f>IF(A438="","",IF(E438&lt;&gt;"sim",0,COUNTIFS($B$2:$B$501,B438,$A$2:$A$501,A438,$E$2:$E$501,"sim",$C$2:$C$501,"&lt;"&amp;J438,$J$2:$J$501,"&gt;"&amp;C438)-1))</x:f>
        <x:v>0</x:v>
      </x:c>
      <x:c r="M438" s="2" t="str">
        <x:f>IF(A438="","",IF(E438&lt;&gt;"sim","Revisar escala",IF(OR(K438&gt;0,L438&gt;0),"Conflito de escala",IF(COUNTIFS('Solicitacoes'!$F$2:$F$501,B438,'Solicitacoes'!$K$2:$K$501,F438,'Solicitacoes'!$I$2:$I$501,"pendente",'Solicitacoes'!$G$2:$G$501,"&lt;"&amp;J438,'Solicitacoes'!$N$2:$N$501,"&gt;"&amp;C438)+COUNTIFS('Solicitacoes'!$F$2:$F$501,B438,'Solicitacoes'!$E$2:$E$501,A438,'Solicitacoes'!$I$2:$I$501,"pendente",'Solicitacoes'!$G$2:$G$501,"&lt;"&amp;J438,'Solicitacoes'!$N$2:$N$501,"&gt;"&amp;C438)+COUNTIFS('Solicitacoes'!$F$2:$F$501,B438,'Solicitacoes'!$K$2:$K$501,F438,'Solicitacoes'!$I$2:$I$501,"confirmado",'Solicitacoes'!$G$2:$G$501,"&lt;"&amp;J438,'Solicitacoes'!$N$2:$N$501,"&gt;"&amp;C438)+COUNTIFS('Solicitacoes'!$F$2:$F$501,B438,'Solicitacoes'!$E$2:$E$501,A438,'Solicitacoes'!$I$2:$I$501,"confirmado",'Solicitacoes'!$G$2:$G$501,"&lt;"&amp;J438,'Solicitacoes'!$N$2:$N$501,"&gt;"&amp;C438)&gt;0,"Ocupado","Disponível"))))</x:f>
        <x:v>Revisar escala</x:v>
      </x:c>
      <x:c r="N438" s="2" t="n">
        <x:f>IF(A438="","",ROW()-1)</x:f>
        <x:v>437</x:v>
      </x:c>
    </x:row>
    <x:row r="439" ht="24" customHeight="1">
      <x:c r="A439" s="13" t="str">
        <x:v>Géssyca Martins</x:v>
      </x:c>
      <x:c r="B439" s="14" t="d">
        <x:v>2026-10-30T00:00:00.000Z</x:v>
      </x:c>
      <x:c r="C439" s="26" t="n">
        <x:v>0.75</x:v>
      </x:c>
      <x:c r="D439" s="13" t="str">
        <x:v>presencial</x:v>
      </x:c>
      <x:c r="E439" s="13" t="str">
        <x:v>não</x:v>
      </x:c>
      <x:c r="F439" s="13" t="str">
        <x:v>Sala 2</x:v>
      </x:c>
      <x:c r="G439" s="12" t="n">
        <x:f>IF(A439="","",'Agenda'!$B$5)</x:f>
        <x:v>50</x:v>
      </x:c>
      <x:c r="H439" s="12" t="n">
        <x:f>IF(A439="","",'Agenda'!$B$6)</x:f>
        <x:v>10</x:v>
      </x:c>
      <x:c r="I439" s="24" t="n">
        <x:f>IF(A439="","",C439+G439/1440)</x:f>
        <x:v>0.7847222222222222</x:v>
      </x:c>
      <x:c r="J439" s="24" t="n">
        <x:f>IF(A439="","",C439+(G439+H439)/1440)</x:f>
        <x:v>0.7916666666666666</x:v>
      </x:c>
      <x:c r="K439" s="27" t="n">
        <x:f>IF(A439="","",IF(E439&lt;&gt;"sim",0,COUNTIFS($B$2:$B$501,B439,$F$2:$F$501,F439,$E$2:$E$501,"sim",$C$2:$C$501,"&lt;"&amp;J439,$J$2:$J$501,"&gt;"&amp;C439)-1))</x:f>
        <x:v>0</x:v>
      </x:c>
      <x:c r="L439" s="27" t="n">
        <x:f>IF(A439="","",IF(E439&lt;&gt;"sim",0,COUNTIFS($B$2:$B$501,B439,$A$2:$A$501,A439,$E$2:$E$501,"sim",$C$2:$C$501,"&lt;"&amp;J439,$J$2:$J$501,"&gt;"&amp;C439)-1))</x:f>
        <x:v>0</x:v>
      </x:c>
      <x:c r="M439" s="2" t="str">
        <x:f>IF(A439="","",IF(E439&lt;&gt;"sim","Revisar escala",IF(OR(K439&gt;0,L439&gt;0),"Conflito de escala",IF(COUNTIFS('Solicitacoes'!$F$2:$F$501,B439,'Solicitacoes'!$K$2:$K$501,F439,'Solicitacoes'!$I$2:$I$501,"pendente",'Solicitacoes'!$G$2:$G$501,"&lt;"&amp;J439,'Solicitacoes'!$N$2:$N$501,"&gt;"&amp;C439)+COUNTIFS('Solicitacoes'!$F$2:$F$501,B439,'Solicitacoes'!$E$2:$E$501,A439,'Solicitacoes'!$I$2:$I$501,"pendente",'Solicitacoes'!$G$2:$G$501,"&lt;"&amp;J439,'Solicitacoes'!$N$2:$N$501,"&gt;"&amp;C439)+COUNTIFS('Solicitacoes'!$F$2:$F$501,B439,'Solicitacoes'!$K$2:$K$501,F439,'Solicitacoes'!$I$2:$I$501,"confirmado",'Solicitacoes'!$G$2:$G$501,"&lt;"&amp;J439,'Solicitacoes'!$N$2:$N$501,"&gt;"&amp;C439)+COUNTIFS('Solicitacoes'!$F$2:$F$501,B439,'Solicitacoes'!$E$2:$E$501,A439,'Solicitacoes'!$I$2:$I$501,"confirmado",'Solicitacoes'!$G$2:$G$501,"&lt;"&amp;J439,'Solicitacoes'!$N$2:$N$501,"&gt;"&amp;C439)&gt;0,"Ocupado","Disponível"))))</x:f>
        <x:v>Revisar escala</x:v>
      </x:c>
      <x:c r="N439" s="2" t="n">
        <x:f>IF(A439="","",ROW()-1)</x:f>
        <x:v>438</x:v>
      </x:c>
    </x:row>
    <x:row r="440" ht="24" customHeight="1">
      <x:c r="A440" s="13" t="str">
        <x:v>Aline Reis</x:v>
      </x:c>
      <x:c r="B440" s="14" t="d">
        <x:v>2026-10-30T00:00:00.000Z</x:v>
      </x:c>
      <x:c r="C440" s="26" t="n">
        <x:v>0.7916666666666666</x:v>
      </x:c>
      <x:c r="D440" s="13" t="str">
        <x:v>presencial</x:v>
      </x:c>
      <x:c r="E440" s="13" t="str">
        <x:v>não</x:v>
      </x:c>
      <x:c r="F440" s="13" t="str">
        <x:v>Sala 1</x:v>
      </x:c>
      <x:c r="G440" s="12" t="n">
        <x:f>IF(A440="","",'Agenda'!$B$5)</x:f>
        <x:v>50</x:v>
      </x:c>
      <x:c r="H440" s="12" t="n">
        <x:f>IF(A440="","",'Agenda'!$B$6)</x:f>
        <x:v>10</x:v>
      </x:c>
      <x:c r="I440" s="24" t="n">
        <x:f>IF(A440="","",C440+G440/1440)</x:f>
        <x:v>0.8263888888888888</x:v>
      </x:c>
      <x:c r="J440" s="24" t="n">
        <x:f>IF(A440="","",C440+(G440+H440)/1440)</x:f>
        <x:v>0.8333333333333333</x:v>
      </x:c>
      <x:c r="K440" s="27" t="n">
        <x:f>IF(A440="","",IF(E440&lt;&gt;"sim",0,COUNTIFS($B$2:$B$501,B440,$F$2:$F$501,F440,$E$2:$E$501,"sim",$C$2:$C$501,"&lt;"&amp;J440,$J$2:$J$501,"&gt;"&amp;C440)-1))</x:f>
        <x:v>0</x:v>
      </x:c>
      <x:c r="L440" s="27" t="n">
        <x:f>IF(A440="","",IF(E440&lt;&gt;"sim",0,COUNTIFS($B$2:$B$501,B440,$A$2:$A$501,A440,$E$2:$E$501,"sim",$C$2:$C$501,"&lt;"&amp;J440,$J$2:$J$501,"&gt;"&amp;C440)-1))</x:f>
        <x:v>0</x:v>
      </x:c>
      <x:c r="M440" s="2" t="str">
        <x:f>IF(A440="","",IF(E440&lt;&gt;"sim","Revisar escala",IF(OR(K440&gt;0,L440&gt;0),"Conflito de escala",IF(COUNTIFS('Solicitacoes'!$F$2:$F$501,B440,'Solicitacoes'!$K$2:$K$501,F440,'Solicitacoes'!$I$2:$I$501,"pendente",'Solicitacoes'!$G$2:$G$501,"&lt;"&amp;J440,'Solicitacoes'!$N$2:$N$501,"&gt;"&amp;C440)+COUNTIFS('Solicitacoes'!$F$2:$F$501,B440,'Solicitacoes'!$E$2:$E$501,A440,'Solicitacoes'!$I$2:$I$501,"pendente",'Solicitacoes'!$G$2:$G$501,"&lt;"&amp;J440,'Solicitacoes'!$N$2:$N$501,"&gt;"&amp;C440)+COUNTIFS('Solicitacoes'!$F$2:$F$501,B440,'Solicitacoes'!$K$2:$K$501,F440,'Solicitacoes'!$I$2:$I$501,"confirmado",'Solicitacoes'!$G$2:$G$501,"&lt;"&amp;J440,'Solicitacoes'!$N$2:$N$501,"&gt;"&amp;C440)+COUNTIFS('Solicitacoes'!$F$2:$F$501,B440,'Solicitacoes'!$E$2:$E$501,A440,'Solicitacoes'!$I$2:$I$501,"confirmado",'Solicitacoes'!$G$2:$G$501,"&lt;"&amp;J440,'Solicitacoes'!$N$2:$N$501,"&gt;"&amp;C440)&gt;0,"Ocupado","Disponível"))))</x:f>
        <x:v>Revisar escala</x:v>
      </x:c>
      <x:c r="N440" s="2" t="n">
        <x:f>IF(A440="","",ROW()-1)</x:f>
        <x:v>439</x:v>
      </x:c>
    </x:row>
    <x:row r="441" ht="24" customHeight="1">
      <x:c r="A441" s="13" t="str">
        <x:v>Géssyca Martins</x:v>
      </x:c>
      <x:c r="B441" s="14" t="d">
        <x:v>2026-10-30T00:00:00.000Z</x:v>
      </x:c>
      <x:c r="C441" s="26" t="n">
        <x:v>0.7916666666666666</x:v>
      </x:c>
      <x:c r="D441" s="13" t="str">
        <x:v>presencial</x:v>
      </x:c>
      <x:c r="E441" s="13" t="str">
        <x:v>não</x:v>
      </x:c>
      <x:c r="F441" s="13" t="str">
        <x:v>Sala 2</x:v>
      </x:c>
      <x:c r="G441" s="12" t="n">
        <x:f>IF(A441="","",'Agenda'!$B$5)</x:f>
        <x:v>50</x:v>
      </x:c>
      <x:c r="H441" s="12" t="n">
        <x:f>IF(A441="","",'Agenda'!$B$6)</x:f>
        <x:v>10</x:v>
      </x:c>
      <x:c r="I441" s="24" t="n">
        <x:f>IF(A441="","",C441+G441/1440)</x:f>
        <x:v>0.8263888888888888</x:v>
      </x:c>
      <x:c r="J441" s="24" t="n">
        <x:f>IF(A441="","",C441+(G441+H441)/1440)</x:f>
        <x:v>0.8333333333333333</x:v>
      </x:c>
      <x:c r="K441" s="27" t="n">
        <x:f>IF(A441="","",IF(E441&lt;&gt;"sim",0,COUNTIFS($B$2:$B$501,B441,$F$2:$F$501,F441,$E$2:$E$501,"sim",$C$2:$C$501,"&lt;"&amp;J441,$J$2:$J$501,"&gt;"&amp;C441)-1))</x:f>
        <x:v>0</x:v>
      </x:c>
      <x:c r="L441" s="27" t="n">
        <x:f>IF(A441="","",IF(E441&lt;&gt;"sim",0,COUNTIFS($B$2:$B$501,B441,$A$2:$A$501,A441,$E$2:$E$501,"sim",$C$2:$C$501,"&lt;"&amp;J441,$J$2:$J$501,"&gt;"&amp;C441)-1))</x:f>
        <x:v>0</x:v>
      </x:c>
      <x:c r="M441" s="2" t="str">
        <x:f>IF(A441="","",IF(E441&lt;&gt;"sim","Revisar escala",IF(OR(K441&gt;0,L441&gt;0),"Conflito de escala",IF(COUNTIFS('Solicitacoes'!$F$2:$F$501,B441,'Solicitacoes'!$K$2:$K$501,F441,'Solicitacoes'!$I$2:$I$501,"pendente",'Solicitacoes'!$G$2:$G$501,"&lt;"&amp;J441,'Solicitacoes'!$N$2:$N$501,"&gt;"&amp;C441)+COUNTIFS('Solicitacoes'!$F$2:$F$501,B441,'Solicitacoes'!$E$2:$E$501,A441,'Solicitacoes'!$I$2:$I$501,"pendente",'Solicitacoes'!$G$2:$G$501,"&lt;"&amp;J441,'Solicitacoes'!$N$2:$N$501,"&gt;"&amp;C441)+COUNTIFS('Solicitacoes'!$F$2:$F$501,B441,'Solicitacoes'!$K$2:$K$501,F441,'Solicitacoes'!$I$2:$I$501,"confirmado",'Solicitacoes'!$G$2:$G$501,"&lt;"&amp;J441,'Solicitacoes'!$N$2:$N$501,"&gt;"&amp;C441)+COUNTIFS('Solicitacoes'!$F$2:$F$501,B441,'Solicitacoes'!$E$2:$E$501,A441,'Solicitacoes'!$I$2:$I$501,"confirmado",'Solicitacoes'!$G$2:$G$501,"&lt;"&amp;J441,'Solicitacoes'!$N$2:$N$501,"&gt;"&amp;C441)&gt;0,"Ocupado","Disponível"))))</x:f>
        <x:v>Revisar escala</x:v>
      </x:c>
      <x:c r="N441" s="2" t="n">
        <x:f>IF(A441="","",ROW()-1)</x:f>
        <x:v>440</x:v>
      </x:c>
    </x:row>
    <x:row r="442" ht="24" customHeight="1">
      <x:c r="A442" s="13"/>
      <x:c r="B442" s="14"/>
      <x:c r="C442" s="26"/>
      <x:c r="D442" s="13"/>
      <x:c r="E442" s="13"/>
      <x:c r="F442" s="13"/>
      <x:c r="G442" s="12" t="str">
        <x:f>IF(A442="","",'Agenda'!$B$5)</x:f>
      </x:c>
      <x:c r="H442" s="12" t="str">
        <x:f>IF(A442="","",'Agenda'!$B$6)</x:f>
      </x:c>
      <x:c r="I442" s="24" t="str">
        <x:f>IF(A442="","",C442+G442/1440)</x:f>
      </x:c>
      <x:c r="J442" s="24" t="str">
        <x:f>IF(A442="","",C442+(G442+H442)/1440)</x:f>
      </x:c>
      <x:c r="K442" s="27" t="str">
        <x:f>IF(A442="","",IF(E442&lt;&gt;"sim",0,COUNTIFS($B$2:$B$501,B442,$F$2:$F$501,F442,$E$2:$E$501,"sim",$C$2:$C$501,"&lt;"&amp;J442,$J$2:$J$501,"&gt;"&amp;C442)-1))</x:f>
      </x:c>
      <x:c r="L442" s="27" t="str">
        <x:f>IF(A442="","",IF(E442&lt;&gt;"sim",0,COUNTIFS($B$2:$B$501,B442,$A$2:$A$501,A442,$E$2:$E$501,"sim",$C$2:$C$501,"&lt;"&amp;J442,$J$2:$J$501,"&gt;"&amp;C442)-1))</x:f>
      </x:c>
      <x:c r="M442" s="2" t="str">
        <x:f>IF(A442="","",IF(E442&lt;&gt;"sim","Revisar escala",IF(OR(K442&gt;0,L442&gt;0),"Conflito de escala",IF(COUNTIFS('Solicitacoes'!$F$2:$F$501,B442,'Solicitacoes'!$K$2:$K$501,F442,'Solicitacoes'!$I$2:$I$501,"pendente",'Solicitacoes'!$G$2:$G$501,"&lt;"&amp;J442,'Solicitacoes'!$N$2:$N$501,"&gt;"&amp;C442)+COUNTIFS('Solicitacoes'!$F$2:$F$501,B442,'Solicitacoes'!$E$2:$E$501,A442,'Solicitacoes'!$I$2:$I$501,"pendente",'Solicitacoes'!$G$2:$G$501,"&lt;"&amp;J442,'Solicitacoes'!$N$2:$N$501,"&gt;"&amp;C442)+COUNTIFS('Solicitacoes'!$F$2:$F$501,B442,'Solicitacoes'!$K$2:$K$501,F442,'Solicitacoes'!$I$2:$I$501,"confirmado",'Solicitacoes'!$G$2:$G$501,"&lt;"&amp;J442,'Solicitacoes'!$N$2:$N$501,"&gt;"&amp;C442)+COUNTIFS('Solicitacoes'!$F$2:$F$501,B442,'Solicitacoes'!$E$2:$E$501,A442,'Solicitacoes'!$I$2:$I$501,"confirmado",'Solicitacoes'!$G$2:$G$501,"&lt;"&amp;J442,'Solicitacoes'!$N$2:$N$501,"&gt;"&amp;C442)&gt;0,"Ocupado","Disponível"))))</x:f>
      </x:c>
      <x:c r="N442" s="2" t="str">
        <x:f>IF(A442="","",ROW()-1)</x:f>
      </x:c>
    </x:row>
    <x:row r="443" ht="24" customHeight="1">
      <x:c r="A443" s="13"/>
      <x:c r="B443" s="14"/>
      <x:c r="C443" s="26"/>
      <x:c r="D443" s="13"/>
      <x:c r="E443" s="13"/>
      <x:c r="F443" s="13"/>
      <x:c r="G443" s="12" t="str">
        <x:f>IF(A443="","",'Agenda'!$B$5)</x:f>
      </x:c>
      <x:c r="H443" s="12" t="str">
        <x:f>IF(A443="","",'Agenda'!$B$6)</x:f>
      </x:c>
      <x:c r="I443" s="24" t="str">
        <x:f>IF(A443="","",C443+G443/1440)</x:f>
      </x:c>
      <x:c r="J443" s="24" t="str">
        <x:f>IF(A443="","",C443+(G443+H443)/1440)</x:f>
      </x:c>
      <x:c r="K443" s="27" t="str">
        <x:f>IF(A443="","",IF(E443&lt;&gt;"sim",0,COUNTIFS($B$2:$B$501,B443,$F$2:$F$501,F443,$E$2:$E$501,"sim",$C$2:$C$501,"&lt;"&amp;J443,$J$2:$J$501,"&gt;"&amp;C443)-1))</x:f>
      </x:c>
      <x:c r="L443" s="27" t="str">
        <x:f>IF(A443="","",IF(E443&lt;&gt;"sim",0,COUNTIFS($B$2:$B$501,B443,$A$2:$A$501,A443,$E$2:$E$501,"sim",$C$2:$C$501,"&lt;"&amp;J443,$J$2:$J$501,"&gt;"&amp;C443)-1))</x:f>
      </x:c>
      <x:c r="M443" s="2" t="str">
        <x:f>IF(A443="","",IF(E443&lt;&gt;"sim","Revisar escala",IF(OR(K443&gt;0,L443&gt;0),"Conflito de escala",IF(COUNTIFS('Solicitacoes'!$F$2:$F$501,B443,'Solicitacoes'!$K$2:$K$501,F443,'Solicitacoes'!$I$2:$I$501,"pendente",'Solicitacoes'!$G$2:$G$501,"&lt;"&amp;J443,'Solicitacoes'!$N$2:$N$501,"&gt;"&amp;C443)+COUNTIFS('Solicitacoes'!$F$2:$F$501,B443,'Solicitacoes'!$E$2:$E$501,A443,'Solicitacoes'!$I$2:$I$501,"pendente",'Solicitacoes'!$G$2:$G$501,"&lt;"&amp;J443,'Solicitacoes'!$N$2:$N$501,"&gt;"&amp;C443)+COUNTIFS('Solicitacoes'!$F$2:$F$501,B443,'Solicitacoes'!$K$2:$K$501,F443,'Solicitacoes'!$I$2:$I$501,"confirmado",'Solicitacoes'!$G$2:$G$501,"&lt;"&amp;J443,'Solicitacoes'!$N$2:$N$501,"&gt;"&amp;C443)+COUNTIFS('Solicitacoes'!$F$2:$F$501,B443,'Solicitacoes'!$E$2:$E$501,A443,'Solicitacoes'!$I$2:$I$501,"confirmado",'Solicitacoes'!$G$2:$G$501,"&lt;"&amp;J443,'Solicitacoes'!$N$2:$N$501,"&gt;"&amp;C443)&gt;0,"Ocupado","Disponível"))))</x:f>
      </x:c>
      <x:c r="N443" s="2" t="str">
        <x:f>IF(A443="","",ROW()-1)</x:f>
      </x:c>
    </x:row>
    <x:row r="444" ht="24" customHeight="1">
      <x:c r="A444" s="13"/>
      <x:c r="B444" s="14"/>
      <x:c r="C444" s="26"/>
      <x:c r="D444" s="13"/>
      <x:c r="E444" s="13"/>
      <x:c r="F444" s="13"/>
      <x:c r="G444" s="12" t="str">
        <x:f>IF(A444="","",'Agenda'!$B$5)</x:f>
      </x:c>
      <x:c r="H444" s="12" t="str">
        <x:f>IF(A444="","",'Agenda'!$B$6)</x:f>
      </x:c>
      <x:c r="I444" s="24" t="str">
        <x:f>IF(A444="","",C444+G444/1440)</x:f>
      </x:c>
      <x:c r="J444" s="24" t="str">
        <x:f>IF(A444="","",C444+(G444+H444)/1440)</x:f>
      </x:c>
      <x:c r="K444" s="27" t="str">
        <x:f>IF(A444="","",IF(E444&lt;&gt;"sim",0,COUNTIFS($B$2:$B$501,B444,$F$2:$F$501,F444,$E$2:$E$501,"sim",$C$2:$C$501,"&lt;"&amp;J444,$J$2:$J$501,"&gt;"&amp;C444)-1))</x:f>
      </x:c>
      <x:c r="L444" s="27" t="str">
        <x:f>IF(A444="","",IF(E444&lt;&gt;"sim",0,COUNTIFS($B$2:$B$501,B444,$A$2:$A$501,A444,$E$2:$E$501,"sim",$C$2:$C$501,"&lt;"&amp;J444,$J$2:$J$501,"&gt;"&amp;C444)-1))</x:f>
      </x:c>
      <x:c r="M444" s="2" t="str">
        <x:f>IF(A444="","",IF(E444&lt;&gt;"sim","Revisar escala",IF(OR(K444&gt;0,L444&gt;0),"Conflito de escala",IF(COUNTIFS('Solicitacoes'!$F$2:$F$501,B444,'Solicitacoes'!$K$2:$K$501,F444,'Solicitacoes'!$I$2:$I$501,"pendente",'Solicitacoes'!$G$2:$G$501,"&lt;"&amp;J444,'Solicitacoes'!$N$2:$N$501,"&gt;"&amp;C444)+COUNTIFS('Solicitacoes'!$F$2:$F$501,B444,'Solicitacoes'!$E$2:$E$501,A444,'Solicitacoes'!$I$2:$I$501,"pendente",'Solicitacoes'!$G$2:$G$501,"&lt;"&amp;J444,'Solicitacoes'!$N$2:$N$501,"&gt;"&amp;C444)+COUNTIFS('Solicitacoes'!$F$2:$F$501,B444,'Solicitacoes'!$K$2:$K$501,F444,'Solicitacoes'!$I$2:$I$501,"confirmado",'Solicitacoes'!$G$2:$G$501,"&lt;"&amp;J444,'Solicitacoes'!$N$2:$N$501,"&gt;"&amp;C444)+COUNTIFS('Solicitacoes'!$F$2:$F$501,B444,'Solicitacoes'!$E$2:$E$501,A444,'Solicitacoes'!$I$2:$I$501,"confirmado",'Solicitacoes'!$G$2:$G$501,"&lt;"&amp;J444,'Solicitacoes'!$N$2:$N$501,"&gt;"&amp;C444)&gt;0,"Ocupado","Disponível"))))</x:f>
      </x:c>
      <x:c r="N444" s="2" t="str">
        <x:f>IF(A444="","",ROW()-1)</x:f>
      </x:c>
    </x:row>
    <x:row r="445" ht="24" customHeight="1">
      <x:c r="A445" s="13"/>
      <x:c r="B445" s="14"/>
      <x:c r="C445" s="26"/>
      <x:c r="D445" s="13"/>
      <x:c r="E445" s="13"/>
      <x:c r="F445" s="13"/>
      <x:c r="G445" s="12" t="str">
        <x:f>IF(A445="","",'Agenda'!$B$5)</x:f>
      </x:c>
      <x:c r="H445" s="12" t="str">
        <x:f>IF(A445="","",'Agenda'!$B$6)</x:f>
      </x:c>
      <x:c r="I445" s="24" t="str">
        <x:f>IF(A445="","",C445+G445/1440)</x:f>
      </x:c>
      <x:c r="J445" s="24" t="str">
        <x:f>IF(A445="","",C445+(G445+H445)/1440)</x:f>
      </x:c>
      <x:c r="K445" s="27" t="str">
        <x:f>IF(A445="","",IF(E445&lt;&gt;"sim",0,COUNTIFS($B$2:$B$501,B445,$F$2:$F$501,F445,$E$2:$E$501,"sim",$C$2:$C$501,"&lt;"&amp;J445,$J$2:$J$501,"&gt;"&amp;C445)-1))</x:f>
      </x:c>
      <x:c r="L445" s="27" t="str">
        <x:f>IF(A445="","",IF(E445&lt;&gt;"sim",0,COUNTIFS($B$2:$B$501,B445,$A$2:$A$501,A445,$E$2:$E$501,"sim",$C$2:$C$501,"&lt;"&amp;J445,$J$2:$J$501,"&gt;"&amp;C445)-1))</x:f>
      </x:c>
      <x:c r="M445" s="2" t="str">
        <x:f>IF(A445="","",IF(E445&lt;&gt;"sim","Revisar escala",IF(OR(K445&gt;0,L445&gt;0),"Conflito de escala",IF(COUNTIFS('Solicitacoes'!$F$2:$F$501,B445,'Solicitacoes'!$K$2:$K$501,F445,'Solicitacoes'!$I$2:$I$501,"pendente",'Solicitacoes'!$G$2:$G$501,"&lt;"&amp;J445,'Solicitacoes'!$N$2:$N$501,"&gt;"&amp;C445)+COUNTIFS('Solicitacoes'!$F$2:$F$501,B445,'Solicitacoes'!$E$2:$E$501,A445,'Solicitacoes'!$I$2:$I$501,"pendente",'Solicitacoes'!$G$2:$G$501,"&lt;"&amp;J445,'Solicitacoes'!$N$2:$N$501,"&gt;"&amp;C445)+COUNTIFS('Solicitacoes'!$F$2:$F$501,B445,'Solicitacoes'!$K$2:$K$501,F445,'Solicitacoes'!$I$2:$I$501,"confirmado",'Solicitacoes'!$G$2:$G$501,"&lt;"&amp;J445,'Solicitacoes'!$N$2:$N$501,"&gt;"&amp;C445)+COUNTIFS('Solicitacoes'!$F$2:$F$501,B445,'Solicitacoes'!$E$2:$E$501,A445,'Solicitacoes'!$I$2:$I$501,"confirmado",'Solicitacoes'!$G$2:$G$501,"&lt;"&amp;J445,'Solicitacoes'!$N$2:$N$501,"&gt;"&amp;C445)&gt;0,"Ocupado","Disponível"))))</x:f>
      </x:c>
      <x:c r="N445" s="2" t="str">
        <x:f>IF(A445="","",ROW()-1)</x:f>
      </x:c>
    </x:row>
    <x:row r="446" ht="24" customHeight="1">
      <x:c r="A446" s="13"/>
      <x:c r="B446" s="14"/>
      <x:c r="C446" s="26"/>
      <x:c r="D446" s="13"/>
      <x:c r="E446" s="13"/>
      <x:c r="F446" s="13"/>
      <x:c r="G446" s="12" t="str">
        <x:f>IF(A446="","",'Agenda'!$B$5)</x:f>
      </x:c>
      <x:c r="H446" s="12" t="str">
        <x:f>IF(A446="","",'Agenda'!$B$6)</x:f>
      </x:c>
      <x:c r="I446" s="24" t="str">
        <x:f>IF(A446="","",C446+G446/1440)</x:f>
      </x:c>
      <x:c r="J446" s="24" t="str">
        <x:f>IF(A446="","",C446+(G446+H446)/1440)</x:f>
      </x:c>
      <x:c r="K446" s="27" t="str">
        <x:f>IF(A446="","",IF(E446&lt;&gt;"sim",0,COUNTIFS($B$2:$B$501,B446,$F$2:$F$501,F446,$E$2:$E$501,"sim",$C$2:$C$501,"&lt;"&amp;J446,$J$2:$J$501,"&gt;"&amp;C446)-1))</x:f>
      </x:c>
      <x:c r="L446" s="27" t="str">
        <x:f>IF(A446="","",IF(E446&lt;&gt;"sim",0,COUNTIFS($B$2:$B$501,B446,$A$2:$A$501,A446,$E$2:$E$501,"sim",$C$2:$C$501,"&lt;"&amp;J446,$J$2:$J$501,"&gt;"&amp;C446)-1))</x:f>
      </x:c>
      <x:c r="M446" s="2" t="str">
        <x:f>IF(A446="","",IF(E446&lt;&gt;"sim","Revisar escala",IF(OR(K446&gt;0,L446&gt;0),"Conflito de escala",IF(COUNTIFS('Solicitacoes'!$F$2:$F$501,B446,'Solicitacoes'!$K$2:$K$501,F446,'Solicitacoes'!$I$2:$I$501,"pendente",'Solicitacoes'!$G$2:$G$501,"&lt;"&amp;J446,'Solicitacoes'!$N$2:$N$501,"&gt;"&amp;C446)+COUNTIFS('Solicitacoes'!$F$2:$F$501,B446,'Solicitacoes'!$E$2:$E$501,A446,'Solicitacoes'!$I$2:$I$501,"pendente",'Solicitacoes'!$G$2:$G$501,"&lt;"&amp;J446,'Solicitacoes'!$N$2:$N$501,"&gt;"&amp;C446)+COUNTIFS('Solicitacoes'!$F$2:$F$501,B446,'Solicitacoes'!$K$2:$K$501,F446,'Solicitacoes'!$I$2:$I$501,"confirmado",'Solicitacoes'!$G$2:$G$501,"&lt;"&amp;J446,'Solicitacoes'!$N$2:$N$501,"&gt;"&amp;C446)+COUNTIFS('Solicitacoes'!$F$2:$F$501,B446,'Solicitacoes'!$E$2:$E$501,A446,'Solicitacoes'!$I$2:$I$501,"confirmado",'Solicitacoes'!$G$2:$G$501,"&lt;"&amp;J446,'Solicitacoes'!$N$2:$N$501,"&gt;"&amp;C446)&gt;0,"Ocupado","Disponível"))))</x:f>
      </x:c>
      <x:c r="N446" s="2" t="str">
        <x:f>IF(A446="","",ROW()-1)</x:f>
      </x:c>
    </x:row>
    <x:row r="447" ht="24" customHeight="1">
      <x:c r="A447" s="13"/>
      <x:c r="B447" s="14"/>
      <x:c r="C447" s="26"/>
      <x:c r="D447" s="13"/>
      <x:c r="E447" s="13"/>
      <x:c r="F447" s="13"/>
      <x:c r="G447" s="12" t="str">
        <x:f>IF(A447="","",'Agenda'!$B$5)</x:f>
      </x:c>
      <x:c r="H447" s="12" t="str">
        <x:f>IF(A447="","",'Agenda'!$B$6)</x:f>
      </x:c>
      <x:c r="I447" s="24" t="str">
        <x:f>IF(A447="","",C447+G447/1440)</x:f>
      </x:c>
      <x:c r="J447" s="24" t="str">
        <x:f>IF(A447="","",C447+(G447+H447)/1440)</x:f>
      </x:c>
      <x:c r="K447" s="27" t="str">
        <x:f>IF(A447="","",IF(E447&lt;&gt;"sim",0,COUNTIFS($B$2:$B$501,B447,$F$2:$F$501,F447,$E$2:$E$501,"sim",$C$2:$C$501,"&lt;"&amp;J447,$J$2:$J$501,"&gt;"&amp;C447)-1))</x:f>
      </x:c>
      <x:c r="L447" s="27" t="str">
        <x:f>IF(A447="","",IF(E447&lt;&gt;"sim",0,COUNTIFS($B$2:$B$501,B447,$A$2:$A$501,A447,$E$2:$E$501,"sim",$C$2:$C$501,"&lt;"&amp;J447,$J$2:$J$501,"&gt;"&amp;C447)-1))</x:f>
      </x:c>
      <x:c r="M447" s="2" t="str">
        <x:f>IF(A447="","",IF(E447&lt;&gt;"sim","Revisar escala",IF(OR(K447&gt;0,L447&gt;0),"Conflito de escala",IF(COUNTIFS('Solicitacoes'!$F$2:$F$501,B447,'Solicitacoes'!$K$2:$K$501,F447,'Solicitacoes'!$I$2:$I$501,"pendente",'Solicitacoes'!$G$2:$G$501,"&lt;"&amp;J447,'Solicitacoes'!$N$2:$N$501,"&gt;"&amp;C447)+COUNTIFS('Solicitacoes'!$F$2:$F$501,B447,'Solicitacoes'!$E$2:$E$501,A447,'Solicitacoes'!$I$2:$I$501,"pendente",'Solicitacoes'!$G$2:$G$501,"&lt;"&amp;J447,'Solicitacoes'!$N$2:$N$501,"&gt;"&amp;C447)+COUNTIFS('Solicitacoes'!$F$2:$F$501,B447,'Solicitacoes'!$K$2:$K$501,F447,'Solicitacoes'!$I$2:$I$501,"confirmado",'Solicitacoes'!$G$2:$G$501,"&lt;"&amp;J447,'Solicitacoes'!$N$2:$N$501,"&gt;"&amp;C447)+COUNTIFS('Solicitacoes'!$F$2:$F$501,B447,'Solicitacoes'!$E$2:$E$501,A447,'Solicitacoes'!$I$2:$I$501,"confirmado",'Solicitacoes'!$G$2:$G$501,"&lt;"&amp;J447,'Solicitacoes'!$N$2:$N$501,"&gt;"&amp;C447)&gt;0,"Ocupado","Disponível"))))</x:f>
      </x:c>
      <x:c r="N447" s="2" t="str">
        <x:f>IF(A447="","",ROW()-1)</x:f>
      </x:c>
    </x:row>
    <x:row r="448" ht="24" customHeight="1">
      <x:c r="A448" s="13"/>
      <x:c r="B448" s="14"/>
      <x:c r="C448" s="26"/>
      <x:c r="D448" s="13"/>
      <x:c r="E448" s="13"/>
      <x:c r="F448" s="13"/>
      <x:c r="G448" s="12" t="str">
        <x:f>IF(A448="","",'Agenda'!$B$5)</x:f>
      </x:c>
      <x:c r="H448" s="12" t="str">
        <x:f>IF(A448="","",'Agenda'!$B$6)</x:f>
      </x:c>
      <x:c r="I448" s="24" t="str">
        <x:f>IF(A448="","",C448+G448/1440)</x:f>
      </x:c>
      <x:c r="J448" s="24" t="str">
        <x:f>IF(A448="","",C448+(G448+H448)/1440)</x:f>
      </x:c>
      <x:c r="K448" s="27" t="str">
        <x:f>IF(A448="","",IF(E448&lt;&gt;"sim",0,COUNTIFS($B$2:$B$501,B448,$F$2:$F$501,F448,$E$2:$E$501,"sim",$C$2:$C$501,"&lt;"&amp;J448,$J$2:$J$501,"&gt;"&amp;C448)-1))</x:f>
      </x:c>
      <x:c r="L448" s="27" t="str">
        <x:f>IF(A448="","",IF(E448&lt;&gt;"sim",0,COUNTIFS($B$2:$B$501,B448,$A$2:$A$501,A448,$E$2:$E$501,"sim",$C$2:$C$501,"&lt;"&amp;J448,$J$2:$J$501,"&gt;"&amp;C448)-1))</x:f>
      </x:c>
      <x:c r="M448" s="2" t="str">
        <x:f>IF(A448="","",IF(E448&lt;&gt;"sim","Revisar escala",IF(OR(K448&gt;0,L448&gt;0),"Conflito de escala",IF(COUNTIFS('Solicitacoes'!$F$2:$F$501,B448,'Solicitacoes'!$K$2:$K$501,F448,'Solicitacoes'!$I$2:$I$501,"pendente",'Solicitacoes'!$G$2:$G$501,"&lt;"&amp;J448,'Solicitacoes'!$N$2:$N$501,"&gt;"&amp;C448)+COUNTIFS('Solicitacoes'!$F$2:$F$501,B448,'Solicitacoes'!$E$2:$E$501,A448,'Solicitacoes'!$I$2:$I$501,"pendente",'Solicitacoes'!$G$2:$G$501,"&lt;"&amp;J448,'Solicitacoes'!$N$2:$N$501,"&gt;"&amp;C448)+COUNTIFS('Solicitacoes'!$F$2:$F$501,B448,'Solicitacoes'!$K$2:$K$501,F448,'Solicitacoes'!$I$2:$I$501,"confirmado",'Solicitacoes'!$G$2:$G$501,"&lt;"&amp;J448,'Solicitacoes'!$N$2:$N$501,"&gt;"&amp;C448)+COUNTIFS('Solicitacoes'!$F$2:$F$501,B448,'Solicitacoes'!$E$2:$E$501,A448,'Solicitacoes'!$I$2:$I$501,"confirmado",'Solicitacoes'!$G$2:$G$501,"&lt;"&amp;J448,'Solicitacoes'!$N$2:$N$501,"&gt;"&amp;C448)&gt;0,"Ocupado","Disponível"))))</x:f>
      </x:c>
      <x:c r="N448" s="2" t="str">
        <x:f>IF(A448="","",ROW()-1)</x:f>
      </x:c>
    </x:row>
    <x:row r="449" ht="24" customHeight="1">
      <x:c r="A449" s="13"/>
      <x:c r="B449" s="14"/>
      <x:c r="C449" s="26"/>
      <x:c r="D449" s="13"/>
      <x:c r="E449" s="13"/>
      <x:c r="F449" s="13"/>
      <x:c r="G449" s="12" t="str">
        <x:f>IF(A449="","",'Agenda'!$B$5)</x:f>
      </x:c>
      <x:c r="H449" s="12" t="str">
        <x:f>IF(A449="","",'Agenda'!$B$6)</x:f>
      </x:c>
      <x:c r="I449" s="24" t="str">
        <x:f>IF(A449="","",C449+G449/1440)</x:f>
      </x:c>
      <x:c r="J449" s="24" t="str">
        <x:f>IF(A449="","",C449+(G449+H449)/1440)</x:f>
      </x:c>
      <x:c r="K449" s="27" t="str">
        <x:f>IF(A449="","",IF(E449&lt;&gt;"sim",0,COUNTIFS($B$2:$B$501,B449,$F$2:$F$501,F449,$E$2:$E$501,"sim",$C$2:$C$501,"&lt;"&amp;J449,$J$2:$J$501,"&gt;"&amp;C449)-1))</x:f>
      </x:c>
      <x:c r="L449" s="27" t="str">
        <x:f>IF(A449="","",IF(E449&lt;&gt;"sim",0,COUNTIFS($B$2:$B$501,B449,$A$2:$A$501,A449,$E$2:$E$501,"sim",$C$2:$C$501,"&lt;"&amp;J449,$J$2:$J$501,"&gt;"&amp;C449)-1))</x:f>
      </x:c>
      <x:c r="M449" s="2" t="str">
        <x:f>IF(A449="","",IF(E449&lt;&gt;"sim","Revisar escala",IF(OR(K449&gt;0,L449&gt;0),"Conflito de escala",IF(COUNTIFS('Solicitacoes'!$F$2:$F$501,B449,'Solicitacoes'!$K$2:$K$501,F449,'Solicitacoes'!$I$2:$I$501,"pendente",'Solicitacoes'!$G$2:$G$501,"&lt;"&amp;J449,'Solicitacoes'!$N$2:$N$501,"&gt;"&amp;C449)+COUNTIFS('Solicitacoes'!$F$2:$F$501,B449,'Solicitacoes'!$E$2:$E$501,A449,'Solicitacoes'!$I$2:$I$501,"pendente",'Solicitacoes'!$G$2:$G$501,"&lt;"&amp;J449,'Solicitacoes'!$N$2:$N$501,"&gt;"&amp;C449)+COUNTIFS('Solicitacoes'!$F$2:$F$501,B449,'Solicitacoes'!$K$2:$K$501,F449,'Solicitacoes'!$I$2:$I$501,"confirmado",'Solicitacoes'!$G$2:$G$501,"&lt;"&amp;J449,'Solicitacoes'!$N$2:$N$501,"&gt;"&amp;C449)+COUNTIFS('Solicitacoes'!$F$2:$F$501,B449,'Solicitacoes'!$E$2:$E$501,A449,'Solicitacoes'!$I$2:$I$501,"confirmado",'Solicitacoes'!$G$2:$G$501,"&lt;"&amp;J449,'Solicitacoes'!$N$2:$N$501,"&gt;"&amp;C449)&gt;0,"Ocupado","Disponível"))))</x:f>
      </x:c>
      <x:c r="N449" s="2" t="str">
        <x:f>IF(A449="","",ROW()-1)</x:f>
      </x:c>
    </x:row>
    <x:row r="450" ht="24" customHeight="1">
      <x:c r="A450" s="13"/>
      <x:c r="B450" s="14"/>
      <x:c r="C450" s="26"/>
      <x:c r="D450" s="13"/>
      <x:c r="E450" s="13"/>
      <x:c r="F450" s="13"/>
      <x:c r="G450" s="12" t="str">
        <x:f>IF(A450="","",'Agenda'!$B$5)</x:f>
      </x:c>
      <x:c r="H450" s="12" t="str">
        <x:f>IF(A450="","",'Agenda'!$B$6)</x:f>
      </x:c>
      <x:c r="I450" s="24" t="str">
        <x:f>IF(A450="","",C450+G450/1440)</x:f>
      </x:c>
      <x:c r="J450" s="24" t="str">
        <x:f>IF(A450="","",C450+(G450+H450)/1440)</x:f>
      </x:c>
      <x:c r="K450" s="27" t="str">
        <x:f>IF(A450="","",IF(E450&lt;&gt;"sim",0,COUNTIFS($B$2:$B$501,B450,$F$2:$F$501,F450,$E$2:$E$501,"sim",$C$2:$C$501,"&lt;"&amp;J450,$J$2:$J$501,"&gt;"&amp;C450)-1))</x:f>
      </x:c>
      <x:c r="L450" s="27" t="str">
        <x:f>IF(A450="","",IF(E450&lt;&gt;"sim",0,COUNTIFS($B$2:$B$501,B450,$A$2:$A$501,A450,$E$2:$E$501,"sim",$C$2:$C$501,"&lt;"&amp;J450,$J$2:$J$501,"&gt;"&amp;C450)-1))</x:f>
      </x:c>
      <x:c r="M450" s="2" t="str">
        <x:f>IF(A450="","",IF(E450&lt;&gt;"sim","Revisar escala",IF(OR(K450&gt;0,L450&gt;0),"Conflito de escala",IF(COUNTIFS('Solicitacoes'!$F$2:$F$501,B450,'Solicitacoes'!$K$2:$K$501,F450,'Solicitacoes'!$I$2:$I$501,"pendente",'Solicitacoes'!$G$2:$G$501,"&lt;"&amp;J450,'Solicitacoes'!$N$2:$N$501,"&gt;"&amp;C450)+COUNTIFS('Solicitacoes'!$F$2:$F$501,B450,'Solicitacoes'!$E$2:$E$501,A450,'Solicitacoes'!$I$2:$I$501,"pendente",'Solicitacoes'!$G$2:$G$501,"&lt;"&amp;J450,'Solicitacoes'!$N$2:$N$501,"&gt;"&amp;C450)+COUNTIFS('Solicitacoes'!$F$2:$F$501,B450,'Solicitacoes'!$K$2:$K$501,F450,'Solicitacoes'!$I$2:$I$501,"confirmado",'Solicitacoes'!$G$2:$G$501,"&lt;"&amp;J450,'Solicitacoes'!$N$2:$N$501,"&gt;"&amp;C450)+COUNTIFS('Solicitacoes'!$F$2:$F$501,B450,'Solicitacoes'!$E$2:$E$501,A450,'Solicitacoes'!$I$2:$I$501,"confirmado",'Solicitacoes'!$G$2:$G$501,"&lt;"&amp;J450,'Solicitacoes'!$N$2:$N$501,"&gt;"&amp;C450)&gt;0,"Ocupado","Disponível"))))</x:f>
      </x:c>
      <x:c r="N450" s="2" t="str">
        <x:f>IF(A450="","",ROW()-1)</x:f>
      </x:c>
    </x:row>
    <x:row r="451" ht="24" customHeight="1">
      <x:c r="A451" s="13"/>
      <x:c r="B451" s="14"/>
      <x:c r="C451" s="26"/>
      <x:c r="D451" s="13"/>
      <x:c r="E451" s="13"/>
      <x:c r="F451" s="13"/>
      <x:c r="G451" s="12" t="str">
        <x:f>IF(A451="","",'Agenda'!$B$5)</x:f>
      </x:c>
      <x:c r="H451" s="12" t="str">
        <x:f>IF(A451="","",'Agenda'!$B$6)</x:f>
      </x:c>
      <x:c r="I451" s="24" t="str">
        <x:f>IF(A451="","",C451+G451/1440)</x:f>
      </x:c>
      <x:c r="J451" s="24" t="str">
        <x:f>IF(A451="","",C451+(G451+H451)/1440)</x:f>
      </x:c>
      <x:c r="K451" s="27" t="str">
        <x:f>IF(A451="","",IF(E451&lt;&gt;"sim",0,COUNTIFS($B$2:$B$501,B451,$F$2:$F$501,F451,$E$2:$E$501,"sim",$C$2:$C$501,"&lt;"&amp;J451,$J$2:$J$501,"&gt;"&amp;C451)-1))</x:f>
      </x:c>
      <x:c r="L451" s="27" t="str">
        <x:f>IF(A451="","",IF(E451&lt;&gt;"sim",0,COUNTIFS($B$2:$B$501,B451,$A$2:$A$501,A451,$E$2:$E$501,"sim",$C$2:$C$501,"&lt;"&amp;J451,$J$2:$J$501,"&gt;"&amp;C451)-1))</x:f>
      </x:c>
      <x:c r="M451" s="2" t="str">
        <x:f>IF(A451="","",IF(E451&lt;&gt;"sim","Revisar escala",IF(OR(K451&gt;0,L451&gt;0),"Conflito de escala",IF(COUNTIFS('Solicitacoes'!$F$2:$F$501,B451,'Solicitacoes'!$K$2:$K$501,F451,'Solicitacoes'!$I$2:$I$501,"pendente",'Solicitacoes'!$G$2:$G$501,"&lt;"&amp;J451,'Solicitacoes'!$N$2:$N$501,"&gt;"&amp;C451)+COUNTIFS('Solicitacoes'!$F$2:$F$501,B451,'Solicitacoes'!$E$2:$E$501,A451,'Solicitacoes'!$I$2:$I$501,"pendente",'Solicitacoes'!$G$2:$G$501,"&lt;"&amp;J451,'Solicitacoes'!$N$2:$N$501,"&gt;"&amp;C451)+COUNTIFS('Solicitacoes'!$F$2:$F$501,B451,'Solicitacoes'!$K$2:$K$501,F451,'Solicitacoes'!$I$2:$I$501,"confirmado",'Solicitacoes'!$G$2:$G$501,"&lt;"&amp;J451,'Solicitacoes'!$N$2:$N$501,"&gt;"&amp;C451)+COUNTIFS('Solicitacoes'!$F$2:$F$501,B451,'Solicitacoes'!$E$2:$E$501,A451,'Solicitacoes'!$I$2:$I$501,"confirmado",'Solicitacoes'!$G$2:$G$501,"&lt;"&amp;J451,'Solicitacoes'!$N$2:$N$501,"&gt;"&amp;C451)&gt;0,"Ocupado","Disponível"))))</x:f>
      </x:c>
      <x:c r="N451" s="2" t="str">
        <x:f>IF(A451="","",ROW()-1)</x:f>
      </x:c>
    </x:row>
    <x:row r="452" ht="24" customHeight="1">
      <x:c r="A452" s="13"/>
      <x:c r="B452" s="14"/>
      <x:c r="C452" s="26"/>
      <x:c r="D452" s="13"/>
      <x:c r="E452" s="13"/>
      <x:c r="F452" s="13"/>
      <x:c r="G452" s="12" t="str">
        <x:f>IF(A452="","",'Agenda'!$B$5)</x:f>
      </x:c>
      <x:c r="H452" s="12" t="str">
        <x:f>IF(A452="","",'Agenda'!$B$6)</x:f>
      </x:c>
      <x:c r="I452" s="24" t="str">
        <x:f>IF(A452="","",C452+G452/1440)</x:f>
      </x:c>
      <x:c r="J452" s="24" t="str">
        <x:f>IF(A452="","",C452+(G452+H452)/1440)</x:f>
      </x:c>
      <x:c r="K452" s="27" t="str">
        <x:f>IF(A452="","",IF(E452&lt;&gt;"sim",0,COUNTIFS($B$2:$B$501,B452,$F$2:$F$501,F452,$E$2:$E$501,"sim",$C$2:$C$501,"&lt;"&amp;J452,$J$2:$J$501,"&gt;"&amp;C452)-1))</x:f>
      </x:c>
      <x:c r="L452" s="27" t="str">
        <x:f>IF(A452="","",IF(E452&lt;&gt;"sim",0,COUNTIFS($B$2:$B$501,B452,$A$2:$A$501,A452,$E$2:$E$501,"sim",$C$2:$C$501,"&lt;"&amp;J452,$J$2:$J$501,"&gt;"&amp;C452)-1))</x:f>
      </x:c>
      <x:c r="M452" s="2" t="str">
        <x:f>IF(A452="","",IF(E452&lt;&gt;"sim","Revisar escala",IF(OR(K452&gt;0,L452&gt;0),"Conflito de escala",IF(COUNTIFS('Solicitacoes'!$F$2:$F$501,B452,'Solicitacoes'!$K$2:$K$501,F452,'Solicitacoes'!$I$2:$I$501,"pendente",'Solicitacoes'!$G$2:$G$501,"&lt;"&amp;J452,'Solicitacoes'!$N$2:$N$501,"&gt;"&amp;C452)+COUNTIFS('Solicitacoes'!$F$2:$F$501,B452,'Solicitacoes'!$E$2:$E$501,A452,'Solicitacoes'!$I$2:$I$501,"pendente",'Solicitacoes'!$G$2:$G$501,"&lt;"&amp;J452,'Solicitacoes'!$N$2:$N$501,"&gt;"&amp;C452)+COUNTIFS('Solicitacoes'!$F$2:$F$501,B452,'Solicitacoes'!$K$2:$K$501,F452,'Solicitacoes'!$I$2:$I$501,"confirmado",'Solicitacoes'!$G$2:$G$501,"&lt;"&amp;J452,'Solicitacoes'!$N$2:$N$501,"&gt;"&amp;C452)+COUNTIFS('Solicitacoes'!$F$2:$F$501,B452,'Solicitacoes'!$E$2:$E$501,A452,'Solicitacoes'!$I$2:$I$501,"confirmado",'Solicitacoes'!$G$2:$G$501,"&lt;"&amp;J452,'Solicitacoes'!$N$2:$N$501,"&gt;"&amp;C452)&gt;0,"Ocupado","Disponível"))))</x:f>
      </x:c>
      <x:c r="N452" s="2" t="str">
        <x:f>IF(A452="","",ROW()-1)</x:f>
      </x:c>
    </x:row>
    <x:row r="453" ht="24" customHeight="1">
      <x:c r="A453" s="13"/>
      <x:c r="B453" s="14"/>
      <x:c r="C453" s="26"/>
      <x:c r="D453" s="13"/>
      <x:c r="E453" s="13"/>
      <x:c r="F453" s="13"/>
      <x:c r="G453" s="12" t="str">
        <x:f>IF(A453="","",'Agenda'!$B$5)</x:f>
      </x:c>
      <x:c r="H453" s="12" t="str">
        <x:f>IF(A453="","",'Agenda'!$B$6)</x:f>
      </x:c>
      <x:c r="I453" s="24" t="str">
        <x:f>IF(A453="","",C453+G453/1440)</x:f>
      </x:c>
      <x:c r="J453" s="24" t="str">
        <x:f>IF(A453="","",C453+(G453+H453)/1440)</x:f>
      </x:c>
      <x:c r="K453" s="27" t="str">
        <x:f>IF(A453="","",IF(E453&lt;&gt;"sim",0,COUNTIFS($B$2:$B$501,B453,$F$2:$F$501,F453,$E$2:$E$501,"sim",$C$2:$C$501,"&lt;"&amp;J453,$J$2:$J$501,"&gt;"&amp;C453)-1))</x:f>
      </x:c>
      <x:c r="L453" s="27" t="str">
        <x:f>IF(A453="","",IF(E453&lt;&gt;"sim",0,COUNTIFS($B$2:$B$501,B453,$A$2:$A$501,A453,$E$2:$E$501,"sim",$C$2:$C$501,"&lt;"&amp;J453,$J$2:$J$501,"&gt;"&amp;C453)-1))</x:f>
      </x:c>
      <x:c r="M453" s="2" t="str">
        <x:f>IF(A453="","",IF(E453&lt;&gt;"sim","Revisar escala",IF(OR(K453&gt;0,L453&gt;0),"Conflito de escala",IF(COUNTIFS('Solicitacoes'!$F$2:$F$501,B453,'Solicitacoes'!$K$2:$K$501,F453,'Solicitacoes'!$I$2:$I$501,"pendente",'Solicitacoes'!$G$2:$G$501,"&lt;"&amp;J453,'Solicitacoes'!$N$2:$N$501,"&gt;"&amp;C453)+COUNTIFS('Solicitacoes'!$F$2:$F$501,B453,'Solicitacoes'!$E$2:$E$501,A453,'Solicitacoes'!$I$2:$I$501,"pendente",'Solicitacoes'!$G$2:$G$501,"&lt;"&amp;J453,'Solicitacoes'!$N$2:$N$501,"&gt;"&amp;C453)+COUNTIFS('Solicitacoes'!$F$2:$F$501,B453,'Solicitacoes'!$K$2:$K$501,F453,'Solicitacoes'!$I$2:$I$501,"confirmado",'Solicitacoes'!$G$2:$G$501,"&lt;"&amp;J453,'Solicitacoes'!$N$2:$N$501,"&gt;"&amp;C453)+COUNTIFS('Solicitacoes'!$F$2:$F$501,B453,'Solicitacoes'!$E$2:$E$501,A453,'Solicitacoes'!$I$2:$I$501,"confirmado",'Solicitacoes'!$G$2:$G$501,"&lt;"&amp;J453,'Solicitacoes'!$N$2:$N$501,"&gt;"&amp;C453)&gt;0,"Ocupado","Disponível"))))</x:f>
      </x:c>
      <x:c r="N453" s="2" t="str">
        <x:f>IF(A453="","",ROW()-1)</x:f>
      </x:c>
    </x:row>
    <x:row r="454" ht="24" customHeight="1">
      <x:c r="A454" s="13"/>
      <x:c r="B454" s="14"/>
      <x:c r="C454" s="26"/>
      <x:c r="D454" s="13"/>
      <x:c r="E454" s="13"/>
      <x:c r="F454" s="13"/>
      <x:c r="G454" s="12" t="str">
        <x:f>IF(A454="","",'Agenda'!$B$5)</x:f>
      </x:c>
      <x:c r="H454" s="12" t="str">
        <x:f>IF(A454="","",'Agenda'!$B$6)</x:f>
      </x:c>
      <x:c r="I454" s="24" t="str">
        <x:f>IF(A454="","",C454+G454/1440)</x:f>
      </x:c>
      <x:c r="J454" s="24" t="str">
        <x:f>IF(A454="","",C454+(G454+H454)/1440)</x:f>
      </x:c>
      <x:c r="K454" s="27" t="str">
        <x:f>IF(A454="","",IF(E454&lt;&gt;"sim",0,COUNTIFS($B$2:$B$501,B454,$F$2:$F$501,F454,$E$2:$E$501,"sim",$C$2:$C$501,"&lt;"&amp;J454,$J$2:$J$501,"&gt;"&amp;C454)-1))</x:f>
      </x:c>
      <x:c r="L454" s="27" t="str">
        <x:f>IF(A454="","",IF(E454&lt;&gt;"sim",0,COUNTIFS($B$2:$B$501,B454,$A$2:$A$501,A454,$E$2:$E$501,"sim",$C$2:$C$501,"&lt;"&amp;J454,$J$2:$J$501,"&gt;"&amp;C454)-1))</x:f>
      </x:c>
      <x:c r="M454" s="2" t="str">
        <x:f>IF(A454="","",IF(E454&lt;&gt;"sim","Revisar escala",IF(OR(K454&gt;0,L454&gt;0),"Conflito de escala",IF(COUNTIFS('Solicitacoes'!$F$2:$F$501,B454,'Solicitacoes'!$K$2:$K$501,F454,'Solicitacoes'!$I$2:$I$501,"pendente",'Solicitacoes'!$G$2:$G$501,"&lt;"&amp;J454,'Solicitacoes'!$N$2:$N$501,"&gt;"&amp;C454)+COUNTIFS('Solicitacoes'!$F$2:$F$501,B454,'Solicitacoes'!$E$2:$E$501,A454,'Solicitacoes'!$I$2:$I$501,"pendente",'Solicitacoes'!$G$2:$G$501,"&lt;"&amp;J454,'Solicitacoes'!$N$2:$N$501,"&gt;"&amp;C454)+COUNTIFS('Solicitacoes'!$F$2:$F$501,B454,'Solicitacoes'!$K$2:$K$501,F454,'Solicitacoes'!$I$2:$I$501,"confirmado",'Solicitacoes'!$G$2:$G$501,"&lt;"&amp;J454,'Solicitacoes'!$N$2:$N$501,"&gt;"&amp;C454)+COUNTIFS('Solicitacoes'!$F$2:$F$501,B454,'Solicitacoes'!$E$2:$E$501,A454,'Solicitacoes'!$I$2:$I$501,"confirmado",'Solicitacoes'!$G$2:$G$501,"&lt;"&amp;J454,'Solicitacoes'!$N$2:$N$501,"&gt;"&amp;C454)&gt;0,"Ocupado","Disponível"))))</x:f>
      </x:c>
      <x:c r="N454" s="2" t="str">
        <x:f>IF(A454="","",ROW()-1)</x:f>
      </x:c>
    </x:row>
    <x:row r="455" ht="24" customHeight="1">
      <x:c r="A455" s="13"/>
      <x:c r="B455" s="14"/>
      <x:c r="C455" s="26"/>
      <x:c r="D455" s="13"/>
      <x:c r="E455" s="13"/>
      <x:c r="F455" s="13"/>
      <x:c r="G455" s="12" t="str">
        <x:f>IF(A455="","",'Agenda'!$B$5)</x:f>
      </x:c>
      <x:c r="H455" s="12" t="str">
        <x:f>IF(A455="","",'Agenda'!$B$6)</x:f>
      </x:c>
      <x:c r="I455" s="24" t="str">
        <x:f>IF(A455="","",C455+G455/1440)</x:f>
      </x:c>
      <x:c r="J455" s="24" t="str">
        <x:f>IF(A455="","",C455+(G455+H455)/1440)</x:f>
      </x:c>
      <x:c r="K455" s="27" t="str">
        <x:f>IF(A455="","",IF(E455&lt;&gt;"sim",0,COUNTIFS($B$2:$B$501,B455,$F$2:$F$501,F455,$E$2:$E$501,"sim",$C$2:$C$501,"&lt;"&amp;J455,$J$2:$J$501,"&gt;"&amp;C455)-1))</x:f>
      </x:c>
      <x:c r="L455" s="27" t="str">
        <x:f>IF(A455="","",IF(E455&lt;&gt;"sim",0,COUNTIFS($B$2:$B$501,B455,$A$2:$A$501,A455,$E$2:$E$501,"sim",$C$2:$C$501,"&lt;"&amp;J455,$J$2:$J$501,"&gt;"&amp;C455)-1))</x:f>
      </x:c>
      <x:c r="M455" s="2" t="str">
        <x:f>IF(A455="","",IF(E455&lt;&gt;"sim","Revisar escala",IF(OR(K455&gt;0,L455&gt;0),"Conflito de escala",IF(COUNTIFS('Solicitacoes'!$F$2:$F$501,B455,'Solicitacoes'!$K$2:$K$501,F455,'Solicitacoes'!$I$2:$I$501,"pendente",'Solicitacoes'!$G$2:$G$501,"&lt;"&amp;J455,'Solicitacoes'!$N$2:$N$501,"&gt;"&amp;C455)+COUNTIFS('Solicitacoes'!$F$2:$F$501,B455,'Solicitacoes'!$E$2:$E$501,A455,'Solicitacoes'!$I$2:$I$501,"pendente",'Solicitacoes'!$G$2:$G$501,"&lt;"&amp;J455,'Solicitacoes'!$N$2:$N$501,"&gt;"&amp;C455)+COUNTIFS('Solicitacoes'!$F$2:$F$501,B455,'Solicitacoes'!$K$2:$K$501,F455,'Solicitacoes'!$I$2:$I$501,"confirmado",'Solicitacoes'!$G$2:$G$501,"&lt;"&amp;J455,'Solicitacoes'!$N$2:$N$501,"&gt;"&amp;C455)+COUNTIFS('Solicitacoes'!$F$2:$F$501,B455,'Solicitacoes'!$E$2:$E$501,A455,'Solicitacoes'!$I$2:$I$501,"confirmado",'Solicitacoes'!$G$2:$G$501,"&lt;"&amp;J455,'Solicitacoes'!$N$2:$N$501,"&gt;"&amp;C455)&gt;0,"Ocupado","Disponível"))))</x:f>
      </x:c>
      <x:c r="N455" s="2" t="str">
        <x:f>IF(A455="","",ROW()-1)</x:f>
      </x:c>
    </x:row>
    <x:row r="456" ht="24" customHeight="1">
      <x:c r="A456" s="13"/>
      <x:c r="B456" s="14"/>
      <x:c r="C456" s="26"/>
      <x:c r="D456" s="13"/>
      <x:c r="E456" s="13"/>
      <x:c r="F456" s="13"/>
      <x:c r="G456" s="12" t="str">
        <x:f>IF(A456="","",'Agenda'!$B$5)</x:f>
      </x:c>
      <x:c r="H456" s="12" t="str">
        <x:f>IF(A456="","",'Agenda'!$B$6)</x:f>
      </x:c>
      <x:c r="I456" s="24" t="str">
        <x:f>IF(A456="","",C456+G456/1440)</x:f>
      </x:c>
      <x:c r="J456" s="24" t="str">
        <x:f>IF(A456="","",C456+(G456+H456)/1440)</x:f>
      </x:c>
      <x:c r="K456" s="27" t="str">
        <x:f>IF(A456="","",IF(E456&lt;&gt;"sim",0,COUNTIFS($B$2:$B$501,B456,$F$2:$F$501,F456,$E$2:$E$501,"sim",$C$2:$C$501,"&lt;"&amp;J456,$J$2:$J$501,"&gt;"&amp;C456)-1))</x:f>
      </x:c>
      <x:c r="L456" s="27" t="str">
        <x:f>IF(A456="","",IF(E456&lt;&gt;"sim",0,COUNTIFS($B$2:$B$501,B456,$A$2:$A$501,A456,$E$2:$E$501,"sim",$C$2:$C$501,"&lt;"&amp;J456,$J$2:$J$501,"&gt;"&amp;C456)-1))</x:f>
      </x:c>
      <x:c r="M456" s="2" t="str">
        <x:f>IF(A456="","",IF(E456&lt;&gt;"sim","Revisar escala",IF(OR(K456&gt;0,L456&gt;0),"Conflito de escala",IF(COUNTIFS('Solicitacoes'!$F$2:$F$501,B456,'Solicitacoes'!$K$2:$K$501,F456,'Solicitacoes'!$I$2:$I$501,"pendente",'Solicitacoes'!$G$2:$G$501,"&lt;"&amp;J456,'Solicitacoes'!$N$2:$N$501,"&gt;"&amp;C456)+COUNTIFS('Solicitacoes'!$F$2:$F$501,B456,'Solicitacoes'!$E$2:$E$501,A456,'Solicitacoes'!$I$2:$I$501,"pendente",'Solicitacoes'!$G$2:$G$501,"&lt;"&amp;J456,'Solicitacoes'!$N$2:$N$501,"&gt;"&amp;C456)+COUNTIFS('Solicitacoes'!$F$2:$F$501,B456,'Solicitacoes'!$K$2:$K$501,F456,'Solicitacoes'!$I$2:$I$501,"confirmado",'Solicitacoes'!$G$2:$G$501,"&lt;"&amp;J456,'Solicitacoes'!$N$2:$N$501,"&gt;"&amp;C456)+COUNTIFS('Solicitacoes'!$F$2:$F$501,B456,'Solicitacoes'!$E$2:$E$501,A456,'Solicitacoes'!$I$2:$I$501,"confirmado",'Solicitacoes'!$G$2:$G$501,"&lt;"&amp;J456,'Solicitacoes'!$N$2:$N$501,"&gt;"&amp;C456)&gt;0,"Ocupado","Disponível"))))</x:f>
      </x:c>
      <x:c r="N456" s="2" t="str">
        <x:f>IF(A456="","",ROW()-1)</x:f>
      </x:c>
    </x:row>
    <x:row r="457" ht="24" customHeight="1">
      <x:c r="A457" s="13"/>
      <x:c r="B457" s="14"/>
      <x:c r="C457" s="26"/>
      <x:c r="D457" s="13"/>
      <x:c r="E457" s="13"/>
      <x:c r="F457" s="13"/>
      <x:c r="G457" s="12" t="str">
        <x:f>IF(A457="","",'Agenda'!$B$5)</x:f>
      </x:c>
      <x:c r="H457" s="12" t="str">
        <x:f>IF(A457="","",'Agenda'!$B$6)</x:f>
      </x:c>
      <x:c r="I457" s="24" t="str">
        <x:f>IF(A457="","",C457+G457/1440)</x:f>
      </x:c>
      <x:c r="J457" s="24" t="str">
        <x:f>IF(A457="","",C457+(G457+H457)/1440)</x:f>
      </x:c>
      <x:c r="K457" s="27" t="str">
        <x:f>IF(A457="","",IF(E457&lt;&gt;"sim",0,COUNTIFS($B$2:$B$501,B457,$F$2:$F$501,F457,$E$2:$E$501,"sim",$C$2:$C$501,"&lt;"&amp;J457,$J$2:$J$501,"&gt;"&amp;C457)-1))</x:f>
      </x:c>
      <x:c r="L457" s="27" t="str">
        <x:f>IF(A457="","",IF(E457&lt;&gt;"sim",0,COUNTIFS($B$2:$B$501,B457,$A$2:$A$501,A457,$E$2:$E$501,"sim",$C$2:$C$501,"&lt;"&amp;J457,$J$2:$J$501,"&gt;"&amp;C457)-1))</x:f>
      </x:c>
      <x:c r="M457" s="2" t="str">
        <x:f>IF(A457="","",IF(E457&lt;&gt;"sim","Revisar escala",IF(OR(K457&gt;0,L457&gt;0),"Conflito de escala",IF(COUNTIFS('Solicitacoes'!$F$2:$F$501,B457,'Solicitacoes'!$K$2:$K$501,F457,'Solicitacoes'!$I$2:$I$501,"pendente",'Solicitacoes'!$G$2:$G$501,"&lt;"&amp;J457,'Solicitacoes'!$N$2:$N$501,"&gt;"&amp;C457)+COUNTIFS('Solicitacoes'!$F$2:$F$501,B457,'Solicitacoes'!$E$2:$E$501,A457,'Solicitacoes'!$I$2:$I$501,"pendente",'Solicitacoes'!$G$2:$G$501,"&lt;"&amp;J457,'Solicitacoes'!$N$2:$N$501,"&gt;"&amp;C457)+COUNTIFS('Solicitacoes'!$F$2:$F$501,B457,'Solicitacoes'!$K$2:$K$501,F457,'Solicitacoes'!$I$2:$I$501,"confirmado",'Solicitacoes'!$G$2:$G$501,"&lt;"&amp;J457,'Solicitacoes'!$N$2:$N$501,"&gt;"&amp;C457)+COUNTIFS('Solicitacoes'!$F$2:$F$501,B457,'Solicitacoes'!$E$2:$E$501,A457,'Solicitacoes'!$I$2:$I$501,"confirmado",'Solicitacoes'!$G$2:$G$501,"&lt;"&amp;J457,'Solicitacoes'!$N$2:$N$501,"&gt;"&amp;C457)&gt;0,"Ocupado","Disponível"))))</x:f>
      </x:c>
      <x:c r="N457" s="2" t="str">
        <x:f>IF(A457="","",ROW()-1)</x:f>
      </x:c>
    </x:row>
    <x:row r="458" ht="24" customHeight="1">
      <x:c r="A458" s="13"/>
      <x:c r="B458" s="14"/>
      <x:c r="C458" s="26"/>
      <x:c r="D458" s="13"/>
      <x:c r="E458" s="13"/>
      <x:c r="F458" s="13"/>
      <x:c r="G458" s="12" t="str">
        <x:f>IF(A458="","",'Agenda'!$B$5)</x:f>
      </x:c>
      <x:c r="H458" s="12" t="str">
        <x:f>IF(A458="","",'Agenda'!$B$6)</x:f>
      </x:c>
      <x:c r="I458" s="24" t="str">
        <x:f>IF(A458="","",C458+G458/1440)</x:f>
      </x:c>
      <x:c r="J458" s="24" t="str">
        <x:f>IF(A458="","",C458+(G458+H458)/1440)</x:f>
      </x:c>
      <x:c r="K458" s="27" t="str">
        <x:f>IF(A458="","",IF(E458&lt;&gt;"sim",0,COUNTIFS($B$2:$B$501,B458,$F$2:$F$501,F458,$E$2:$E$501,"sim",$C$2:$C$501,"&lt;"&amp;J458,$J$2:$J$501,"&gt;"&amp;C458)-1))</x:f>
      </x:c>
      <x:c r="L458" s="27" t="str">
        <x:f>IF(A458="","",IF(E458&lt;&gt;"sim",0,COUNTIFS($B$2:$B$501,B458,$A$2:$A$501,A458,$E$2:$E$501,"sim",$C$2:$C$501,"&lt;"&amp;J458,$J$2:$J$501,"&gt;"&amp;C458)-1))</x:f>
      </x:c>
      <x:c r="M458" s="2" t="str">
        <x:f>IF(A458="","",IF(E458&lt;&gt;"sim","Revisar escala",IF(OR(K458&gt;0,L458&gt;0),"Conflito de escala",IF(COUNTIFS('Solicitacoes'!$F$2:$F$501,B458,'Solicitacoes'!$K$2:$K$501,F458,'Solicitacoes'!$I$2:$I$501,"pendente",'Solicitacoes'!$G$2:$G$501,"&lt;"&amp;J458,'Solicitacoes'!$N$2:$N$501,"&gt;"&amp;C458)+COUNTIFS('Solicitacoes'!$F$2:$F$501,B458,'Solicitacoes'!$E$2:$E$501,A458,'Solicitacoes'!$I$2:$I$501,"pendente",'Solicitacoes'!$G$2:$G$501,"&lt;"&amp;J458,'Solicitacoes'!$N$2:$N$501,"&gt;"&amp;C458)+COUNTIFS('Solicitacoes'!$F$2:$F$501,B458,'Solicitacoes'!$K$2:$K$501,F458,'Solicitacoes'!$I$2:$I$501,"confirmado",'Solicitacoes'!$G$2:$G$501,"&lt;"&amp;J458,'Solicitacoes'!$N$2:$N$501,"&gt;"&amp;C458)+COUNTIFS('Solicitacoes'!$F$2:$F$501,B458,'Solicitacoes'!$E$2:$E$501,A458,'Solicitacoes'!$I$2:$I$501,"confirmado",'Solicitacoes'!$G$2:$G$501,"&lt;"&amp;J458,'Solicitacoes'!$N$2:$N$501,"&gt;"&amp;C458)&gt;0,"Ocupado","Disponível"))))</x:f>
      </x:c>
      <x:c r="N458" s="2" t="str">
        <x:f>IF(A458="","",ROW()-1)</x:f>
      </x:c>
    </x:row>
    <x:row r="459" ht="24" customHeight="1">
      <x:c r="A459" s="13"/>
      <x:c r="B459" s="14"/>
      <x:c r="C459" s="26"/>
      <x:c r="D459" s="13"/>
      <x:c r="E459" s="13"/>
      <x:c r="F459" s="13"/>
      <x:c r="G459" s="12" t="str">
        <x:f>IF(A459="","",'Agenda'!$B$5)</x:f>
      </x:c>
      <x:c r="H459" s="12" t="str">
        <x:f>IF(A459="","",'Agenda'!$B$6)</x:f>
      </x:c>
      <x:c r="I459" s="24" t="str">
        <x:f>IF(A459="","",C459+G459/1440)</x:f>
      </x:c>
      <x:c r="J459" s="24" t="str">
        <x:f>IF(A459="","",C459+(G459+H459)/1440)</x:f>
      </x:c>
      <x:c r="K459" s="27" t="str">
        <x:f>IF(A459="","",IF(E459&lt;&gt;"sim",0,COUNTIFS($B$2:$B$501,B459,$F$2:$F$501,F459,$E$2:$E$501,"sim",$C$2:$C$501,"&lt;"&amp;J459,$J$2:$J$501,"&gt;"&amp;C459)-1))</x:f>
      </x:c>
      <x:c r="L459" s="27" t="str">
        <x:f>IF(A459="","",IF(E459&lt;&gt;"sim",0,COUNTIFS($B$2:$B$501,B459,$A$2:$A$501,A459,$E$2:$E$501,"sim",$C$2:$C$501,"&lt;"&amp;J459,$J$2:$J$501,"&gt;"&amp;C459)-1))</x:f>
      </x:c>
      <x:c r="M459" s="2" t="str">
        <x:f>IF(A459="","",IF(E459&lt;&gt;"sim","Revisar escala",IF(OR(K459&gt;0,L459&gt;0),"Conflito de escala",IF(COUNTIFS('Solicitacoes'!$F$2:$F$501,B459,'Solicitacoes'!$K$2:$K$501,F459,'Solicitacoes'!$I$2:$I$501,"pendente",'Solicitacoes'!$G$2:$G$501,"&lt;"&amp;J459,'Solicitacoes'!$N$2:$N$501,"&gt;"&amp;C459)+COUNTIFS('Solicitacoes'!$F$2:$F$501,B459,'Solicitacoes'!$E$2:$E$501,A459,'Solicitacoes'!$I$2:$I$501,"pendente",'Solicitacoes'!$G$2:$G$501,"&lt;"&amp;J459,'Solicitacoes'!$N$2:$N$501,"&gt;"&amp;C459)+COUNTIFS('Solicitacoes'!$F$2:$F$501,B459,'Solicitacoes'!$K$2:$K$501,F459,'Solicitacoes'!$I$2:$I$501,"confirmado",'Solicitacoes'!$G$2:$G$501,"&lt;"&amp;J459,'Solicitacoes'!$N$2:$N$501,"&gt;"&amp;C459)+COUNTIFS('Solicitacoes'!$F$2:$F$501,B459,'Solicitacoes'!$E$2:$E$501,A459,'Solicitacoes'!$I$2:$I$501,"confirmado",'Solicitacoes'!$G$2:$G$501,"&lt;"&amp;J459,'Solicitacoes'!$N$2:$N$501,"&gt;"&amp;C459)&gt;0,"Ocupado","Disponível"))))</x:f>
      </x:c>
      <x:c r="N459" s="2" t="str">
        <x:f>IF(A459="","",ROW()-1)</x:f>
      </x:c>
    </x:row>
    <x:row r="460" ht="24" customHeight="1">
      <x:c r="A460" s="13"/>
      <x:c r="B460" s="14"/>
      <x:c r="C460" s="26"/>
      <x:c r="D460" s="13"/>
      <x:c r="E460" s="13"/>
      <x:c r="F460" s="13"/>
      <x:c r="G460" s="12" t="str">
        <x:f>IF(A460="","",'Agenda'!$B$5)</x:f>
      </x:c>
      <x:c r="H460" s="12" t="str">
        <x:f>IF(A460="","",'Agenda'!$B$6)</x:f>
      </x:c>
      <x:c r="I460" s="24" t="str">
        <x:f>IF(A460="","",C460+G460/1440)</x:f>
      </x:c>
      <x:c r="J460" s="24" t="str">
        <x:f>IF(A460="","",C460+(G460+H460)/1440)</x:f>
      </x:c>
      <x:c r="K460" s="27" t="str">
        <x:f>IF(A460="","",IF(E460&lt;&gt;"sim",0,COUNTIFS($B$2:$B$501,B460,$F$2:$F$501,F460,$E$2:$E$501,"sim",$C$2:$C$501,"&lt;"&amp;J460,$J$2:$J$501,"&gt;"&amp;C460)-1))</x:f>
      </x:c>
      <x:c r="L460" s="27" t="str">
        <x:f>IF(A460="","",IF(E460&lt;&gt;"sim",0,COUNTIFS($B$2:$B$501,B460,$A$2:$A$501,A460,$E$2:$E$501,"sim",$C$2:$C$501,"&lt;"&amp;J460,$J$2:$J$501,"&gt;"&amp;C460)-1))</x:f>
      </x:c>
      <x:c r="M460" s="2" t="str">
        <x:f>IF(A460="","",IF(E460&lt;&gt;"sim","Revisar escala",IF(OR(K460&gt;0,L460&gt;0),"Conflito de escala",IF(COUNTIFS('Solicitacoes'!$F$2:$F$501,B460,'Solicitacoes'!$K$2:$K$501,F460,'Solicitacoes'!$I$2:$I$501,"pendente",'Solicitacoes'!$G$2:$G$501,"&lt;"&amp;J460,'Solicitacoes'!$N$2:$N$501,"&gt;"&amp;C460)+COUNTIFS('Solicitacoes'!$F$2:$F$501,B460,'Solicitacoes'!$E$2:$E$501,A460,'Solicitacoes'!$I$2:$I$501,"pendente",'Solicitacoes'!$G$2:$G$501,"&lt;"&amp;J460,'Solicitacoes'!$N$2:$N$501,"&gt;"&amp;C460)+COUNTIFS('Solicitacoes'!$F$2:$F$501,B460,'Solicitacoes'!$K$2:$K$501,F460,'Solicitacoes'!$I$2:$I$501,"confirmado",'Solicitacoes'!$G$2:$G$501,"&lt;"&amp;J460,'Solicitacoes'!$N$2:$N$501,"&gt;"&amp;C460)+COUNTIFS('Solicitacoes'!$F$2:$F$501,B460,'Solicitacoes'!$E$2:$E$501,A460,'Solicitacoes'!$I$2:$I$501,"confirmado",'Solicitacoes'!$G$2:$G$501,"&lt;"&amp;J460,'Solicitacoes'!$N$2:$N$501,"&gt;"&amp;C460)&gt;0,"Ocupado","Disponível"))))</x:f>
      </x:c>
      <x:c r="N460" s="2" t="str">
        <x:f>IF(A460="","",ROW()-1)</x:f>
      </x:c>
    </x:row>
    <x:row r="461" ht="24" customHeight="1">
      <x:c r="A461" s="13"/>
      <x:c r="B461" s="14"/>
      <x:c r="C461" s="26"/>
      <x:c r="D461" s="13"/>
      <x:c r="E461" s="13"/>
      <x:c r="F461" s="13"/>
      <x:c r="G461" s="12" t="str">
        <x:f>IF(A461="","",'Agenda'!$B$5)</x:f>
      </x:c>
      <x:c r="H461" s="12" t="str">
        <x:f>IF(A461="","",'Agenda'!$B$6)</x:f>
      </x:c>
      <x:c r="I461" s="24" t="str">
        <x:f>IF(A461="","",C461+G461/1440)</x:f>
      </x:c>
      <x:c r="J461" s="24" t="str">
        <x:f>IF(A461="","",C461+(G461+H461)/1440)</x:f>
      </x:c>
      <x:c r="K461" s="27" t="str">
        <x:f>IF(A461="","",IF(E461&lt;&gt;"sim",0,COUNTIFS($B$2:$B$501,B461,$F$2:$F$501,F461,$E$2:$E$501,"sim",$C$2:$C$501,"&lt;"&amp;J461,$J$2:$J$501,"&gt;"&amp;C461)-1))</x:f>
      </x:c>
      <x:c r="L461" s="27" t="str">
        <x:f>IF(A461="","",IF(E461&lt;&gt;"sim",0,COUNTIFS($B$2:$B$501,B461,$A$2:$A$501,A461,$E$2:$E$501,"sim",$C$2:$C$501,"&lt;"&amp;J461,$J$2:$J$501,"&gt;"&amp;C461)-1))</x:f>
      </x:c>
      <x:c r="M461" s="2" t="str">
        <x:f>IF(A461="","",IF(E461&lt;&gt;"sim","Revisar escala",IF(OR(K461&gt;0,L461&gt;0),"Conflito de escala",IF(COUNTIFS('Solicitacoes'!$F$2:$F$501,B461,'Solicitacoes'!$K$2:$K$501,F461,'Solicitacoes'!$I$2:$I$501,"pendente",'Solicitacoes'!$G$2:$G$501,"&lt;"&amp;J461,'Solicitacoes'!$N$2:$N$501,"&gt;"&amp;C461)+COUNTIFS('Solicitacoes'!$F$2:$F$501,B461,'Solicitacoes'!$E$2:$E$501,A461,'Solicitacoes'!$I$2:$I$501,"pendente",'Solicitacoes'!$G$2:$G$501,"&lt;"&amp;J461,'Solicitacoes'!$N$2:$N$501,"&gt;"&amp;C461)+COUNTIFS('Solicitacoes'!$F$2:$F$501,B461,'Solicitacoes'!$K$2:$K$501,F461,'Solicitacoes'!$I$2:$I$501,"confirmado",'Solicitacoes'!$G$2:$G$501,"&lt;"&amp;J461,'Solicitacoes'!$N$2:$N$501,"&gt;"&amp;C461)+COUNTIFS('Solicitacoes'!$F$2:$F$501,B461,'Solicitacoes'!$E$2:$E$501,A461,'Solicitacoes'!$I$2:$I$501,"confirmado",'Solicitacoes'!$G$2:$G$501,"&lt;"&amp;J461,'Solicitacoes'!$N$2:$N$501,"&gt;"&amp;C461)&gt;0,"Ocupado","Disponível"))))</x:f>
      </x:c>
      <x:c r="N461" s="2" t="str">
        <x:f>IF(A461="","",ROW()-1)</x:f>
      </x:c>
    </x:row>
    <x:row r="462" ht="24" customHeight="1">
      <x:c r="A462" s="13"/>
      <x:c r="B462" s="14"/>
      <x:c r="C462" s="26"/>
      <x:c r="D462" s="13"/>
      <x:c r="E462" s="13"/>
      <x:c r="F462" s="13"/>
      <x:c r="G462" s="12" t="str">
        <x:f>IF(A462="","",'Agenda'!$B$5)</x:f>
      </x:c>
      <x:c r="H462" s="12" t="str">
        <x:f>IF(A462="","",'Agenda'!$B$6)</x:f>
      </x:c>
      <x:c r="I462" s="24" t="str">
        <x:f>IF(A462="","",C462+G462/1440)</x:f>
      </x:c>
      <x:c r="J462" s="24" t="str">
        <x:f>IF(A462="","",C462+(G462+H462)/1440)</x:f>
      </x:c>
      <x:c r="K462" s="27" t="str">
        <x:f>IF(A462="","",IF(E462&lt;&gt;"sim",0,COUNTIFS($B$2:$B$501,B462,$F$2:$F$501,F462,$E$2:$E$501,"sim",$C$2:$C$501,"&lt;"&amp;J462,$J$2:$J$501,"&gt;"&amp;C462)-1))</x:f>
      </x:c>
      <x:c r="L462" s="27" t="str">
        <x:f>IF(A462="","",IF(E462&lt;&gt;"sim",0,COUNTIFS($B$2:$B$501,B462,$A$2:$A$501,A462,$E$2:$E$501,"sim",$C$2:$C$501,"&lt;"&amp;J462,$J$2:$J$501,"&gt;"&amp;C462)-1))</x:f>
      </x:c>
      <x:c r="M462" s="2" t="str">
        <x:f>IF(A462="","",IF(E462&lt;&gt;"sim","Revisar escala",IF(OR(K462&gt;0,L462&gt;0),"Conflito de escala",IF(COUNTIFS('Solicitacoes'!$F$2:$F$501,B462,'Solicitacoes'!$K$2:$K$501,F462,'Solicitacoes'!$I$2:$I$501,"pendente",'Solicitacoes'!$G$2:$G$501,"&lt;"&amp;J462,'Solicitacoes'!$N$2:$N$501,"&gt;"&amp;C462)+COUNTIFS('Solicitacoes'!$F$2:$F$501,B462,'Solicitacoes'!$E$2:$E$501,A462,'Solicitacoes'!$I$2:$I$501,"pendente",'Solicitacoes'!$G$2:$G$501,"&lt;"&amp;J462,'Solicitacoes'!$N$2:$N$501,"&gt;"&amp;C462)+COUNTIFS('Solicitacoes'!$F$2:$F$501,B462,'Solicitacoes'!$K$2:$K$501,F462,'Solicitacoes'!$I$2:$I$501,"confirmado",'Solicitacoes'!$G$2:$G$501,"&lt;"&amp;J462,'Solicitacoes'!$N$2:$N$501,"&gt;"&amp;C462)+COUNTIFS('Solicitacoes'!$F$2:$F$501,B462,'Solicitacoes'!$E$2:$E$501,A462,'Solicitacoes'!$I$2:$I$501,"confirmado",'Solicitacoes'!$G$2:$G$501,"&lt;"&amp;J462,'Solicitacoes'!$N$2:$N$501,"&gt;"&amp;C462)&gt;0,"Ocupado","Disponível"))))</x:f>
      </x:c>
      <x:c r="N462" s="2" t="str">
        <x:f>IF(A462="","",ROW()-1)</x:f>
      </x:c>
    </x:row>
    <x:row r="463" ht="24" customHeight="1">
      <x:c r="A463" s="13"/>
      <x:c r="B463" s="14"/>
      <x:c r="C463" s="26"/>
      <x:c r="D463" s="13"/>
      <x:c r="E463" s="13"/>
      <x:c r="F463" s="13"/>
      <x:c r="G463" s="12" t="str">
        <x:f>IF(A463="","",'Agenda'!$B$5)</x:f>
      </x:c>
      <x:c r="H463" s="12" t="str">
        <x:f>IF(A463="","",'Agenda'!$B$6)</x:f>
      </x:c>
      <x:c r="I463" s="24" t="str">
        <x:f>IF(A463="","",C463+G463/1440)</x:f>
      </x:c>
      <x:c r="J463" s="24" t="str">
        <x:f>IF(A463="","",C463+(G463+H463)/1440)</x:f>
      </x:c>
      <x:c r="K463" s="27" t="str">
        <x:f>IF(A463="","",IF(E463&lt;&gt;"sim",0,COUNTIFS($B$2:$B$501,B463,$F$2:$F$501,F463,$E$2:$E$501,"sim",$C$2:$C$501,"&lt;"&amp;J463,$J$2:$J$501,"&gt;"&amp;C463)-1))</x:f>
      </x:c>
      <x:c r="L463" s="27" t="str">
        <x:f>IF(A463="","",IF(E463&lt;&gt;"sim",0,COUNTIFS($B$2:$B$501,B463,$A$2:$A$501,A463,$E$2:$E$501,"sim",$C$2:$C$501,"&lt;"&amp;J463,$J$2:$J$501,"&gt;"&amp;C463)-1))</x:f>
      </x:c>
      <x:c r="M463" s="2" t="str">
        <x:f>IF(A463="","",IF(E463&lt;&gt;"sim","Revisar escala",IF(OR(K463&gt;0,L463&gt;0),"Conflito de escala",IF(COUNTIFS('Solicitacoes'!$F$2:$F$501,B463,'Solicitacoes'!$K$2:$K$501,F463,'Solicitacoes'!$I$2:$I$501,"pendente",'Solicitacoes'!$G$2:$G$501,"&lt;"&amp;J463,'Solicitacoes'!$N$2:$N$501,"&gt;"&amp;C463)+COUNTIFS('Solicitacoes'!$F$2:$F$501,B463,'Solicitacoes'!$E$2:$E$501,A463,'Solicitacoes'!$I$2:$I$501,"pendente",'Solicitacoes'!$G$2:$G$501,"&lt;"&amp;J463,'Solicitacoes'!$N$2:$N$501,"&gt;"&amp;C463)+COUNTIFS('Solicitacoes'!$F$2:$F$501,B463,'Solicitacoes'!$K$2:$K$501,F463,'Solicitacoes'!$I$2:$I$501,"confirmado",'Solicitacoes'!$G$2:$G$501,"&lt;"&amp;J463,'Solicitacoes'!$N$2:$N$501,"&gt;"&amp;C463)+COUNTIFS('Solicitacoes'!$F$2:$F$501,B463,'Solicitacoes'!$E$2:$E$501,A463,'Solicitacoes'!$I$2:$I$501,"confirmado",'Solicitacoes'!$G$2:$G$501,"&lt;"&amp;J463,'Solicitacoes'!$N$2:$N$501,"&gt;"&amp;C463)&gt;0,"Ocupado","Disponível"))))</x:f>
      </x:c>
      <x:c r="N463" s="2" t="str">
        <x:f>IF(A463="","",ROW()-1)</x:f>
      </x:c>
    </x:row>
    <x:row r="464" ht="24" customHeight="1">
      <x:c r="A464" s="13"/>
      <x:c r="B464" s="14"/>
      <x:c r="C464" s="26"/>
      <x:c r="D464" s="13"/>
      <x:c r="E464" s="13"/>
      <x:c r="F464" s="13"/>
      <x:c r="G464" s="12" t="str">
        <x:f>IF(A464="","",'Agenda'!$B$5)</x:f>
      </x:c>
      <x:c r="H464" s="12" t="str">
        <x:f>IF(A464="","",'Agenda'!$B$6)</x:f>
      </x:c>
      <x:c r="I464" s="24" t="str">
        <x:f>IF(A464="","",C464+G464/1440)</x:f>
      </x:c>
      <x:c r="J464" s="24" t="str">
        <x:f>IF(A464="","",C464+(G464+H464)/1440)</x:f>
      </x:c>
      <x:c r="K464" s="27" t="str">
        <x:f>IF(A464="","",IF(E464&lt;&gt;"sim",0,COUNTIFS($B$2:$B$501,B464,$F$2:$F$501,F464,$E$2:$E$501,"sim",$C$2:$C$501,"&lt;"&amp;J464,$J$2:$J$501,"&gt;"&amp;C464)-1))</x:f>
      </x:c>
      <x:c r="L464" s="27" t="str">
        <x:f>IF(A464="","",IF(E464&lt;&gt;"sim",0,COUNTIFS($B$2:$B$501,B464,$A$2:$A$501,A464,$E$2:$E$501,"sim",$C$2:$C$501,"&lt;"&amp;J464,$J$2:$J$501,"&gt;"&amp;C464)-1))</x:f>
      </x:c>
      <x:c r="M464" s="2" t="str">
        <x:f>IF(A464="","",IF(E464&lt;&gt;"sim","Revisar escala",IF(OR(K464&gt;0,L464&gt;0),"Conflito de escala",IF(COUNTIFS('Solicitacoes'!$F$2:$F$501,B464,'Solicitacoes'!$K$2:$K$501,F464,'Solicitacoes'!$I$2:$I$501,"pendente",'Solicitacoes'!$G$2:$G$501,"&lt;"&amp;J464,'Solicitacoes'!$N$2:$N$501,"&gt;"&amp;C464)+COUNTIFS('Solicitacoes'!$F$2:$F$501,B464,'Solicitacoes'!$E$2:$E$501,A464,'Solicitacoes'!$I$2:$I$501,"pendente",'Solicitacoes'!$G$2:$G$501,"&lt;"&amp;J464,'Solicitacoes'!$N$2:$N$501,"&gt;"&amp;C464)+COUNTIFS('Solicitacoes'!$F$2:$F$501,B464,'Solicitacoes'!$K$2:$K$501,F464,'Solicitacoes'!$I$2:$I$501,"confirmado",'Solicitacoes'!$G$2:$G$501,"&lt;"&amp;J464,'Solicitacoes'!$N$2:$N$501,"&gt;"&amp;C464)+COUNTIFS('Solicitacoes'!$F$2:$F$501,B464,'Solicitacoes'!$E$2:$E$501,A464,'Solicitacoes'!$I$2:$I$501,"confirmado",'Solicitacoes'!$G$2:$G$501,"&lt;"&amp;J464,'Solicitacoes'!$N$2:$N$501,"&gt;"&amp;C464)&gt;0,"Ocupado","Disponível"))))</x:f>
      </x:c>
      <x:c r="N464" s="2" t="str">
        <x:f>IF(A464="","",ROW()-1)</x:f>
      </x:c>
    </x:row>
    <x:row r="465" ht="24" customHeight="1">
      <x:c r="A465" s="13"/>
      <x:c r="B465" s="14"/>
      <x:c r="C465" s="26"/>
      <x:c r="D465" s="13"/>
      <x:c r="E465" s="13"/>
      <x:c r="F465" s="13"/>
      <x:c r="G465" s="12" t="str">
        <x:f>IF(A465="","",'Agenda'!$B$5)</x:f>
      </x:c>
      <x:c r="H465" s="12" t="str">
        <x:f>IF(A465="","",'Agenda'!$B$6)</x:f>
      </x:c>
      <x:c r="I465" s="24" t="str">
        <x:f>IF(A465="","",C465+G465/1440)</x:f>
      </x:c>
      <x:c r="J465" s="24" t="str">
        <x:f>IF(A465="","",C465+(G465+H465)/1440)</x:f>
      </x:c>
      <x:c r="K465" s="27" t="str">
        <x:f>IF(A465="","",IF(E465&lt;&gt;"sim",0,COUNTIFS($B$2:$B$501,B465,$F$2:$F$501,F465,$E$2:$E$501,"sim",$C$2:$C$501,"&lt;"&amp;J465,$J$2:$J$501,"&gt;"&amp;C465)-1))</x:f>
      </x:c>
      <x:c r="L465" s="27" t="str">
        <x:f>IF(A465="","",IF(E465&lt;&gt;"sim",0,COUNTIFS($B$2:$B$501,B465,$A$2:$A$501,A465,$E$2:$E$501,"sim",$C$2:$C$501,"&lt;"&amp;J465,$J$2:$J$501,"&gt;"&amp;C465)-1))</x:f>
      </x:c>
      <x:c r="M465" s="2" t="str">
        <x:f>IF(A465="","",IF(E465&lt;&gt;"sim","Revisar escala",IF(OR(K465&gt;0,L465&gt;0),"Conflito de escala",IF(COUNTIFS('Solicitacoes'!$F$2:$F$501,B465,'Solicitacoes'!$K$2:$K$501,F465,'Solicitacoes'!$I$2:$I$501,"pendente",'Solicitacoes'!$G$2:$G$501,"&lt;"&amp;J465,'Solicitacoes'!$N$2:$N$501,"&gt;"&amp;C465)+COUNTIFS('Solicitacoes'!$F$2:$F$501,B465,'Solicitacoes'!$E$2:$E$501,A465,'Solicitacoes'!$I$2:$I$501,"pendente",'Solicitacoes'!$G$2:$G$501,"&lt;"&amp;J465,'Solicitacoes'!$N$2:$N$501,"&gt;"&amp;C465)+COUNTIFS('Solicitacoes'!$F$2:$F$501,B465,'Solicitacoes'!$K$2:$K$501,F465,'Solicitacoes'!$I$2:$I$501,"confirmado",'Solicitacoes'!$G$2:$G$501,"&lt;"&amp;J465,'Solicitacoes'!$N$2:$N$501,"&gt;"&amp;C465)+COUNTIFS('Solicitacoes'!$F$2:$F$501,B465,'Solicitacoes'!$E$2:$E$501,A465,'Solicitacoes'!$I$2:$I$501,"confirmado",'Solicitacoes'!$G$2:$G$501,"&lt;"&amp;J465,'Solicitacoes'!$N$2:$N$501,"&gt;"&amp;C465)&gt;0,"Ocupado","Disponível"))))</x:f>
      </x:c>
      <x:c r="N465" s="2" t="str">
        <x:f>IF(A465="","",ROW()-1)</x:f>
      </x:c>
    </x:row>
    <x:row r="466" ht="24" customHeight="1">
      <x:c r="A466" s="13"/>
      <x:c r="B466" s="14"/>
      <x:c r="C466" s="26"/>
      <x:c r="D466" s="13"/>
      <x:c r="E466" s="13"/>
      <x:c r="F466" s="13"/>
      <x:c r="G466" s="12" t="str">
        <x:f>IF(A466="","",'Agenda'!$B$5)</x:f>
      </x:c>
      <x:c r="H466" s="12" t="str">
        <x:f>IF(A466="","",'Agenda'!$B$6)</x:f>
      </x:c>
      <x:c r="I466" s="24" t="str">
        <x:f>IF(A466="","",C466+G466/1440)</x:f>
      </x:c>
      <x:c r="J466" s="24" t="str">
        <x:f>IF(A466="","",C466+(G466+H466)/1440)</x:f>
      </x:c>
      <x:c r="K466" s="27" t="str">
        <x:f>IF(A466="","",IF(E466&lt;&gt;"sim",0,COUNTIFS($B$2:$B$501,B466,$F$2:$F$501,F466,$E$2:$E$501,"sim",$C$2:$C$501,"&lt;"&amp;J466,$J$2:$J$501,"&gt;"&amp;C466)-1))</x:f>
      </x:c>
      <x:c r="L466" s="27" t="str">
        <x:f>IF(A466="","",IF(E466&lt;&gt;"sim",0,COUNTIFS($B$2:$B$501,B466,$A$2:$A$501,A466,$E$2:$E$501,"sim",$C$2:$C$501,"&lt;"&amp;J466,$J$2:$J$501,"&gt;"&amp;C466)-1))</x:f>
      </x:c>
      <x:c r="M466" s="2" t="str">
        <x:f>IF(A466="","",IF(E466&lt;&gt;"sim","Revisar escala",IF(OR(K466&gt;0,L466&gt;0),"Conflito de escala",IF(COUNTIFS('Solicitacoes'!$F$2:$F$501,B466,'Solicitacoes'!$K$2:$K$501,F466,'Solicitacoes'!$I$2:$I$501,"pendente",'Solicitacoes'!$G$2:$G$501,"&lt;"&amp;J466,'Solicitacoes'!$N$2:$N$501,"&gt;"&amp;C466)+COUNTIFS('Solicitacoes'!$F$2:$F$501,B466,'Solicitacoes'!$E$2:$E$501,A466,'Solicitacoes'!$I$2:$I$501,"pendente",'Solicitacoes'!$G$2:$G$501,"&lt;"&amp;J466,'Solicitacoes'!$N$2:$N$501,"&gt;"&amp;C466)+COUNTIFS('Solicitacoes'!$F$2:$F$501,B466,'Solicitacoes'!$K$2:$K$501,F466,'Solicitacoes'!$I$2:$I$501,"confirmado",'Solicitacoes'!$G$2:$G$501,"&lt;"&amp;J466,'Solicitacoes'!$N$2:$N$501,"&gt;"&amp;C466)+COUNTIFS('Solicitacoes'!$F$2:$F$501,B466,'Solicitacoes'!$E$2:$E$501,A466,'Solicitacoes'!$I$2:$I$501,"confirmado",'Solicitacoes'!$G$2:$G$501,"&lt;"&amp;J466,'Solicitacoes'!$N$2:$N$501,"&gt;"&amp;C466)&gt;0,"Ocupado","Disponível"))))</x:f>
      </x:c>
      <x:c r="N466" s="2" t="str">
        <x:f>IF(A466="","",ROW()-1)</x:f>
      </x:c>
    </x:row>
    <x:row r="467" ht="24" customHeight="1">
      <x:c r="A467" s="13"/>
      <x:c r="B467" s="14"/>
      <x:c r="C467" s="26"/>
      <x:c r="D467" s="13"/>
      <x:c r="E467" s="13"/>
      <x:c r="F467" s="13"/>
      <x:c r="G467" s="12" t="str">
        <x:f>IF(A467="","",'Agenda'!$B$5)</x:f>
      </x:c>
      <x:c r="H467" s="12" t="str">
        <x:f>IF(A467="","",'Agenda'!$B$6)</x:f>
      </x:c>
      <x:c r="I467" s="24" t="str">
        <x:f>IF(A467="","",C467+G467/1440)</x:f>
      </x:c>
      <x:c r="J467" s="24" t="str">
        <x:f>IF(A467="","",C467+(G467+H467)/1440)</x:f>
      </x:c>
      <x:c r="K467" s="27" t="str">
        <x:f>IF(A467="","",IF(E467&lt;&gt;"sim",0,COUNTIFS($B$2:$B$501,B467,$F$2:$F$501,F467,$E$2:$E$501,"sim",$C$2:$C$501,"&lt;"&amp;J467,$J$2:$J$501,"&gt;"&amp;C467)-1))</x:f>
      </x:c>
      <x:c r="L467" s="27" t="str">
        <x:f>IF(A467="","",IF(E467&lt;&gt;"sim",0,COUNTIFS($B$2:$B$501,B467,$A$2:$A$501,A467,$E$2:$E$501,"sim",$C$2:$C$501,"&lt;"&amp;J467,$J$2:$J$501,"&gt;"&amp;C467)-1))</x:f>
      </x:c>
      <x:c r="M467" s="2" t="str">
        <x:f>IF(A467="","",IF(E467&lt;&gt;"sim","Revisar escala",IF(OR(K467&gt;0,L467&gt;0),"Conflito de escala",IF(COUNTIFS('Solicitacoes'!$F$2:$F$501,B467,'Solicitacoes'!$K$2:$K$501,F467,'Solicitacoes'!$I$2:$I$501,"pendente",'Solicitacoes'!$G$2:$G$501,"&lt;"&amp;J467,'Solicitacoes'!$N$2:$N$501,"&gt;"&amp;C467)+COUNTIFS('Solicitacoes'!$F$2:$F$501,B467,'Solicitacoes'!$E$2:$E$501,A467,'Solicitacoes'!$I$2:$I$501,"pendente",'Solicitacoes'!$G$2:$G$501,"&lt;"&amp;J467,'Solicitacoes'!$N$2:$N$501,"&gt;"&amp;C467)+COUNTIFS('Solicitacoes'!$F$2:$F$501,B467,'Solicitacoes'!$K$2:$K$501,F467,'Solicitacoes'!$I$2:$I$501,"confirmado",'Solicitacoes'!$G$2:$G$501,"&lt;"&amp;J467,'Solicitacoes'!$N$2:$N$501,"&gt;"&amp;C467)+COUNTIFS('Solicitacoes'!$F$2:$F$501,B467,'Solicitacoes'!$E$2:$E$501,A467,'Solicitacoes'!$I$2:$I$501,"confirmado",'Solicitacoes'!$G$2:$G$501,"&lt;"&amp;J467,'Solicitacoes'!$N$2:$N$501,"&gt;"&amp;C467)&gt;0,"Ocupado","Disponível"))))</x:f>
      </x:c>
      <x:c r="N467" s="2" t="str">
        <x:f>IF(A467="","",ROW()-1)</x:f>
      </x:c>
    </x:row>
    <x:row r="468" ht="24" customHeight="1">
      <x:c r="A468" s="13"/>
      <x:c r="B468" s="14"/>
      <x:c r="C468" s="26"/>
      <x:c r="D468" s="13"/>
      <x:c r="E468" s="13"/>
      <x:c r="F468" s="13"/>
      <x:c r="G468" s="12" t="str">
        <x:f>IF(A468="","",'Agenda'!$B$5)</x:f>
      </x:c>
      <x:c r="H468" s="12" t="str">
        <x:f>IF(A468="","",'Agenda'!$B$6)</x:f>
      </x:c>
      <x:c r="I468" s="24" t="str">
        <x:f>IF(A468="","",C468+G468/1440)</x:f>
      </x:c>
      <x:c r="J468" s="24" t="str">
        <x:f>IF(A468="","",C468+(G468+H468)/1440)</x:f>
      </x:c>
      <x:c r="K468" s="27" t="str">
        <x:f>IF(A468="","",IF(E468&lt;&gt;"sim",0,COUNTIFS($B$2:$B$501,B468,$F$2:$F$501,F468,$E$2:$E$501,"sim",$C$2:$C$501,"&lt;"&amp;J468,$J$2:$J$501,"&gt;"&amp;C468)-1))</x:f>
      </x:c>
      <x:c r="L468" s="27" t="str">
        <x:f>IF(A468="","",IF(E468&lt;&gt;"sim",0,COUNTIFS($B$2:$B$501,B468,$A$2:$A$501,A468,$E$2:$E$501,"sim",$C$2:$C$501,"&lt;"&amp;J468,$J$2:$J$501,"&gt;"&amp;C468)-1))</x:f>
      </x:c>
      <x:c r="M468" s="2" t="str">
        <x:f>IF(A468="","",IF(E468&lt;&gt;"sim","Revisar escala",IF(OR(K468&gt;0,L468&gt;0),"Conflito de escala",IF(COUNTIFS('Solicitacoes'!$F$2:$F$501,B468,'Solicitacoes'!$K$2:$K$501,F468,'Solicitacoes'!$I$2:$I$501,"pendente",'Solicitacoes'!$G$2:$G$501,"&lt;"&amp;J468,'Solicitacoes'!$N$2:$N$501,"&gt;"&amp;C468)+COUNTIFS('Solicitacoes'!$F$2:$F$501,B468,'Solicitacoes'!$E$2:$E$501,A468,'Solicitacoes'!$I$2:$I$501,"pendente",'Solicitacoes'!$G$2:$G$501,"&lt;"&amp;J468,'Solicitacoes'!$N$2:$N$501,"&gt;"&amp;C468)+COUNTIFS('Solicitacoes'!$F$2:$F$501,B468,'Solicitacoes'!$K$2:$K$501,F468,'Solicitacoes'!$I$2:$I$501,"confirmado",'Solicitacoes'!$G$2:$G$501,"&lt;"&amp;J468,'Solicitacoes'!$N$2:$N$501,"&gt;"&amp;C468)+COUNTIFS('Solicitacoes'!$F$2:$F$501,B468,'Solicitacoes'!$E$2:$E$501,A468,'Solicitacoes'!$I$2:$I$501,"confirmado",'Solicitacoes'!$G$2:$G$501,"&lt;"&amp;J468,'Solicitacoes'!$N$2:$N$501,"&gt;"&amp;C468)&gt;0,"Ocupado","Disponível"))))</x:f>
      </x:c>
      <x:c r="N468" s="2" t="str">
        <x:f>IF(A468="","",ROW()-1)</x:f>
      </x:c>
    </x:row>
    <x:row r="469" ht="24" customHeight="1">
      <x:c r="A469" s="13"/>
      <x:c r="B469" s="14"/>
      <x:c r="C469" s="26"/>
      <x:c r="D469" s="13"/>
      <x:c r="E469" s="13"/>
      <x:c r="F469" s="13"/>
      <x:c r="G469" s="12" t="str">
        <x:f>IF(A469="","",'Agenda'!$B$5)</x:f>
      </x:c>
      <x:c r="H469" s="12" t="str">
        <x:f>IF(A469="","",'Agenda'!$B$6)</x:f>
      </x:c>
      <x:c r="I469" s="24" t="str">
        <x:f>IF(A469="","",C469+G469/1440)</x:f>
      </x:c>
      <x:c r="J469" s="24" t="str">
        <x:f>IF(A469="","",C469+(G469+H469)/1440)</x:f>
      </x:c>
      <x:c r="K469" s="27" t="str">
        <x:f>IF(A469="","",IF(E469&lt;&gt;"sim",0,COUNTIFS($B$2:$B$501,B469,$F$2:$F$501,F469,$E$2:$E$501,"sim",$C$2:$C$501,"&lt;"&amp;J469,$J$2:$J$501,"&gt;"&amp;C469)-1))</x:f>
      </x:c>
      <x:c r="L469" s="27" t="str">
        <x:f>IF(A469="","",IF(E469&lt;&gt;"sim",0,COUNTIFS($B$2:$B$501,B469,$A$2:$A$501,A469,$E$2:$E$501,"sim",$C$2:$C$501,"&lt;"&amp;J469,$J$2:$J$501,"&gt;"&amp;C469)-1))</x:f>
      </x:c>
      <x:c r="M469" s="2" t="str">
        <x:f>IF(A469="","",IF(E469&lt;&gt;"sim","Revisar escala",IF(OR(K469&gt;0,L469&gt;0),"Conflito de escala",IF(COUNTIFS('Solicitacoes'!$F$2:$F$501,B469,'Solicitacoes'!$K$2:$K$501,F469,'Solicitacoes'!$I$2:$I$501,"pendente",'Solicitacoes'!$G$2:$G$501,"&lt;"&amp;J469,'Solicitacoes'!$N$2:$N$501,"&gt;"&amp;C469)+COUNTIFS('Solicitacoes'!$F$2:$F$501,B469,'Solicitacoes'!$E$2:$E$501,A469,'Solicitacoes'!$I$2:$I$501,"pendente",'Solicitacoes'!$G$2:$G$501,"&lt;"&amp;J469,'Solicitacoes'!$N$2:$N$501,"&gt;"&amp;C469)+COUNTIFS('Solicitacoes'!$F$2:$F$501,B469,'Solicitacoes'!$K$2:$K$501,F469,'Solicitacoes'!$I$2:$I$501,"confirmado",'Solicitacoes'!$G$2:$G$501,"&lt;"&amp;J469,'Solicitacoes'!$N$2:$N$501,"&gt;"&amp;C469)+COUNTIFS('Solicitacoes'!$F$2:$F$501,B469,'Solicitacoes'!$E$2:$E$501,A469,'Solicitacoes'!$I$2:$I$501,"confirmado",'Solicitacoes'!$G$2:$G$501,"&lt;"&amp;J469,'Solicitacoes'!$N$2:$N$501,"&gt;"&amp;C469)&gt;0,"Ocupado","Disponível"))))</x:f>
      </x:c>
      <x:c r="N469" s="2" t="str">
        <x:f>IF(A469="","",ROW()-1)</x:f>
      </x:c>
    </x:row>
    <x:row r="470" ht="24" customHeight="1">
      <x:c r="A470" s="13"/>
      <x:c r="B470" s="14"/>
      <x:c r="C470" s="26"/>
      <x:c r="D470" s="13"/>
      <x:c r="E470" s="13"/>
      <x:c r="F470" s="13"/>
      <x:c r="G470" s="12" t="str">
        <x:f>IF(A470="","",'Agenda'!$B$5)</x:f>
      </x:c>
      <x:c r="H470" s="12" t="str">
        <x:f>IF(A470="","",'Agenda'!$B$6)</x:f>
      </x:c>
      <x:c r="I470" s="24" t="str">
        <x:f>IF(A470="","",C470+G470/1440)</x:f>
      </x:c>
      <x:c r="J470" s="24" t="str">
        <x:f>IF(A470="","",C470+(G470+H470)/1440)</x:f>
      </x:c>
      <x:c r="K470" s="27" t="str">
        <x:f>IF(A470="","",IF(E470&lt;&gt;"sim",0,COUNTIFS($B$2:$B$501,B470,$F$2:$F$501,F470,$E$2:$E$501,"sim",$C$2:$C$501,"&lt;"&amp;J470,$J$2:$J$501,"&gt;"&amp;C470)-1))</x:f>
      </x:c>
      <x:c r="L470" s="27" t="str">
        <x:f>IF(A470="","",IF(E470&lt;&gt;"sim",0,COUNTIFS($B$2:$B$501,B470,$A$2:$A$501,A470,$E$2:$E$501,"sim",$C$2:$C$501,"&lt;"&amp;J470,$J$2:$J$501,"&gt;"&amp;C470)-1))</x:f>
      </x:c>
      <x:c r="M470" s="2" t="str">
        <x:f>IF(A470="","",IF(E470&lt;&gt;"sim","Revisar escala",IF(OR(K470&gt;0,L470&gt;0),"Conflito de escala",IF(COUNTIFS('Solicitacoes'!$F$2:$F$501,B470,'Solicitacoes'!$K$2:$K$501,F470,'Solicitacoes'!$I$2:$I$501,"pendente",'Solicitacoes'!$G$2:$G$501,"&lt;"&amp;J470,'Solicitacoes'!$N$2:$N$501,"&gt;"&amp;C470)+COUNTIFS('Solicitacoes'!$F$2:$F$501,B470,'Solicitacoes'!$E$2:$E$501,A470,'Solicitacoes'!$I$2:$I$501,"pendente",'Solicitacoes'!$G$2:$G$501,"&lt;"&amp;J470,'Solicitacoes'!$N$2:$N$501,"&gt;"&amp;C470)+COUNTIFS('Solicitacoes'!$F$2:$F$501,B470,'Solicitacoes'!$K$2:$K$501,F470,'Solicitacoes'!$I$2:$I$501,"confirmado",'Solicitacoes'!$G$2:$G$501,"&lt;"&amp;J470,'Solicitacoes'!$N$2:$N$501,"&gt;"&amp;C470)+COUNTIFS('Solicitacoes'!$F$2:$F$501,B470,'Solicitacoes'!$E$2:$E$501,A470,'Solicitacoes'!$I$2:$I$501,"confirmado",'Solicitacoes'!$G$2:$G$501,"&lt;"&amp;J470,'Solicitacoes'!$N$2:$N$501,"&gt;"&amp;C470)&gt;0,"Ocupado","Disponível"))))</x:f>
      </x:c>
      <x:c r="N470" s="2" t="str">
        <x:f>IF(A470="","",ROW()-1)</x:f>
      </x:c>
    </x:row>
    <x:row r="471" ht="24" customHeight="1">
      <x:c r="A471" s="13"/>
      <x:c r="B471" s="14"/>
      <x:c r="C471" s="26"/>
      <x:c r="D471" s="13"/>
      <x:c r="E471" s="13"/>
      <x:c r="F471" s="13"/>
      <x:c r="G471" s="12" t="str">
        <x:f>IF(A471="","",'Agenda'!$B$5)</x:f>
      </x:c>
      <x:c r="H471" s="12" t="str">
        <x:f>IF(A471="","",'Agenda'!$B$6)</x:f>
      </x:c>
      <x:c r="I471" s="24" t="str">
        <x:f>IF(A471="","",C471+G471/1440)</x:f>
      </x:c>
      <x:c r="J471" s="24" t="str">
        <x:f>IF(A471="","",C471+(G471+H471)/1440)</x:f>
      </x:c>
      <x:c r="K471" s="27" t="str">
        <x:f>IF(A471="","",IF(E471&lt;&gt;"sim",0,COUNTIFS($B$2:$B$501,B471,$F$2:$F$501,F471,$E$2:$E$501,"sim",$C$2:$C$501,"&lt;"&amp;J471,$J$2:$J$501,"&gt;"&amp;C471)-1))</x:f>
      </x:c>
      <x:c r="L471" s="27" t="str">
        <x:f>IF(A471="","",IF(E471&lt;&gt;"sim",0,COUNTIFS($B$2:$B$501,B471,$A$2:$A$501,A471,$E$2:$E$501,"sim",$C$2:$C$501,"&lt;"&amp;J471,$J$2:$J$501,"&gt;"&amp;C471)-1))</x:f>
      </x:c>
      <x:c r="M471" s="2" t="str">
        <x:f>IF(A471="","",IF(E471&lt;&gt;"sim","Revisar escala",IF(OR(K471&gt;0,L471&gt;0),"Conflito de escala",IF(COUNTIFS('Solicitacoes'!$F$2:$F$501,B471,'Solicitacoes'!$K$2:$K$501,F471,'Solicitacoes'!$I$2:$I$501,"pendente",'Solicitacoes'!$G$2:$G$501,"&lt;"&amp;J471,'Solicitacoes'!$N$2:$N$501,"&gt;"&amp;C471)+COUNTIFS('Solicitacoes'!$F$2:$F$501,B471,'Solicitacoes'!$E$2:$E$501,A471,'Solicitacoes'!$I$2:$I$501,"pendente",'Solicitacoes'!$G$2:$G$501,"&lt;"&amp;J471,'Solicitacoes'!$N$2:$N$501,"&gt;"&amp;C471)+COUNTIFS('Solicitacoes'!$F$2:$F$501,B471,'Solicitacoes'!$K$2:$K$501,F471,'Solicitacoes'!$I$2:$I$501,"confirmado",'Solicitacoes'!$G$2:$G$501,"&lt;"&amp;J471,'Solicitacoes'!$N$2:$N$501,"&gt;"&amp;C471)+COUNTIFS('Solicitacoes'!$F$2:$F$501,B471,'Solicitacoes'!$E$2:$E$501,A471,'Solicitacoes'!$I$2:$I$501,"confirmado",'Solicitacoes'!$G$2:$G$501,"&lt;"&amp;J471,'Solicitacoes'!$N$2:$N$501,"&gt;"&amp;C471)&gt;0,"Ocupado","Disponível"))))</x:f>
      </x:c>
      <x:c r="N471" s="2" t="str">
        <x:f>IF(A471="","",ROW()-1)</x:f>
      </x:c>
    </x:row>
    <x:row r="472" ht="24" customHeight="1">
      <x:c r="A472" s="13"/>
      <x:c r="B472" s="14"/>
      <x:c r="C472" s="26"/>
      <x:c r="D472" s="13"/>
      <x:c r="E472" s="13"/>
      <x:c r="F472" s="13"/>
      <x:c r="G472" s="12" t="str">
        <x:f>IF(A472="","",'Agenda'!$B$5)</x:f>
      </x:c>
      <x:c r="H472" s="12" t="str">
        <x:f>IF(A472="","",'Agenda'!$B$6)</x:f>
      </x:c>
      <x:c r="I472" s="24" t="str">
        <x:f>IF(A472="","",C472+G472/1440)</x:f>
      </x:c>
      <x:c r="J472" s="24" t="str">
        <x:f>IF(A472="","",C472+(G472+H472)/1440)</x:f>
      </x:c>
      <x:c r="K472" s="27" t="str">
        <x:f>IF(A472="","",IF(E472&lt;&gt;"sim",0,COUNTIFS($B$2:$B$501,B472,$F$2:$F$501,F472,$E$2:$E$501,"sim",$C$2:$C$501,"&lt;"&amp;J472,$J$2:$J$501,"&gt;"&amp;C472)-1))</x:f>
      </x:c>
      <x:c r="L472" s="27" t="str">
        <x:f>IF(A472="","",IF(E472&lt;&gt;"sim",0,COUNTIFS($B$2:$B$501,B472,$A$2:$A$501,A472,$E$2:$E$501,"sim",$C$2:$C$501,"&lt;"&amp;J472,$J$2:$J$501,"&gt;"&amp;C472)-1))</x:f>
      </x:c>
      <x:c r="M472" s="2" t="str">
        <x:f>IF(A472="","",IF(E472&lt;&gt;"sim","Revisar escala",IF(OR(K472&gt;0,L472&gt;0),"Conflito de escala",IF(COUNTIFS('Solicitacoes'!$F$2:$F$501,B472,'Solicitacoes'!$K$2:$K$501,F472,'Solicitacoes'!$I$2:$I$501,"pendente",'Solicitacoes'!$G$2:$G$501,"&lt;"&amp;J472,'Solicitacoes'!$N$2:$N$501,"&gt;"&amp;C472)+COUNTIFS('Solicitacoes'!$F$2:$F$501,B472,'Solicitacoes'!$E$2:$E$501,A472,'Solicitacoes'!$I$2:$I$501,"pendente",'Solicitacoes'!$G$2:$G$501,"&lt;"&amp;J472,'Solicitacoes'!$N$2:$N$501,"&gt;"&amp;C472)+COUNTIFS('Solicitacoes'!$F$2:$F$501,B472,'Solicitacoes'!$K$2:$K$501,F472,'Solicitacoes'!$I$2:$I$501,"confirmado",'Solicitacoes'!$G$2:$G$501,"&lt;"&amp;J472,'Solicitacoes'!$N$2:$N$501,"&gt;"&amp;C472)+COUNTIFS('Solicitacoes'!$F$2:$F$501,B472,'Solicitacoes'!$E$2:$E$501,A472,'Solicitacoes'!$I$2:$I$501,"confirmado",'Solicitacoes'!$G$2:$G$501,"&lt;"&amp;J472,'Solicitacoes'!$N$2:$N$501,"&gt;"&amp;C472)&gt;0,"Ocupado","Disponível"))))</x:f>
      </x:c>
      <x:c r="N472" s="2" t="str">
        <x:f>IF(A472="","",ROW()-1)</x:f>
      </x:c>
    </x:row>
    <x:row r="473" ht="24" customHeight="1">
      <x:c r="A473" s="13"/>
      <x:c r="B473" s="14"/>
      <x:c r="C473" s="26"/>
      <x:c r="D473" s="13"/>
      <x:c r="E473" s="13"/>
      <x:c r="F473" s="13"/>
      <x:c r="G473" s="12" t="str">
        <x:f>IF(A473="","",'Agenda'!$B$5)</x:f>
      </x:c>
      <x:c r="H473" s="12" t="str">
        <x:f>IF(A473="","",'Agenda'!$B$6)</x:f>
      </x:c>
      <x:c r="I473" s="24" t="str">
        <x:f>IF(A473="","",C473+G473/1440)</x:f>
      </x:c>
      <x:c r="J473" s="24" t="str">
        <x:f>IF(A473="","",C473+(G473+H473)/1440)</x:f>
      </x:c>
      <x:c r="K473" s="27" t="str">
        <x:f>IF(A473="","",IF(E473&lt;&gt;"sim",0,COUNTIFS($B$2:$B$501,B473,$F$2:$F$501,F473,$E$2:$E$501,"sim",$C$2:$C$501,"&lt;"&amp;J473,$J$2:$J$501,"&gt;"&amp;C473)-1))</x:f>
      </x:c>
      <x:c r="L473" s="27" t="str">
        <x:f>IF(A473="","",IF(E473&lt;&gt;"sim",0,COUNTIFS($B$2:$B$501,B473,$A$2:$A$501,A473,$E$2:$E$501,"sim",$C$2:$C$501,"&lt;"&amp;J473,$J$2:$J$501,"&gt;"&amp;C473)-1))</x:f>
      </x:c>
      <x:c r="M473" s="2" t="str">
        <x:f>IF(A473="","",IF(E473&lt;&gt;"sim","Revisar escala",IF(OR(K473&gt;0,L473&gt;0),"Conflito de escala",IF(COUNTIFS('Solicitacoes'!$F$2:$F$501,B473,'Solicitacoes'!$K$2:$K$501,F473,'Solicitacoes'!$I$2:$I$501,"pendente",'Solicitacoes'!$G$2:$G$501,"&lt;"&amp;J473,'Solicitacoes'!$N$2:$N$501,"&gt;"&amp;C473)+COUNTIFS('Solicitacoes'!$F$2:$F$501,B473,'Solicitacoes'!$E$2:$E$501,A473,'Solicitacoes'!$I$2:$I$501,"pendente",'Solicitacoes'!$G$2:$G$501,"&lt;"&amp;J473,'Solicitacoes'!$N$2:$N$501,"&gt;"&amp;C473)+COUNTIFS('Solicitacoes'!$F$2:$F$501,B473,'Solicitacoes'!$K$2:$K$501,F473,'Solicitacoes'!$I$2:$I$501,"confirmado",'Solicitacoes'!$G$2:$G$501,"&lt;"&amp;J473,'Solicitacoes'!$N$2:$N$501,"&gt;"&amp;C473)+COUNTIFS('Solicitacoes'!$F$2:$F$501,B473,'Solicitacoes'!$E$2:$E$501,A473,'Solicitacoes'!$I$2:$I$501,"confirmado",'Solicitacoes'!$G$2:$G$501,"&lt;"&amp;J473,'Solicitacoes'!$N$2:$N$501,"&gt;"&amp;C473)&gt;0,"Ocupado","Disponível"))))</x:f>
      </x:c>
      <x:c r="N473" s="2" t="str">
        <x:f>IF(A473="","",ROW()-1)</x:f>
      </x:c>
    </x:row>
    <x:row r="474" ht="24" customHeight="1">
      <x:c r="A474" s="13"/>
      <x:c r="B474" s="14"/>
      <x:c r="C474" s="26"/>
      <x:c r="D474" s="13"/>
      <x:c r="E474" s="13"/>
      <x:c r="F474" s="13"/>
      <x:c r="G474" s="12" t="str">
        <x:f>IF(A474="","",'Agenda'!$B$5)</x:f>
      </x:c>
      <x:c r="H474" s="12" t="str">
        <x:f>IF(A474="","",'Agenda'!$B$6)</x:f>
      </x:c>
      <x:c r="I474" s="24" t="str">
        <x:f>IF(A474="","",C474+G474/1440)</x:f>
      </x:c>
      <x:c r="J474" s="24" t="str">
        <x:f>IF(A474="","",C474+(G474+H474)/1440)</x:f>
      </x:c>
      <x:c r="K474" s="27" t="str">
        <x:f>IF(A474="","",IF(E474&lt;&gt;"sim",0,COUNTIFS($B$2:$B$501,B474,$F$2:$F$501,F474,$E$2:$E$501,"sim",$C$2:$C$501,"&lt;"&amp;J474,$J$2:$J$501,"&gt;"&amp;C474)-1))</x:f>
      </x:c>
      <x:c r="L474" s="27" t="str">
        <x:f>IF(A474="","",IF(E474&lt;&gt;"sim",0,COUNTIFS($B$2:$B$501,B474,$A$2:$A$501,A474,$E$2:$E$501,"sim",$C$2:$C$501,"&lt;"&amp;J474,$J$2:$J$501,"&gt;"&amp;C474)-1))</x:f>
      </x:c>
      <x:c r="M474" s="2" t="str">
        <x:f>IF(A474="","",IF(E474&lt;&gt;"sim","Revisar escala",IF(OR(K474&gt;0,L474&gt;0),"Conflito de escala",IF(COUNTIFS('Solicitacoes'!$F$2:$F$501,B474,'Solicitacoes'!$K$2:$K$501,F474,'Solicitacoes'!$I$2:$I$501,"pendente",'Solicitacoes'!$G$2:$G$501,"&lt;"&amp;J474,'Solicitacoes'!$N$2:$N$501,"&gt;"&amp;C474)+COUNTIFS('Solicitacoes'!$F$2:$F$501,B474,'Solicitacoes'!$E$2:$E$501,A474,'Solicitacoes'!$I$2:$I$501,"pendente",'Solicitacoes'!$G$2:$G$501,"&lt;"&amp;J474,'Solicitacoes'!$N$2:$N$501,"&gt;"&amp;C474)+COUNTIFS('Solicitacoes'!$F$2:$F$501,B474,'Solicitacoes'!$K$2:$K$501,F474,'Solicitacoes'!$I$2:$I$501,"confirmado",'Solicitacoes'!$G$2:$G$501,"&lt;"&amp;J474,'Solicitacoes'!$N$2:$N$501,"&gt;"&amp;C474)+COUNTIFS('Solicitacoes'!$F$2:$F$501,B474,'Solicitacoes'!$E$2:$E$501,A474,'Solicitacoes'!$I$2:$I$501,"confirmado",'Solicitacoes'!$G$2:$G$501,"&lt;"&amp;J474,'Solicitacoes'!$N$2:$N$501,"&gt;"&amp;C474)&gt;0,"Ocupado","Disponível"))))</x:f>
      </x:c>
      <x:c r="N474" s="2" t="str">
        <x:f>IF(A474="","",ROW()-1)</x:f>
      </x:c>
    </x:row>
    <x:row r="475" ht="24" customHeight="1">
      <x:c r="A475" s="13"/>
      <x:c r="B475" s="14"/>
      <x:c r="C475" s="26"/>
      <x:c r="D475" s="13"/>
      <x:c r="E475" s="13"/>
      <x:c r="F475" s="13"/>
      <x:c r="G475" s="12" t="str">
        <x:f>IF(A475="","",'Agenda'!$B$5)</x:f>
      </x:c>
      <x:c r="H475" s="12" t="str">
        <x:f>IF(A475="","",'Agenda'!$B$6)</x:f>
      </x:c>
      <x:c r="I475" s="24" t="str">
        <x:f>IF(A475="","",C475+G475/1440)</x:f>
      </x:c>
      <x:c r="J475" s="24" t="str">
        <x:f>IF(A475="","",C475+(G475+H475)/1440)</x:f>
      </x:c>
      <x:c r="K475" s="27" t="str">
        <x:f>IF(A475="","",IF(E475&lt;&gt;"sim",0,COUNTIFS($B$2:$B$501,B475,$F$2:$F$501,F475,$E$2:$E$501,"sim",$C$2:$C$501,"&lt;"&amp;J475,$J$2:$J$501,"&gt;"&amp;C475)-1))</x:f>
      </x:c>
      <x:c r="L475" s="27" t="str">
        <x:f>IF(A475="","",IF(E475&lt;&gt;"sim",0,COUNTIFS($B$2:$B$501,B475,$A$2:$A$501,A475,$E$2:$E$501,"sim",$C$2:$C$501,"&lt;"&amp;J475,$J$2:$J$501,"&gt;"&amp;C475)-1))</x:f>
      </x:c>
      <x:c r="M475" s="2" t="str">
        <x:f>IF(A475="","",IF(E475&lt;&gt;"sim","Revisar escala",IF(OR(K475&gt;0,L475&gt;0),"Conflito de escala",IF(COUNTIFS('Solicitacoes'!$F$2:$F$501,B475,'Solicitacoes'!$K$2:$K$501,F475,'Solicitacoes'!$I$2:$I$501,"pendente",'Solicitacoes'!$G$2:$G$501,"&lt;"&amp;J475,'Solicitacoes'!$N$2:$N$501,"&gt;"&amp;C475)+COUNTIFS('Solicitacoes'!$F$2:$F$501,B475,'Solicitacoes'!$E$2:$E$501,A475,'Solicitacoes'!$I$2:$I$501,"pendente",'Solicitacoes'!$G$2:$G$501,"&lt;"&amp;J475,'Solicitacoes'!$N$2:$N$501,"&gt;"&amp;C475)+COUNTIFS('Solicitacoes'!$F$2:$F$501,B475,'Solicitacoes'!$K$2:$K$501,F475,'Solicitacoes'!$I$2:$I$501,"confirmado",'Solicitacoes'!$G$2:$G$501,"&lt;"&amp;J475,'Solicitacoes'!$N$2:$N$501,"&gt;"&amp;C475)+COUNTIFS('Solicitacoes'!$F$2:$F$501,B475,'Solicitacoes'!$E$2:$E$501,A475,'Solicitacoes'!$I$2:$I$501,"confirmado",'Solicitacoes'!$G$2:$G$501,"&lt;"&amp;J475,'Solicitacoes'!$N$2:$N$501,"&gt;"&amp;C475)&gt;0,"Ocupado","Disponível"))))</x:f>
      </x:c>
      <x:c r="N475" s="2" t="str">
        <x:f>IF(A475="","",ROW()-1)</x:f>
      </x:c>
    </x:row>
    <x:row r="476" ht="24" customHeight="1">
      <x:c r="A476" s="13"/>
      <x:c r="B476" s="14"/>
      <x:c r="C476" s="26"/>
      <x:c r="D476" s="13"/>
      <x:c r="E476" s="13"/>
      <x:c r="F476" s="13"/>
      <x:c r="G476" s="12" t="str">
        <x:f>IF(A476="","",'Agenda'!$B$5)</x:f>
      </x:c>
      <x:c r="H476" s="12" t="str">
        <x:f>IF(A476="","",'Agenda'!$B$6)</x:f>
      </x:c>
      <x:c r="I476" s="24" t="str">
        <x:f>IF(A476="","",C476+G476/1440)</x:f>
      </x:c>
      <x:c r="J476" s="24" t="str">
        <x:f>IF(A476="","",C476+(G476+H476)/1440)</x:f>
      </x:c>
      <x:c r="K476" s="27" t="str">
        <x:f>IF(A476="","",IF(E476&lt;&gt;"sim",0,COUNTIFS($B$2:$B$501,B476,$F$2:$F$501,F476,$E$2:$E$501,"sim",$C$2:$C$501,"&lt;"&amp;J476,$J$2:$J$501,"&gt;"&amp;C476)-1))</x:f>
      </x:c>
      <x:c r="L476" s="27" t="str">
        <x:f>IF(A476="","",IF(E476&lt;&gt;"sim",0,COUNTIFS($B$2:$B$501,B476,$A$2:$A$501,A476,$E$2:$E$501,"sim",$C$2:$C$501,"&lt;"&amp;J476,$J$2:$J$501,"&gt;"&amp;C476)-1))</x:f>
      </x:c>
      <x:c r="M476" s="2" t="str">
        <x:f>IF(A476="","",IF(E476&lt;&gt;"sim","Revisar escala",IF(OR(K476&gt;0,L476&gt;0),"Conflito de escala",IF(COUNTIFS('Solicitacoes'!$F$2:$F$501,B476,'Solicitacoes'!$K$2:$K$501,F476,'Solicitacoes'!$I$2:$I$501,"pendente",'Solicitacoes'!$G$2:$G$501,"&lt;"&amp;J476,'Solicitacoes'!$N$2:$N$501,"&gt;"&amp;C476)+COUNTIFS('Solicitacoes'!$F$2:$F$501,B476,'Solicitacoes'!$E$2:$E$501,A476,'Solicitacoes'!$I$2:$I$501,"pendente",'Solicitacoes'!$G$2:$G$501,"&lt;"&amp;J476,'Solicitacoes'!$N$2:$N$501,"&gt;"&amp;C476)+COUNTIFS('Solicitacoes'!$F$2:$F$501,B476,'Solicitacoes'!$K$2:$K$501,F476,'Solicitacoes'!$I$2:$I$501,"confirmado",'Solicitacoes'!$G$2:$G$501,"&lt;"&amp;J476,'Solicitacoes'!$N$2:$N$501,"&gt;"&amp;C476)+COUNTIFS('Solicitacoes'!$F$2:$F$501,B476,'Solicitacoes'!$E$2:$E$501,A476,'Solicitacoes'!$I$2:$I$501,"confirmado",'Solicitacoes'!$G$2:$G$501,"&lt;"&amp;J476,'Solicitacoes'!$N$2:$N$501,"&gt;"&amp;C476)&gt;0,"Ocupado","Disponível"))))</x:f>
      </x:c>
      <x:c r="N476" s="2" t="str">
        <x:f>IF(A476="","",ROW()-1)</x:f>
      </x:c>
    </x:row>
    <x:row r="477" ht="24" customHeight="1">
      <x:c r="A477" s="13"/>
      <x:c r="B477" s="14"/>
      <x:c r="C477" s="26"/>
      <x:c r="D477" s="13"/>
      <x:c r="E477" s="13"/>
      <x:c r="F477" s="13"/>
      <x:c r="G477" s="12" t="str">
        <x:f>IF(A477="","",'Agenda'!$B$5)</x:f>
      </x:c>
      <x:c r="H477" s="12" t="str">
        <x:f>IF(A477="","",'Agenda'!$B$6)</x:f>
      </x:c>
      <x:c r="I477" s="24" t="str">
        <x:f>IF(A477="","",C477+G477/1440)</x:f>
      </x:c>
      <x:c r="J477" s="24" t="str">
        <x:f>IF(A477="","",C477+(G477+H477)/1440)</x:f>
      </x:c>
      <x:c r="K477" s="27" t="str">
        <x:f>IF(A477="","",IF(E477&lt;&gt;"sim",0,COUNTIFS($B$2:$B$501,B477,$F$2:$F$501,F477,$E$2:$E$501,"sim",$C$2:$C$501,"&lt;"&amp;J477,$J$2:$J$501,"&gt;"&amp;C477)-1))</x:f>
      </x:c>
      <x:c r="L477" s="27" t="str">
        <x:f>IF(A477="","",IF(E477&lt;&gt;"sim",0,COUNTIFS($B$2:$B$501,B477,$A$2:$A$501,A477,$E$2:$E$501,"sim",$C$2:$C$501,"&lt;"&amp;J477,$J$2:$J$501,"&gt;"&amp;C477)-1))</x:f>
      </x:c>
      <x:c r="M477" s="2" t="str">
        <x:f>IF(A477="","",IF(E477&lt;&gt;"sim","Revisar escala",IF(OR(K477&gt;0,L477&gt;0),"Conflito de escala",IF(COUNTIFS('Solicitacoes'!$F$2:$F$501,B477,'Solicitacoes'!$K$2:$K$501,F477,'Solicitacoes'!$I$2:$I$501,"pendente",'Solicitacoes'!$G$2:$G$501,"&lt;"&amp;J477,'Solicitacoes'!$N$2:$N$501,"&gt;"&amp;C477)+COUNTIFS('Solicitacoes'!$F$2:$F$501,B477,'Solicitacoes'!$E$2:$E$501,A477,'Solicitacoes'!$I$2:$I$501,"pendente",'Solicitacoes'!$G$2:$G$501,"&lt;"&amp;J477,'Solicitacoes'!$N$2:$N$501,"&gt;"&amp;C477)+COUNTIFS('Solicitacoes'!$F$2:$F$501,B477,'Solicitacoes'!$K$2:$K$501,F477,'Solicitacoes'!$I$2:$I$501,"confirmado",'Solicitacoes'!$G$2:$G$501,"&lt;"&amp;J477,'Solicitacoes'!$N$2:$N$501,"&gt;"&amp;C477)+COUNTIFS('Solicitacoes'!$F$2:$F$501,B477,'Solicitacoes'!$E$2:$E$501,A477,'Solicitacoes'!$I$2:$I$501,"confirmado",'Solicitacoes'!$G$2:$G$501,"&lt;"&amp;J477,'Solicitacoes'!$N$2:$N$501,"&gt;"&amp;C477)&gt;0,"Ocupado","Disponível"))))</x:f>
      </x:c>
      <x:c r="N477" s="2" t="str">
        <x:f>IF(A477="","",ROW()-1)</x:f>
      </x:c>
    </x:row>
    <x:row r="478" ht="24" customHeight="1">
      <x:c r="A478" s="13"/>
      <x:c r="B478" s="14"/>
      <x:c r="C478" s="26"/>
      <x:c r="D478" s="13"/>
      <x:c r="E478" s="13"/>
      <x:c r="F478" s="13"/>
      <x:c r="G478" s="12" t="str">
        <x:f>IF(A478="","",'Agenda'!$B$5)</x:f>
      </x:c>
      <x:c r="H478" s="12" t="str">
        <x:f>IF(A478="","",'Agenda'!$B$6)</x:f>
      </x:c>
      <x:c r="I478" s="24" t="str">
        <x:f>IF(A478="","",C478+G478/1440)</x:f>
      </x:c>
      <x:c r="J478" s="24" t="str">
        <x:f>IF(A478="","",C478+(G478+H478)/1440)</x:f>
      </x:c>
      <x:c r="K478" s="27" t="str">
        <x:f>IF(A478="","",IF(E478&lt;&gt;"sim",0,COUNTIFS($B$2:$B$501,B478,$F$2:$F$501,F478,$E$2:$E$501,"sim",$C$2:$C$501,"&lt;"&amp;J478,$J$2:$J$501,"&gt;"&amp;C478)-1))</x:f>
      </x:c>
      <x:c r="L478" s="27" t="str">
        <x:f>IF(A478="","",IF(E478&lt;&gt;"sim",0,COUNTIFS($B$2:$B$501,B478,$A$2:$A$501,A478,$E$2:$E$501,"sim",$C$2:$C$501,"&lt;"&amp;J478,$J$2:$J$501,"&gt;"&amp;C478)-1))</x:f>
      </x:c>
      <x:c r="M478" s="2" t="str">
        <x:f>IF(A478="","",IF(E478&lt;&gt;"sim","Revisar escala",IF(OR(K478&gt;0,L478&gt;0),"Conflito de escala",IF(COUNTIFS('Solicitacoes'!$F$2:$F$501,B478,'Solicitacoes'!$K$2:$K$501,F478,'Solicitacoes'!$I$2:$I$501,"pendente",'Solicitacoes'!$G$2:$G$501,"&lt;"&amp;J478,'Solicitacoes'!$N$2:$N$501,"&gt;"&amp;C478)+COUNTIFS('Solicitacoes'!$F$2:$F$501,B478,'Solicitacoes'!$E$2:$E$501,A478,'Solicitacoes'!$I$2:$I$501,"pendente",'Solicitacoes'!$G$2:$G$501,"&lt;"&amp;J478,'Solicitacoes'!$N$2:$N$501,"&gt;"&amp;C478)+COUNTIFS('Solicitacoes'!$F$2:$F$501,B478,'Solicitacoes'!$K$2:$K$501,F478,'Solicitacoes'!$I$2:$I$501,"confirmado",'Solicitacoes'!$G$2:$G$501,"&lt;"&amp;J478,'Solicitacoes'!$N$2:$N$501,"&gt;"&amp;C478)+COUNTIFS('Solicitacoes'!$F$2:$F$501,B478,'Solicitacoes'!$E$2:$E$501,A478,'Solicitacoes'!$I$2:$I$501,"confirmado",'Solicitacoes'!$G$2:$G$501,"&lt;"&amp;J478,'Solicitacoes'!$N$2:$N$501,"&gt;"&amp;C478)&gt;0,"Ocupado","Disponível"))))</x:f>
      </x:c>
      <x:c r="N478" s="2" t="str">
        <x:f>IF(A478="","",ROW()-1)</x:f>
      </x:c>
    </x:row>
    <x:row r="479" ht="24" customHeight="1">
      <x:c r="A479" s="13"/>
      <x:c r="B479" s="14"/>
      <x:c r="C479" s="26"/>
      <x:c r="D479" s="13"/>
      <x:c r="E479" s="13"/>
      <x:c r="F479" s="13"/>
      <x:c r="G479" s="12" t="str">
        <x:f>IF(A479="","",'Agenda'!$B$5)</x:f>
      </x:c>
      <x:c r="H479" s="12" t="str">
        <x:f>IF(A479="","",'Agenda'!$B$6)</x:f>
      </x:c>
      <x:c r="I479" s="24" t="str">
        <x:f>IF(A479="","",C479+G479/1440)</x:f>
      </x:c>
      <x:c r="J479" s="24" t="str">
        <x:f>IF(A479="","",C479+(G479+H479)/1440)</x:f>
      </x:c>
      <x:c r="K479" s="27" t="str">
        <x:f>IF(A479="","",IF(E479&lt;&gt;"sim",0,COUNTIFS($B$2:$B$501,B479,$F$2:$F$501,F479,$E$2:$E$501,"sim",$C$2:$C$501,"&lt;"&amp;J479,$J$2:$J$501,"&gt;"&amp;C479)-1))</x:f>
      </x:c>
      <x:c r="L479" s="27" t="str">
        <x:f>IF(A479="","",IF(E479&lt;&gt;"sim",0,COUNTIFS($B$2:$B$501,B479,$A$2:$A$501,A479,$E$2:$E$501,"sim",$C$2:$C$501,"&lt;"&amp;J479,$J$2:$J$501,"&gt;"&amp;C479)-1))</x:f>
      </x:c>
      <x:c r="M479" s="2" t="str">
        <x:f>IF(A479="","",IF(E479&lt;&gt;"sim","Revisar escala",IF(OR(K479&gt;0,L479&gt;0),"Conflito de escala",IF(COUNTIFS('Solicitacoes'!$F$2:$F$501,B479,'Solicitacoes'!$K$2:$K$501,F479,'Solicitacoes'!$I$2:$I$501,"pendente",'Solicitacoes'!$G$2:$G$501,"&lt;"&amp;J479,'Solicitacoes'!$N$2:$N$501,"&gt;"&amp;C479)+COUNTIFS('Solicitacoes'!$F$2:$F$501,B479,'Solicitacoes'!$E$2:$E$501,A479,'Solicitacoes'!$I$2:$I$501,"pendente",'Solicitacoes'!$G$2:$G$501,"&lt;"&amp;J479,'Solicitacoes'!$N$2:$N$501,"&gt;"&amp;C479)+COUNTIFS('Solicitacoes'!$F$2:$F$501,B479,'Solicitacoes'!$K$2:$K$501,F479,'Solicitacoes'!$I$2:$I$501,"confirmado",'Solicitacoes'!$G$2:$G$501,"&lt;"&amp;J479,'Solicitacoes'!$N$2:$N$501,"&gt;"&amp;C479)+COUNTIFS('Solicitacoes'!$F$2:$F$501,B479,'Solicitacoes'!$E$2:$E$501,A479,'Solicitacoes'!$I$2:$I$501,"confirmado",'Solicitacoes'!$G$2:$G$501,"&lt;"&amp;J479,'Solicitacoes'!$N$2:$N$501,"&gt;"&amp;C479)&gt;0,"Ocupado","Disponível"))))</x:f>
      </x:c>
      <x:c r="N479" s="2" t="str">
        <x:f>IF(A479="","",ROW()-1)</x:f>
      </x:c>
    </x:row>
    <x:row r="480" ht="24" customHeight="1">
      <x:c r="A480" s="13"/>
      <x:c r="B480" s="14"/>
      <x:c r="C480" s="26"/>
      <x:c r="D480" s="13"/>
      <x:c r="E480" s="13"/>
      <x:c r="F480" s="13"/>
      <x:c r="G480" s="12" t="str">
        <x:f>IF(A480="","",'Agenda'!$B$5)</x:f>
      </x:c>
      <x:c r="H480" s="12" t="str">
        <x:f>IF(A480="","",'Agenda'!$B$6)</x:f>
      </x:c>
      <x:c r="I480" s="24" t="str">
        <x:f>IF(A480="","",C480+G480/1440)</x:f>
      </x:c>
      <x:c r="J480" s="24" t="str">
        <x:f>IF(A480="","",C480+(G480+H480)/1440)</x:f>
      </x:c>
      <x:c r="K480" s="27" t="str">
        <x:f>IF(A480="","",IF(E480&lt;&gt;"sim",0,COUNTIFS($B$2:$B$501,B480,$F$2:$F$501,F480,$E$2:$E$501,"sim",$C$2:$C$501,"&lt;"&amp;J480,$J$2:$J$501,"&gt;"&amp;C480)-1))</x:f>
      </x:c>
      <x:c r="L480" s="27" t="str">
        <x:f>IF(A480="","",IF(E480&lt;&gt;"sim",0,COUNTIFS($B$2:$B$501,B480,$A$2:$A$501,A480,$E$2:$E$501,"sim",$C$2:$C$501,"&lt;"&amp;J480,$J$2:$J$501,"&gt;"&amp;C480)-1))</x:f>
      </x:c>
      <x:c r="M480" s="2" t="str">
        <x:f>IF(A480="","",IF(E480&lt;&gt;"sim","Revisar escala",IF(OR(K480&gt;0,L480&gt;0),"Conflito de escala",IF(COUNTIFS('Solicitacoes'!$F$2:$F$501,B480,'Solicitacoes'!$K$2:$K$501,F480,'Solicitacoes'!$I$2:$I$501,"pendente",'Solicitacoes'!$G$2:$G$501,"&lt;"&amp;J480,'Solicitacoes'!$N$2:$N$501,"&gt;"&amp;C480)+COUNTIFS('Solicitacoes'!$F$2:$F$501,B480,'Solicitacoes'!$E$2:$E$501,A480,'Solicitacoes'!$I$2:$I$501,"pendente",'Solicitacoes'!$G$2:$G$501,"&lt;"&amp;J480,'Solicitacoes'!$N$2:$N$501,"&gt;"&amp;C480)+COUNTIFS('Solicitacoes'!$F$2:$F$501,B480,'Solicitacoes'!$K$2:$K$501,F480,'Solicitacoes'!$I$2:$I$501,"confirmado",'Solicitacoes'!$G$2:$G$501,"&lt;"&amp;J480,'Solicitacoes'!$N$2:$N$501,"&gt;"&amp;C480)+COUNTIFS('Solicitacoes'!$F$2:$F$501,B480,'Solicitacoes'!$E$2:$E$501,A480,'Solicitacoes'!$I$2:$I$501,"confirmado",'Solicitacoes'!$G$2:$G$501,"&lt;"&amp;J480,'Solicitacoes'!$N$2:$N$501,"&gt;"&amp;C480)&gt;0,"Ocupado","Disponível"))))</x:f>
      </x:c>
      <x:c r="N480" s="2" t="str">
        <x:f>IF(A480="","",ROW()-1)</x:f>
      </x:c>
    </x:row>
    <x:row r="481" ht="24" customHeight="1">
      <x:c r="A481" s="13"/>
      <x:c r="B481" s="14"/>
      <x:c r="C481" s="26"/>
      <x:c r="D481" s="13"/>
      <x:c r="E481" s="13"/>
      <x:c r="F481" s="13"/>
      <x:c r="G481" s="12" t="str">
        <x:f>IF(A481="","",'Agenda'!$B$5)</x:f>
      </x:c>
      <x:c r="H481" s="12" t="str">
        <x:f>IF(A481="","",'Agenda'!$B$6)</x:f>
      </x:c>
      <x:c r="I481" s="24" t="str">
        <x:f>IF(A481="","",C481+G481/1440)</x:f>
      </x:c>
      <x:c r="J481" s="24" t="str">
        <x:f>IF(A481="","",C481+(G481+H481)/1440)</x:f>
      </x:c>
      <x:c r="K481" s="27" t="str">
        <x:f>IF(A481="","",IF(E481&lt;&gt;"sim",0,COUNTIFS($B$2:$B$501,B481,$F$2:$F$501,F481,$E$2:$E$501,"sim",$C$2:$C$501,"&lt;"&amp;J481,$J$2:$J$501,"&gt;"&amp;C481)-1))</x:f>
      </x:c>
      <x:c r="L481" s="27" t="str">
        <x:f>IF(A481="","",IF(E481&lt;&gt;"sim",0,COUNTIFS($B$2:$B$501,B481,$A$2:$A$501,A481,$E$2:$E$501,"sim",$C$2:$C$501,"&lt;"&amp;J481,$J$2:$J$501,"&gt;"&amp;C481)-1))</x:f>
      </x:c>
      <x:c r="M481" s="2" t="str">
        <x:f>IF(A481="","",IF(E481&lt;&gt;"sim","Revisar escala",IF(OR(K481&gt;0,L481&gt;0),"Conflito de escala",IF(COUNTIFS('Solicitacoes'!$F$2:$F$501,B481,'Solicitacoes'!$K$2:$K$501,F481,'Solicitacoes'!$I$2:$I$501,"pendente",'Solicitacoes'!$G$2:$G$501,"&lt;"&amp;J481,'Solicitacoes'!$N$2:$N$501,"&gt;"&amp;C481)+COUNTIFS('Solicitacoes'!$F$2:$F$501,B481,'Solicitacoes'!$E$2:$E$501,A481,'Solicitacoes'!$I$2:$I$501,"pendente",'Solicitacoes'!$G$2:$G$501,"&lt;"&amp;J481,'Solicitacoes'!$N$2:$N$501,"&gt;"&amp;C481)+COUNTIFS('Solicitacoes'!$F$2:$F$501,B481,'Solicitacoes'!$K$2:$K$501,F481,'Solicitacoes'!$I$2:$I$501,"confirmado",'Solicitacoes'!$G$2:$G$501,"&lt;"&amp;J481,'Solicitacoes'!$N$2:$N$501,"&gt;"&amp;C481)+COUNTIFS('Solicitacoes'!$F$2:$F$501,B481,'Solicitacoes'!$E$2:$E$501,A481,'Solicitacoes'!$I$2:$I$501,"confirmado",'Solicitacoes'!$G$2:$G$501,"&lt;"&amp;J481,'Solicitacoes'!$N$2:$N$501,"&gt;"&amp;C481)&gt;0,"Ocupado","Disponível"))))</x:f>
      </x:c>
      <x:c r="N481" s="2" t="str">
        <x:f>IF(A481="","",ROW()-1)</x:f>
      </x:c>
    </x:row>
    <x:row r="482" ht="24" customHeight="1">
      <x:c r="A482" s="13"/>
      <x:c r="B482" s="14"/>
      <x:c r="C482" s="26"/>
      <x:c r="D482" s="13"/>
      <x:c r="E482" s="13"/>
      <x:c r="F482" s="13"/>
      <x:c r="G482" s="12" t="str">
        <x:f>IF(A482="","",'Agenda'!$B$5)</x:f>
      </x:c>
      <x:c r="H482" s="12" t="str">
        <x:f>IF(A482="","",'Agenda'!$B$6)</x:f>
      </x:c>
      <x:c r="I482" s="24" t="str">
        <x:f>IF(A482="","",C482+G482/1440)</x:f>
      </x:c>
      <x:c r="J482" s="24" t="str">
        <x:f>IF(A482="","",C482+(G482+H482)/1440)</x:f>
      </x:c>
      <x:c r="K482" s="27" t="str">
        <x:f>IF(A482="","",IF(E482&lt;&gt;"sim",0,COUNTIFS($B$2:$B$501,B482,$F$2:$F$501,F482,$E$2:$E$501,"sim",$C$2:$C$501,"&lt;"&amp;J482,$J$2:$J$501,"&gt;"&amp;C482)-1))</x:f>
      </x:c>
      <x:c r="L482" s="27" t="str">
        <x:f>IF(A482="","",IF(E482&lt;&gt;"sim",0,COUNTIFS($B$2:$B$501,B482,$A$2:$A$501,A482,$E$2:$E$501,"sim",$C$2:$C$501,"&lt;"&amp;J482,$J$2:$J$501,"&gt;"&amp;C482)-1))</x:f>
      </x:c>
      <x:c r="M482" s="2" t="str">
        <x:f>IF(A482="","",IF(E482&lt;&gt;"sim","Revisar escala",IF(OR(K482&gt;0,L482&gt;0),"Conflito de escala",IF(COUNTIFS('Solicitacoes'!$F$2:$F$501,B482,'Solicitacoes'!$K$2:$K$501,F482,'Solicitacoes'!$I$2:$I$501,"pendente",'Solicitacoes'!$G$2:$G$501,"&lt;"&amp;J482,'Solicitacoes'!$N$2:$N$501,"&gt;"&amp;C482)+COUNTIFS('Solicitacoes'!$F$2:$F$501,B482,'Solicitacoes'!$E$2:$E$501,A482,'Solicitacoes'!$I$2:$I$501,"pendente",'Solicitacoes'!$G$2:$G$501,"&lt;"&amp;J482,'Solicitacoes'!$N$2:$N$501,"&gt;"&amp;C482)+COUNTIFS('Solicitacoes'!$F$2:$F$501,B482,'Solicitacoes'!$K$2:$K$501,F482,'Solicitacoes'!$I$2:$I$501,"confirmado",'Solicitacoes'!$G$2:$G$501,"&lt;"&amp;J482,'Solicitacoes'!$N$2:$N$501,"&gt;"&amp;C482)+COUNTIFS('Solicitacoes'!$F$2:$F$501,B482,'Solicitacoes'!$E$2:$E$501,A482,'Solicitacoes'!$I$2:$I$501,"confirmado",'Solicitacoes'!$G$2:$G$501,"&lt;"&amp;J482,'Solicitacoes'!$N$2:$N$501,"&gt;"&amp;C482)&gt;0,"Ocupado","Disponível"))))</x:f>
      </x:c>
      <x:c r="N482" s="2" t="str">
        <x:f>IF(A482="","",ROW()-1)</x:f>
      </x:c>
    </x:row>
    <x:row r="483" ht="24" customHeight="1">
      <x:c r="A483" s="13"/>
      <x:c r="B483" s="14"/>
      <x:c r="C483" s="26"/>
      <x:c r="D483" s="13"/>
      <x:c r="E483" s="13"/>
      <x:c r="F483" s="13"/>
      <x:c r="G483" s="12" t="str">
        <x:f>IF(A483="","",'Agenda'!$B$5)</x:f>
      </x:c>
      <x:c r="H483" s="12" t="str">
        <x:f>IF(A483="","",'Agenda'!$B$6)</x:f>
      </x:c>
      <x:c r="I483" s="24" t="str">
        <x:f>IF(A483="","",C483+G483/1440)</x:f>
      </x:c>
      <x:c r="J483" s="24" t="str">
        <x:f>IF(A483="","",C483+(G483+H483)/1440)</x:f>
      </x:c>
      <x:c r="K483" s="27" t="str">
        <x:f>IF(A483="","",IF(E483&lt;&gt;"sim",0,COUNTIFS($B$2:$B$501,B483,$F$2:$F$501,F483,$E$2:$E$501,"sim",$C$2:$C$501,"&lt;"&amp;J483,$J$2:$J$501,"&gt;"&amp;C483)-1))</x:f>
      </x:c>
      <x:c r="L483" s="27" t="str">
        <x:f>IF(A483="","",IF(E483&lt;&gt;"sim",0,COUNTIFS($B$2:$B$501,B483,$A$2:$A$501,A483,$E$2:$E$501,"sim",$C$2:$C$501,"&lt;"&amp;J483,$J$2:$J$501,"&gt;"&amp;C483)-1))</x:f>
      </x:c>
      <x:c r="M483" s="2" t="str">
        <x:f>IF(A483="","",IF(E483&lt;&gt;"sim","Revisar escala",IF(OR(K483&gt;0,L483&gt;0),"Conflito de escala",IF(COUNTIFS('Solicitacoes'!$F$2:$F$501,B483,'Solicitacoes'!$K$2:$K$501,F483,'Solicitacoes'!$I$2:$I$501,"pendente",'Solicitacoes'!$G$2:$G$501,"&lt;"&amp;J483,'Solicitacoes'!$N$2:$N$501,"&gt;"&amp;C483)+COUNTIFS('Solicitacoes'!$F$2:$F$501,B483,'Solicitacoes'!$E$2:$E$501,A483,'Solicitacoes'!$I$2:$I$501,"pendente",'Solicitacoes'!$G$2:$G$501,"&lt;"&amp;J483,'Solicitacoes'!$N$2:$N$501,"&gt;"&amp;C483)+COUNTIFS('Solicitacoes'!$F$2:$F$501,B483,'Solicitacoes'!$K$2:$K$501,F483,'Solicitacoes'!$I$2:$I$501,"confirmado",'Solicitacoes'!$G$2:$G$501,"&lt;"&amp;J483,'Solicitacoes'!$N$2:$N$501,"&gt;"&amp;C483)+COUNTIFS('Solicitacoes'!$F$2:$F$501,B483,'Solicitacoes'!$E$2:$E$501,A483,'Solicitacoes'!$I$2:$I$501,"confirmado",'Solicitacoes'!$G$2:$G$501,"&lt;"&amp;J483,'Solicitacoes'!$N$2:$N$501,"&gt;"&amp;C483)&gt;0,"Ocupado","Disponível"))))</x:f>
      </x:c>
      <x:c r="N483" s="2" t="str">
        <x:f>IF(A483="","",ROW()-1)</x:f>
      </x:c>
    </x:row>
    <x:row r="484" ht="24" customHeight="1">
      <x:c r="A484" s="13"/>
      <x:c r="B484" s="14"/>
      <x:c r="C484" s="26"/>
      <x:c r="D484" s="13"/>
      <x:c r="E484" s="13"/>
      <x:c r="F484" s="13"/>
      <x:c r="G484" s="12" t="str">
        <x:f>IF(A484="","",'Agenda'!$B$5)</x:f>
      </x:c>
      <x:c r="H484" s="12" t="str">
        <x:f>IF(A484="","",'Agenda'!$B$6)</x:f>
      </x:c>
      <x:c r="I484" s="24" t="str">
        <x:f>IF(A484="","",C484+G484/1440)</x:f>
      </x:c>
      <x:c r="J484" s="24" t="str">
        <x:f>IF(A484="","",C484+(G484+H484)/1440)</x:f>
      </x:c>
      <x:c r="K484" s="27" t="str">
        <x:f>IF(A484="","",IF(E484&lt;&gt;"sim",0,COUNTIFS($B$2:$B$501,B484,$F$2:$F$501,F484,$E$2:$E$501,"sim",$C$2:$C$501,"&lt;"&amp;J484,$J$2:$J$501,"&gt;"&amp;C484)-1))</x:f>
      </x:c>
      <x:c r="L484" s="27" t="str">
        <x:f>IF(A484="","",IF(E484&lt;&gt;"sim",0,COUNTIFS($B$2:$B$501,B484,$A$2:$A$501,A484,$E$2:$E$501,"sim",$C$2:$C$501,"&lt;"&amp;J484,$J$2:$J$501,"&gt;"&amp;C484)-1))</x:f>
      </x:c>
      <x:c r="M484" s="2" t="str">
        <x:f>IF(A484="","",IF(E484&lt;&gt;"sim","Revisar escala",IF(OR(K484&gt;0,L484&gt;0),"Conflito de escala",IF(COUNTIFS('Solicitacoes'!$F$2:$F$501,B484,'Solicitacoes'!$K$2:$K$501,F484,'Solicitacoes'!$I$2:$I$501,"pendente",'Solicitacoes'!$G$2:$G$501,"&lt;"&amp;J484,'Solicitacoes'!$N$2:$N$501,"&gt;"&amp;C484)+COUNTIFS('Solicitacoes'!$F$2:$F$501,B484,'Solicitacoes'!$E$2:$E$501,A484,'Solicitacoes'!$I$2:$I$501,"pendente",'Solicitacoes'!$G$2:$G$501,"&lt;"&amp;J484,'Solicitacoes'!$N$2:$N$501,"&gt;"&amp;C484)+COUNTIFS('Solicitacoes'!$F$2:$F$501,B484,'Solicitacoes'!$K$2:$K$501,F484,'Solicitacoes'!$I$2:$I$501,"confirmado",'Solicitacoes'!$G$2:$G$501,"&lt;"&amp;J484,'Solicitacoes'!$N$2:$N$501,"&gt;"&amp;C484)+COUNTIFS('Solicitacoes'!$F$2:$F$501,B484,'Solicitacoes'!$E$2:$E$501,A484,'Solicitacoes'!$I$2:$I$501,"confirmado",'Solicitacoes'!$G$2:$G$501,"&lt;"&amp;J484,'Solicitacoes'!$N$2:$N$501,"&gt;"&amp;C484)&gt;0,"Ocupado","Disponível"))))</x:f>
      </x:c>
      <x:c r="N484" s="2" t="str">
        <x:f>IF(A484="","",ROW()-1)</x:f>
      </x:c>
    </x:row>
    <x:row r="485" ht="24" customHeight="1">
      <x:c r="A485" s="13"/>
      <x:c r="B485" s="14"/>
      <x:c r="C485" s="26"/>
      <x:c r="D485" s="13"/>
      <x:c r="E485" s="13"/>
      <x:c r="F485" s="13"/>
      <x:c r="G485" s="12" t="str">
        <x:f>IF(A485="","",'Agenda'!$B$5)</x:f>
      </x:c>
      <x:c r="H485" s="12" t="str">
        <x:f>IF(A485="","",'Agenda'!$B$6)</x:f>
      </x:c>
      <x:c r="I485" s="24" t="str">
        <x:f>IF(A485="","",C485+G485/1440)</x:f>
      </x:c>
      <x:c r="J485" s="24" t="str">
        <x:f>IF(A485="","",C485+(G485+H485)/1440)</x:f>
      </x:c>
      <x:c r="K485" s="27" t="str">
        <x:f>IF(A485="","",IF(E485&lt;&gt;"sim",0,COUNTIFS($B$2:$B$501,B485,$F$2:$F$501,F485,$E$2:$E$501,"sim",$C$2:$C$501,"&lt;"&amp;J485,$J$2:$J$501,"&gt;"&amp;C485)-1))</x:f>
      </x:c>
      <x:c r="L485" s="27" t="str">
        <x:f>IF(A485="","",IF(E485&lt;&gt;"sim",0,COUNTIFS($B$2:$B$501,B485,$A$2:$A$501,A485,$E$2:$E$501,"sim",$C$2:$C$501,"&lt;"&amp;J485,$J$2:$J$501,"&gt;"&amp;C485)-1))</x:f>
      </x:c>
      <x:c r="M485" s="2" t="str">
        <x:f>IF(A485="","",IF(E485&lt;&gt;"sim","Revisar escala",IF(OR(K485&gt;0,L485&gt;0),"Conflito de escala",IF(COUNTIFS('Solicitacoes'!$F$2:$F$501,B485,'Solicitacoes'!$K$2:$K$501,F485,'Solicitacoes'!$I$2:$I$501,"pendente",'Solicitacoes'!$G$2:$G$501,"&lt;"&amp;J485,'Solicitacoes'!$N$2:$N$501,"&gt;"&amp;C485)+COUNTIFS('Solicitacoes'!$F$2:$F$501,B485,'Solicitacoes'!$E$2:$E$501,A485,'Solicitacoes'!$I$2:$I$501,"pendente",'Solicitacoes'!$G$2:$G$501,"&lt;"&amp;J485,'Solicitacoes'!$N$2:$N$501,"&gt;"&amp;C485)+COUNTIFS('Solicitacoes'!$F$2:$F$501,B485,'Solicitacoes'!$K$2:$K$501,F485,'Solicitacoes'!$I$2:$I$501,"confirmado",'Solicitacoes'!$G$2:$G$501,"&lt;"&amp;J485,'Solicitacoes'!$N$2:$N$501,"&gt;"&amp;C485)+COUNTIFS('Solicitacoes'!$F$2:$F$501,B485,'Solicitacoes'!$E$2:$E$501,A485,'Solicitacoes'!$I$2:$I$501,"confirmado",'Solicitacoes'!$G$2:$G$501,"&lt;"&amp;J485,'Solicitacoes'!$N$2:$N$501,"&gt;"&amp;C485)&gt;0,"Ocupado","Disponível"))))</x:f>
      </x:c>
      <x:c r="N485" s="2" t="str">
        <x:f>IF(A485="","",ROW()-1)</x:f>
      </x:c>
    </x:row>
    <x:row r="486" ht="24" customHeight="1">
      <x:c r="A486" s="13"/>
      <x:c r="B486" s="14"/>
      <x:c r="C486" s="26"/>
      <x:c r="D486" s="13"/>
      <x:c r="E486" s="13"/>
      <x:c r="F486" s="13"/>
      <x:c r="G486" s="12" t="str">
        <x:f>IF(A486="","",'Agenda'!$B$5)</x:f>
      </x:c>
      <x:c r="H486" s="12" t="str">
        <x:f>IF(A486="","",'Agenda'!$B$6)</x:f>
      </x:c>
      <x:c r="I486" s="24" t="str">
        <x:f>IF(A486="","",C486+G486/1440)</x:f>
      </x:c>
      <x:c r="J486" s="24" t="str">
        <x:f>IF(A486="","",C486+(G486+H486)/1440)</x:f>
      </x:c>
      <x:c r="K486" s="27" t="str">
        <x:f>IF(A486="","",IF(E486&lt;&gt;"sim",0,COUNTIFS($B$2:$B$501,B486,$F$2:$F$501,F486,$E$2:$E$501,"sim",$C$2:$C$501,"&lt;"&amp;J486,$J$2:$J$501,"&gt;"&amp;C486)-1))</x:f>
      </x:c>
      <x:c r="L486" s="27" t="str">
        <x:f>IF(A486="","",IF(E486&lt;&gt;"sim",0,COUNTIFS($B$2:$B$501,B486,$A$2:$A$501,A486,$E$2:$E$501,"sim",$C$2:$C$501,"&lt;"&amp;J486,$J$2:$J$501,"&gt;"&amp;C486)-1))</x:f>
      </x:c>
      <x:c r="M486" s="2" t="str">
        <x:f>IF(A486="","",IF(E486&lt;&gt;"sim","Revisar escala",IF(OR(K486&gt;0,L486&gt;0),"Conflito de escala",IF(COUNTIFS('Solicitacoes'!$F$2:$F$501,B486,'Solicitacoes'!$K$2:$K$501,F486,'Solicitacoes'!$I$2:$I$501,"pendente",'Solicitacoes'!$G$2:$G$501,"&lt;"&amp;J486,'Solicitacoes'!$N$2:$N$501,"&gt;"&amp;C486)+COUNTIFS('Solicitacoes'!$F$2:$F$501,B486,'Solicitacoes'!$E$2:$E$501,A486,'Solicitacoes'!$I$2:$I$501,"pendente",'Solicitacoes'!$G$2:$G$501,"&lt;"&amp;J486,'Solicitacoes'!$N$2:$N$501,"&gt;"&amp;C486)+COUNTIFS('Solicitacoes'!$F$2:$F$501,B486,'Solicitacoes'!$K$2:$K$501,F486,'Solicitacoes'!$I$2:$I$501,"confirmado",'Solicitacoes'!$G$2:$G$501,"&lt;"&amp;J486,'Solicitacoes'!$N$2:$N$501,"&gt;"&amp;C486)+COUNTIFS('Solicitacoes'!$F$2:$F$501,B486,'Solicitacoes'!$E$2:$E$501,A486,'Solicitacoes'!$I$2:$I$501,"confirmado",'Solicitacoes'!$G$2:$G$501,"&lt;"&amp;J486,'Solicitacoes'!$N$2:$N$501,"&gt;"&amp;C486)&gt;0,"Ocupado","Disponível"))))</x:f>
      </x:c>
      <x:c r="N486" s="2" t="str">
        <x:f>IF(A486="","",ROW()-1)</x:f>
      </x:c>
    </x:row>
    <x:row r="487" ht="24" customHeight="1">
      <x:c r="A487" s="13"/>
      <x:c r="B487" s="14"/>
      <x:c r="C487" s="26"/>
      <x:c r="D487" s="13"/>
      <x:c r="E487" s="13"/>
      <x:c r="F487" s="13"/>
      <x:c r="G487" s="12" t="str">
        <x:f>IF(A487="","",'Agenda'!$B$5)</x:f>
      </x:c>
      <x:c r="H487" s="12" t="str">
        <x:f>IF(A487="","",'Agenda'!$B$6)</x:f>
      </x:c>
      <x:c r="I487" s="24" t="str">
        <x:f>IF(A487="","",C487+G487/1440)</x:f>
      </x:c>
      <x:c r="J487" s="24" t="str">
        <x:f>IF(A487="","",C487+(G487+H487)/1440)</x:f>
      </x:c>
      <x:c r="K487" s="27" t="str">
        <x:f>IF(A487="","",IF(E487&lt;&gt;"sim",0,COUNTIFS($B$2:$B$501,B487,$F$2:$F$501,F487,$E$2:$E$501,"sim",$C$2:$C$501,"&lt;"&amp;J487,$J$2:$J$501,"&gt;"&amp;C487)-1))</x:f>
      </x:c>
      <x:c r="L487" s="27" t="str">
        <x:f>IF(A487="","",IF(E487&lt;&gt;"sim",0,COUNTIFS($B$2:$B$501,B487,$A$2:$A$501,A487,$E$2:$E$501,"sim",$C$2:$C$501,"&lt;"&amp;J487,$J$2:$J$501,"&gt;"&amp;C487)-1))</x:f>
      </x:c>
      <x:c r="M487" s="2" t="str">
        <x:f>IF(A487="","",IF(E487&lt;&gt;"sim","Revisar escala",IF(OR(K487&gt;0,L487&gt;0),"Conflito de escala",IF(COUNTIFS('Solicitacoes'!$F$2:$F$501,B487,'Solicitacoes'!$K$2:$K$501,F487,'Solicitacoes'!$I$2:$I$501,"pendente",'Solicitacoes'!$G$2:$G$501,"&lt;"&amp;J487,'Solicitacoes'!$N$2:$N$501,"&gt;"&amp;C487)+COUNTIFS('Solicitacoes'!$F$2:$F$501,B487,'Solicitacoes'!$E$2:$E$501,A487,'Solicitacoes'!$I$2:$I$501,"pendente",'Solicitacoes'!$G$2:$G$501,"&lt;"&amp;J487,'Solicitacoes'!$N$2:$N$501,"&gt;"&amp;C487)+COUNTIFS('Solicitacoes'!$F$2:$F$501,B487,'Solicitacoes'!$K$2:$K$501,F487,'Solicitacoes'!$I$2:$I$501,"confirmado",'Solicitacoes'!$G$2:$G$501,"&lt;"&amp;J487,'Solicitacoes'!$N$2:$N$501,"&gt;"&amp;C487)+COUNTIFS('Solicitacoes'!$F$2:$F$501,B487,'Solicitacoes'!$E$2:$E$501,A487,'Solicitacoes'!$I$2:$I$501,"confirmado",'Solicitacoes'!$G$2:$G$501,"&lt;"&amp;J487,'Solicitacoes'!$N$2:$N$501,"&gt;"&amp;C487)&gt;0,"Ocupado","Disponível"))))</x:f>
      </x:c>
      <x:c r="N487" s="2" t="str">
        <x:f>IF(A487="","",ROW()-1)</x:f>
      </x:c>
    </x:row>
    <x:row r="488" ht="24" customHeight="1">
      <x:c r="A488" s="13"/>
      <x:c r="B488" s="14"/>
      <x:c r="C488" s="26"/>
      <x:c r="D488" s="13"/>
      <x:c r="E488" s="13"/>
      <x:c r="F488" s="13"/>
      <x:c r="G488" s="12" t="str">
        <x:f>IF(A488="","",'Agenda'!$B$5)</x:f>
      </x:c>
      <x:c r="H488" s="12" t="str">
        <x:f>IF(A488="","",'Agenda'!$B$6)</x:f>
      </x:c>
      <x:c r="I488" s="24" t="str">
        <x:f>IF(A488="","",C488+G488/1440)</x:f>
      </x:c>
      <x:c r="J488" s="24" t="str">
        <x:f>IF(A488="","",C488+(G488+H488)/1440)</x:f>
      </x:c>
      <x:c r="K488" s="27" t="str">
        <x:f>IF(A488="","",IF(E488&lt;&gt;"sim",0,COUNTIFS($B$2:$B$501,B488,$F$2:$F$501,F488,$E$2:$E$501,"sim",$C$2:$C$501,"&lt;"&amp;J488,$J$2:$J$501,"&gt;"&amp;C488)-1))</x:f>
      </x:c>
      <x:c r="L488" s="27" t="str">
        <x:f>IF(A488="","",IF(E488&lt;&gt;"sim",0,COUNTIFS($B$2:$B$501,B488,$A$2:$A$501,A488,$E$2:$E$501,"sim",$C$2:$C$501,"&lt;"&amp;J488,$J$2:$J$501,"&gt;"&amp;C488)-1))</x:f>
      </x:c>
      <x:c r="M488" s="2" t="str">
        <x:f>IF(A488="","",IF(E488&lt;&gt;"sim","Revisar escala",IF(OR(K488&gt;0,L488&gt;0),"Conflito de escala",IF(COUNTIFS('Solicitacoes'!$F$2:$F$501,B488,'Solicitacoes'!$K$2:$K$501,F488,'Solicitacoes'!$I$2:$I$501,"pendente",'Solicitacoes'!$G$2:$G$501,"&lt;"&amp;J488,'Solicitacoes'!$N$2:$N$501,"&gt;"&amp;C488)+COUNTIFS('Solicitacoes'!$F$2:$F$501,B488,'Solicitacoes'!$E$2:$E$501,A488,'Solicitacoes'!$I$2:$I$501,"pendente",'Solicitacoes'!$G$2:$G$501,"&lt;"&amp;J488,'Solicitacoes'!$N$2:$N$501,"&gt;"&amp;C488)+COUNTIFS('Solicitacoes'!$F$2:$F$501,B488,'Solicitacoes'!$K$2:$K$501,F488,'Solicitacoes'!$I$2:$I$501,"confirmado",'Solicitacoes'!$G$2:$G$501,"&lt;"&amp;J488,'Solicitacoes'!$N$2:$N$501,"&gt;"&amp;C488)+COUNTIFS('Solicitacoes'!$F$2:$F$501,B488,'Solicitacoes'!$E$2:$E$501,A488,'Solicitacoes'!$I$2:$I$501,"confirmado",'Solicitacoes'!$G$2:$G$501,"&lt;"&amp;J488,'Solicitacoes'!$N$2:$N$501,"&gt;"&amp;C488)&gt;0,"Ocupado","Disponível"))))</x:f>
      </x:c>
      <x:c r="N488" s="2" t="str">
        <x:f>IF(A488="","",ROW()-1)</x:f>
      </x:c>
    </x:row>
    <x:row r="489" ht="24" customHeight="1">
      <x:c r="A489" s="13"/>
      <x:c r="B489" s="14"/>
      <x:c r="C489" s="26"/>
      <x:c r="D489" s="13"/>
      <x:c r="E489" s="13"/>
      <x:c r="F489" s="13"/>
      <x:c r="G489" s="12" t="str">
        <x:f>IF(A489="","",'Agenda'!$B$5)</x:f>
      </x:c>
      <x:c r="H489" s="12" t="str">
        <x:f>IF(A489="","",'Agenda'!$B$6)</x:f>
      </x:c>
      <x:c r="I489" s="24" t="str">
        <x:f>IF(A489="","",C489+G489/1440)</x:f>
      </x:c>
      <x:c r="J489" s="24" t="str">
        <x:f>IF(A489="","",C489+(G489+H489)/1440)</x:f>
      </x:c>
      <x:c r="K489" s="27" t="str">
        <x:f>IF(A489="","",IF(E489&lt;&gt;"sim",0,COUNTIFS($B$2:$B$501,B489,$F$2:$F$501,F489,$E$2:$E$501,"sim",$C$2:$C$501,"&lt;"&amp;J489,$J$2:$J$501,"&gt;"&amp;C489)-1))</x:f>
      </x:c>
      <x:c r="L489" s="27" t="str">
        <x:f>IF(A489="","",IF(E489&lt;&gt;"sim",0,COUNTIFS($B$2:$B$501,B489,$A$2:$A$501,A489,$E$2:$E$501,"sim",$C$2:$C$501,"&lt;"&amp;J489,$J$2:$J$501,"&gt;"&amp;C489)-1))</x:f>
      </x:c>
      <x:c r="M489" s="2" t="str">
        <x:f>IF(A489="","",IF(E489&lt;&gt;"sim","Revisar escala",IF(OR(K489&gt;0,L489&gt;0),"Conflito de escala",IF(COUNTIFS('Solicitacoes'!$F$2:$F$501,B489,'Solicitacoes'!$K$2:$K$501,F489,'Solicitacoes'!$I$2:$I$501,"pendente",'Solicitacoes'!$G$2:$G$501,"&lt;"&amp;J489,'Solicitacoes'!$N$2:$N$501,"&gt;"&amp;C489)+COUNTIFS('Solicitacoes'!$F$2:$F$501,B489,'Solicitacoes'!$E$2:$E$501,A489,'Solicitacoes'!$I$2:$I$501,"pendente",'Solicitacoes'!$G$2:$G$501,"&lt;"&amp;J489,'Solicitacoes'!$N$2:$N$501,"&gt;"&amp;C489)+COUNTIFS('Solicitacoes'!$F$2:$F$501,B489,'Solicitacoes'!$K$2:$K$501,F489,'Solicitacoes'!$I$2:$I$501,"confirmado",'Solicitacoes'!$G$2:$G$501,"&lt;"&amp;J489,'Solicitacoes'!$N$2:$N$501,"&gt;"&amp;C489)+COUNTIFS('Solicitacoes'!$F$2:$F$501,B489,'Solicitacoes'!$E$2:$E$501,A489,'Solicitacoes'!$I$2:$I$501,"confirmado",'Solicitacoes'!$G$2:$G$501,"&lt;"&amp;J489,'Solicitacoes'!$N$2:$N$501,"&gt;"&amp;C489)&gt;0,"Ocupado","Disponível"))))</x:f>
      </x:c>
      <x:c r="N489" s="2" t="str">
        <x:f>IF(A489="","",ROW()-1)</x:f>
      </x:c>
    </x:row>
    <x:row r="490" ht="24" customHeight="1">
      <x:c r="A490" s="13"/>
      <x:c r="B490" s="14"/>
      <x:c r="C490" s="26"/>
      <x:c r="D490" s="13"/>
      <x:c r="E490" s="13"/>
      <x:c r="F490" s="13"/>
      <x:c r="G490" s="12" t="str">
        <x:f>IF(A490="","",'Agenda'!$B$5)</x:f>
      </x:c>
      <x:c r="H490" s="12" t="str">
        <x:f>IF(A490="","",'Agenda'!$B$6)</x:f>
      </x:c>
      <x:c r="I490" s="24" t="str">
        <x:f>IF(A490="","",C490+G490/1440)</x:f>
      </x:c>
      <x:c r="J490" s="24" t="str">
        <x:f>IF(A490="","",C490+(G490+H490)/1440)</x:f>
      </x:c>
      <x:c r="K490" s="27" t="str">
        <x:f>IF(A490="","",IF(E490&lt;&gt;"sim",0,COUNTIFS($B$2:$B$501,B490,$F$2:$F$501,F490,$E$2:$E$501,"sim",$C$2:$C$501,"&lt;"&amp;J490,$J$2:$J$501,"&gt;"&amp;C490)-1))</x:f>
      </x:c>
      <x:c r="L490" s="27" t="str">
        <x:f>IF(A490="","",IF(E490&lt;&gt;"sim",0,COUNTIFS($B$2:$B$501,B490,$A$2:$A$501,A490,$E$2:$E$501,"sim",$C$2:$C$501,"&lt;"&amp;J490,$J$2:$J$501,"&gt;"&amp;C490)-1))</x:f>
      </x:c>
      <x:c r="M490" s="2" t="str">
        <x:f>IF(A490="","",IF(E490&lt;&gt;"sim","Revisar escala",IF(OR(K490&gt;0,L490&gt;0),"Conflito de escala",IF(COUNTIFS('Solicitacoes'!$F$2:$F$501,B490,'Solicitacoes'!$K$2:$K$501,F490,'Solicitacoes'!$I$2:$I$501,"pendente",'Solicitacoes'!$G$2:$G$501,"&lt;"&amp;J490,'Solicitacoes'!$N$2:$N$501,"&gt;"&amp;C490)+COUNTIFS('Solicitacoes'!$F$2:$F$501,B490,'Solicitacoes'!$E$2:$E$501,A490,'Solicitacoes'!$I$2:$I$501,"pendente",'Solicitacoes'!$G$2:$G$501,"&lt;"&amp;J490,'Solicitacoes'!$N$2:$N$501,"&gt;"&amp;C490)+COUNTIFS('Solicitacoes'!$F$2:$F$501,B490,'Solicitacoes'!$K$2:$K$501,F490,'Solicitacoes'!$I$2:$I$501,"confirmado",'Solicitacoes'!$G$2:$G$501,"&lt;"&amp;J490,'Solicitacoes'!$N$2:$N$501,"&gt;"&amp;C490)+COUNTIFS('Solicitacoes'!$F$2:$F$501,B490,'Solicitacoes'!$E$2:$E$501,A490,'Solicitacoes'!$I$2:$I$501,"confirmado",'Solicitacoes'!$G$2:$G$501,"&lt;"&amp;J490,'Solicitacoes'!$N$2:$N$501,"&gt;"&amp;C490)&gt;0,"Ocupado","Disponível"))))</x:f>
      </x:c>
      <x:c r="N490" s="2" t="str">
        <x:f>IF(A490="","",ROW()-1)</x:f>
      </x:c>
    </x:row>
    <x:row r="491" ht="24" customHeight="1">
      <x:c r="A491" s="13"/>
      <x:c r="B491" s="14"/>
      <x:c r="C491" s="26"/>
      <x:c r="D491" s="13"/>
      <x:c r="E491" s="13"/>
      <x:c r="F491" s="13"/>
      <x:c r="G491" s="12" t="str">
        <x:f>IF(A491="","",'Agenda'!$B$5)</x:f>
      </x:c>
      <x:c r="H491" s="12" t="str">
        <x:f>IF(A491="","",'Agenda'!$B$6)</x:f>
      </x:c>
      <x:c r="I491" s="24" t="str">
        <x:f>IF(A491="","",C491+G491/1440)</x:f>
      </x:c>
      <x:c r="J491" s="24" t="str">
        <x:f>IF(A491="","",C491+(G491+H491)/1440)</x:f>
      </x:c>
      <x:c r="K491" s="27" t="str">
        <x:f>IF(A491="","",IF(E491&lt;&gt;"sim",0,COUNTIFS($B$2:$B$501,B491,$F$2:$F$501,F491,$E$2:$E$501,"sim",$C$2:$C$501,"&lt;"&amp;J491,$J$2:$J$501,"&gt;"&amp;C491)-1))</x:f>
      </x:c>
      <x:c r="L491" s="27" t="str">
        <x:f>IF(A491="","",IF(E491&lt;&gt;"sim",0,COUNTIFS($B$2:$B$501,B491,$A$2:$A$501,A491,$E$2:$E$501,"sim",$C$2:$C$501,"&lt;"&amp;J491,$J$2:$J$501,"&gt;"&amp;C491)-1))</x:f>
      </x:c>
      <x:c r="M491" s="2" t="str">
        <x:f>IF(A491="","",IF(E491&lt;&gt;"sim","Revisar escala",IF(OR(K491&gt;0,L491&gt;0),"Conflito de escala",IF(COUNTIFS('Solicitacoes'!$F$2:$F$501,B491,'Solicitacoes'!$K$2:$K$501,F491,'Solicitacoes'!$I$2:$I$501,"pendente",'Solicitacoes'!$G$2:$G$501,"&lt;"&amp;J491,'Solicitacoes'!$N$2:$N$501,"&gt;"&amp;C491)+COUNTIFS('Solicitacoes'!$F$2:$F$501,B491,'Solicitacoes'!$E$2:$E$501,A491,'Solicitacoes'!$I$2:$I$501,"pendente",'Solicitacoes'!$G$2:$G$501,"&lt;"&amp;J491,'Solicitacoes'!$N$2:$N$501,"&gt;"&amp;C491)+COUNTIFS('Solicitacoes'!$F$2:$F$501,B491,'Solicitacoes'!$K$2:$K$501,F491,'Solicitacoes'!$I$2:$I$501,"confirmado",'Solicitacoes'!$G$2:$G$501,"&lt;"&amp;J491,'Solicitacoes'!$N$2:$N$501,"&gt;"&amp;C491)+COUNTIFS('Solicitacoes'!$F$2:$F$501,B491,'Solicitacoes'!$E$2:$E$501,A491,'Solicitacoes'!$I$2:$I$501,"confirmado",'Solicitacoes'!$G$2:$G$501,"&lt;"&amp;J491,'Solicitacoes'!$N$2:$N$501,"&gt;"&amp;C491)&gt;0,"Ocupado","Disponível"))))</x:f>
      </x:c>
      <x:c r="N491" s="2" t="str">
        <x:f>IF(A491="","",ROW()-1)</x:f>
      </x:c>
    </x:row>
    <x:row r="492" ht="24" customHeight="1">
      <x:c r="A492" s="13"/>
      <x:c r="B492" s="14"/>
      <x:c r="C492" s="26"/>
      <x:c r="D492" s="13"/>
      <x:c r="E492" s="13"/>
      <x:c r="F492" s="13"/>
      <x:c r="G492" s="12" t="str">
        <x:f>IF(A492="","",'Agenda'!$B$5)</x:f>
      </x:c>
      <x:c r="H492" s="12" t="str">
        <x:f>IF(A492="","",'Agenda'!$B$6)</x:f>
      </x:c>
      <x:c r="I492" s="24" t="str">
        <x:f>IF(A492="","",C492+G492/1440)</x:f>
      </x:c>
      <x:c r="J492" s="24" t="str">
        <x:f>IF(A492="","",C492+(G492+H492)/1440)</x:f>
      </x:c>
      <x:c r="K492" s="27" t="str">
        <x:f>IF(A492="","",IF(E492&lt;&gt;"sim",0,COUNTIFS($B$2:$B$501,B492,$F$2:$F$501,F492,$E$2:$E$501,"sim",$C$2:$C$501,"&lt;"&amp;J492,$J$2:$J$501,"&gt;"&amp;C492)-1))</x:f>
      </x:c>
      <x:c r="L492" s="27" t="str">
        <x:f>IF(A492="","",IF(E492&lt;&gt;"sim",0,COUNTIFS($B$2:$B$501,B492,$A$2:$A$501,A492,$E$2:$E$501,"sim",$C$2:$C$501,"&lt;"&amp;J492,$J$2:$J$501,"&gt;"&amp;C492)-1))</x:f>
      </x:c>
      <x:c r="M492" s="2" t="str">
        <x:f>IF(A492="","",IF(E492&lt;&gt;"sim","Revisar escala",IF(OR(K492&gt;0,L492&gt;0),"Conflito de escala",IF(COUNTIFS('Solicitacoes'!$F$2:$F$501,B492,'Solicitacoes'!$K$2:$K$501,F492,'Solicitacoes'!$I$2:$I$501,"pendente",'Solicitacoes'!$G$2:$G$501,"&lt;"&amp;J492,'Solicitacoes'!$N$2:$N$501,"&gt;"&amp;C492)+COUNTIFS('Solicitacoes'!$F$2:$F$501,B492,'Solicitacoes'!$E$2:$E$501,A492,'Solicitacoes'!$I$2:$I$501,"pendente",'Solicitacoes'!$G$2:$G$501,"&lt;"&amp;J492,'Solicitacoes'!$N$2:$N$501,"&gt;"&amp;C492)+COUNTIFS('Solicitacoes'!$F$2:$F$501,B492,'Solicitacoes'!$K$2:$K$501,F492,'Solicitacoes'!$I$2:$I$501,"confirmado",'Solicitacoes'!$G$2:$G$501,"&lt;"&amp;J492,'Solicitacoes'!$N$2:$N$501,"&gt;"&amp;C492)+COUNTIFS('Solicitacoes'!$F$2:$F$501,B492,'Solicitacoes'!$E$2:$E$501,A492,'Solicitacoes'!$I$2:$I$501,"confirmado",'Solicitacoes'!$G$2:$G$501,"&lt;"&amp;J492,'Solicitacoes'!$N$2:$N$501,"&gt;"&amp;C492)&gt;0,"Ocupado","Disponível"))))</x:f>
      </x:c>
      <x:c r="N492" s="2" t="str">
        <x:f>IF(A492="","",ROW()-1)</x:f>
      </x:c>
    </x:row>
    <x:row r="493" ht="24" customHeight="1">
      <x:c r="A493" s="13"/>
      <x:c r="B493" s="14"/>
      <x:c r="C493" s="26"/>
      <x:c r="D493" s="13"/>
      <x:c r="E493" s="13"/>
      <x:c r="F493" s="13"/>
      <x:c r="G493" s="12" t="str">
        <x:f>IF(A493="","",'Agenda'!$B$5)</x:f>
      </x:c>
      <x:c r="H493" s="12" t="str">
        <x:f>IF(A493="","",'Agenda'!$B$6)</x:f>
      </x:c>
      <x:c r="I493" s="24" t="str">
        <x:f>IF(A493="","",C493+G493/1440)</x:f>
      </x:c>
      <x:c r="J493" s="24" t="str">
        <x:f>IF(A493="","",C493+(G493+H493)/1440)</x:f>
      </x:c>
      <x:c r="K493" s="27" t="str">
        <x:f>IF(A493="","",IF(E493&lt;&gt;"sim",0,COUNTIFS($B$2:$B$501,B493,$F$2:$F$501,F493,$E$2:$E$501,"sim",$C$2:$C$501,"&lt;"&amp;J493,$J$2:$J$501,"&gt;"&amp;C493)-1))</x:f>
      </x:c>
      <x:c r="L493" s="27" t="str">
        <x:f>IF(A493="","",IF(E493&lt;&gt;"sim",0,COUNTIFS($B$2:$B$501,B493,$A$2:$A$501,A493,$E$2:$E$501,"sim",$C$2:$C$501,"&lt;"&amp;J493,$J$2:$J$501,"&gt;"&amp;C493)-1))</x:f>
      </x:c>
      <x:c r="M493" s="2" t="str">
        <x:f>IF(A493="","",IF(E493&lt;&gt;"sim","Revisar escala",IF(OR(K493&gt;0,L493&gt;0),"Conflito de escala",IF(COUNTIFS('Solicitacoes'!$F$2:$F$501,B493,'Solicitacoes'!$K$2:$K$501,F493,'Solicitacoes'!$I$2:$I$501,"pendente",'Solicitacoes'!$G$2:$G$501,"&lt;"&amp;J493,'Solicitacoes'!$N$2:$N$501,"&gt;"&amp;C493)+COUNTIFS('Solicitacoes'!$F$2:$F$501,B493,'Solicitacoes'!$E$2:$E$501,A493,'Solicitacoes'!$I$2:$I$501,"pendente",'Solicitacoes'!$G$2:$G$501,"&lt;"&amp;J493,'Solicitacoes'!$N$2:$N$501,"&gt;"&amp;C493)+COUNTIFS('Solicitacoes'!$F$2:$F$501,B493,'Solicitacoes'!$K$2:$K$501,F493,'Solicitacoes'!$I$2:$I$501,"confirmado",'Solicitacoes'!$G$2:$G$501,"&lt;"&amp;J493,'Solicitacoes'!$N$2:$N$501,"&gt;"&amp;C493)+COUNTIFS('Solicitacoes'!$F$2:$F$501,B493,'Solicitacoes'!$E$2:$E$501,A493,'Solicitacoes'!$I$2:$I$501,"confirmado",'Solicitacoes'!$G$2:$G$501,"&lt;"&amp;J493,'Solicitacoes'!$N$2:$N$501,"&gt;"&amp;C493)&gt;0,"Ocupado","Disponível"))))</x:f>
      </x:c>
      <x:c r="N493" s="2" t="str">
        <x:f>IF(A493="","",ROW()-1)</x:f>
      </x:c>
    </x:row>
    <x:row r="494" ht="24" customHeight="1">
      <x:c r="A494" s="13"/>
      <x:c r="B494" s="14"/>
      <x:c r="C494" s="26"/>
      <x:c r="D494" s="13"/>
      <x:c r="E494" s="13"/>
      <x:c r="F494" s="13"/>
      <x:c r="G494" s="12" t="str">
        <x:f>IF(A494="","",'Agenda'!$B$5)</x:f>
      </x:c>
      <x:c r="H494" s="12" t="str">
        <x:f>IF(A494="","",'Agenda'!$B$6)</x:f>
      </x:c>
      <x:c r="I494" s="24" t="str">
        <x:f>IF(A494="","",C494+G494/1440)</x:f>
      </x:c>
      <x:c r="J494" s="24" t="str">
        <x:f>IF(A494="","",C494+(G494+H494)/1440)</x:f>
      </x:c>
      <x:c r="K494" s="27" t="str">
        <x:f>IF(A494="","",IF(E494&lt;&gt;"sim",0,COUNTIFS($B$2:$B$501,B494,$F$2:$F$501,F494,$E$2:$E$501,"sim",$C$2:$C$501,"&lt;"&amp;J494,$J$2:$J$501,"&gt;"&amp;C494)-1))</x:f>
      </x:c>
      <x:c r="L494" s="27" t="str">
        <x:f>IF(A494="","",IF(E494&lt;&gt;"sim",0,COUNTIFS($B$2:$B$501,B494,$A$2:$A$501,A494,$E$2:$E$501,"sim",$C$2:$C$501,"&lt;"&amp;J494,$J$2:$J$501,"&gt;"&amp;C494)-1))</x:f>
      </x:c>
      <x:c r="M494" s="2" t="str">
        <x:f>IF(A494="","",IF(E494&lt;&gt;"sim","Revisar escala",IF(OR(K494&gt;0,L494&gt;0),"Conflito de escala",IF(COUNTIFS('Solicitacoes'!$F$2:$F$501,B494,'Solicitacoes'!$K$2:$K$501,F494,'Solicitacoes'!$I$2:$I$501,"pendente",'Solicitacoes'!$G$2:$G$501,"&lt;"&amp;J494,'Solicitacoes'!$N$2:$N$501,"&gt;"&amp;C494)+COUNTIFS('Solicitacoes'!$F$2:$F$501,B494,'Solicitacoes'!$E$2:$E$501,A494,'Solicitacoes'!$I$2:$I$501,"pendente",'Solicitacoes'!$G$2:$G$501,"&lt;"&amp;J494,'Solicitacoes'!$N$2:$N$501,"&gt;"&amp;C494)+COUNTIFS('Solicitacoes'!$F$2:$F$501,B494,'Solicitacoes'!$K$2:$K$501,F494,'Solicitacoes'!$I$2:$I$501,"confirmado",'Solicitacoes'!$G$2:$G$501,"&lt;"&amp;J494,'Solicitacoes'!$N$2:$N$501,"&gt;"&amp;C494)+COUNTIFS('Solicitacoes'!$F$2:$F$501,B494,'Solicitacoes'!$E$2:$E$501,A494,'Solicitacoes'!$I$2:$I$501,"confirmado",'Solicitacoes'!$G$2:$G$501,"&lt;"&amp;J494,'Solicitacoes'!$N$2:$N$501,"&gt;"&amp;C494)&gt;0,"Ocupado","Disponível"))))</x:f>
      </x:c>
      <x:c r="N494" s="2" t="str">
        <x:f>IF(A494="","",ROW()-1)</x:f>
      </x:c>
    </x:row>
    <x:row r="495" ht="24" customHeight="1">
      <x:c r="A495" s="13"/>
      <x:c r="B495" s="14"/>
      <x:c r="C495" s="26"/>
      <x:c r="D495" s="13"/>
      <x:c r="E495" s="13"/>
      <x:c r="F495" s="13"/>
      <x:c r="G495" s="12" t="str">
        <x:f>IF(A495="","",'Agenda'!$B$5)</x:f>
      </x:c>
      <x:c r="H495" s="12" t="str">
        <x:f>IF(A495="","",'Agenda'!$B$6)</x:f>
      </x:c>
      <x:c r="I495" s="24" t="str">
        <x:f>IF(A495="","",C495+G495/1440)</x:f>
      </x:c>
      <x:c r="J495" s="24" t="str">
        <x:f>IF(A495="","",C495+(G495+H495)/1440)</x:f>
      </x:c>
      <x:c r="K495" s="27" t="str">
        <x:f>IF(A495="","",IF(E495&lt;&gt;"sim",0,COUNTIFS($B$2:$B$501,B495,$F$2:$F$501,F495,$E$2:$E$501,"sim",$C$2:$C$501,"&lt;"&amp;J495,$J$2:$J$501,"&gt;"&amp;C495)-1))</x:f>
      </x:c>
      <x:c r="L495" s="27" t="str">
        <x:f>IF(A495="","",IF(E495&lt;&gt;"sim",0,COUNTIFS($B$2:$B$501,B495,$A$2:$A$501,A495,$E$2:$E$501,"sim",$C$2:$C$501,"&lt;"&amp;J495,$J$2:$J$501,"&gt;"&amp;C495)-1))</x:f>
      </x:c>
      <x:c r="M495" s="2" t="str">
        <x:f>IF(A495="","",IF(E495&lt;&gt;"sim","Revisar escala",IF(OR(K495&gt;0,L495&gt;0),"Conflito de escala",IF(COUNTIFS('Solicitacoes'!$F$2:$F$501,B495,'Solicitacoes'!$K$2:$K$501,F495,'Solicitacoes'!$I$2:$I$501,"pendente",'Solicitacoes'!$G$2:$G$501,"&lt;"&amp;J495,'Solicitacoes'!$N$2:$N$501,"&gt;"&amp;C495)+COUNTIFS('Solicitacoes'!$F$2:$F$501,B495,'Solicitacoes'!$E$2:$E$501,A495,'Solicitacoes'!$I$2:$I$501,"pendente",'Solicitacoes'!$G$2:$G$501,"&lt;"&amp;J495,'Solicitacoes'!$N$2:$N$501,"&gt;"&amp;C495)+COUNTIFS('Solicitacoes'!$F$2:$F$501,B495,'Solicitacoes'!$K$2:$K$501,F495,'Solicitacoes'!$I$2:$I$501,"confirmado",'Solicitacoes'!$G$2:$G$501,"&lt;"&amp;J495,'Solicitacoes'!$N$2:$N$501,"&gt;"&amp;C495)+COUNTIFS('Solicitacoes'!$F$2:$F$501,B495,'Solicitacoes'!$E$2:$E$501,A495,'Solicitacoes'!$I$2:$I$501,"confirmado",'Solicitacoes'!$G$2:$G$501,"&lt;"&amp;J495,'Solicitacoes'!$N$2:$N$501,"&gt;"&amp;C495)&gt;0,"Ocupado","Disponível"))))</x:f>
      </x:c>
      <x:c r="N495" s="2" t="str">
        <x:f>IF(A495="","",ROW()-1)</x:f>
      </x:c>
    </x:row>
    <x:row r="496" ht="24" customHeight="1">
      <x:c r="A496" s="13"/>
      <x:c r="B496" s="14"/>
      <x:c r="C496" s="26"/>
      <x:c r="D496" s="13"/>
      <x:c r="E496" s="13"/>
      <x:c r="F496" s="13"/>
      <x:c r="G496" s="12" t="str">
        <x:f>IF(A496="","",'Agenda'!$B$5)</x:f>
      </x:c>
      <x:c r="H496" s="12" t="str">
        <x:f>IF(A496="","",'Agenda'!$B$6)</x:f>
      </x:c>
      <x:c r="I496" s="24" t="str">
        <x:f>IF(A496="","",C496+G496/1440)</x:f>
      </x:c>
      <x:c r="J496" s="24" t="str">
        <x:f>IF(A496="","",C496+(G496+H496)/1440)</x:f>
      </x:c>
      <x:c r="K496" s="27" t="str">
        <x:f>IF(A496="","",IF(E496&lt;&gt;"sim",0,COUNTIFS($B$2:$B$501,B496,$F$2:$F$501,F496,$E$2:$E$501,"sim",$C$2:$C$501,"&lt;"&amp;J496,$J$2:$J$501,"&gt;"&amp;C496)-1))</x:f>
      </x:c>
      <x:c r="L496" s="27" t="str">
        <x:f>IF(A496="","",IF(E496&lt;&gt;"sim",0,COUNTIFS($B$2:$B$501,B496,$A$2:$A$501,A496,$E$2:$E$501,"sim",$C$2:$C$501,"&lt;"&amp;J496,$J$2:$J$501,"&gt;"&amp;C496)-1))</x:f>
      </x:c>
      <x:c r="M496" s="2" t="str">
        <x:f>IF(A496="","",IF(E496&lt;&gt;"sim","Revisar escala",IF(OR(K496&gt;0,L496&gt;0),"Conflito de escala",IF(COUNTIFS('Solicitacoes'!$F$2:$F$501,B496,'Solicitacoes'!$K$2:$K$501,F496,'Solicitacoes'!$I$2:$I$501,"pendente",'Solicitacoes'!$G$2:$G$501,"&lt;"&amp;J496,'Solicitacoes'!$N$2:$N$501,"&gt;"&amp;C496)+COUNTIFS('Solicitacoes'!$F$2:$F$501,B496,'Solicitacoes'!$E$2:$E$501,A496,'Solicitacoes'!$I$2:$I$501,"pendente",'Solicitacoes'!$G$2:$G$501,"&lt;"&amp;J496,'Solicitacoes'!$N$2:$N$501,"&gt;"&amp;C496)+COUNTIFS('Solicitacoes'!$F$2:$F$501,B496,'Solicitacoes'!$K$2:$K$501,F496,'Solicitacoes'!$I$2:$I$501,"confirmado",'Solicitacoes'!$G$2:$G$501,"&lt;"&amp;J496,'Solicitacoes'!$N$2:$N$501,"&gt;"&amp;C496)+COUNTIFS('Solicitacoes'!$F$2:$F$501,B496,'Solicitacoes'!$E$2:$E$501,A496,'Solicitacoes'!$I$2:$I$501,"confirmado",'Solicitacoes'!$G$2:$G$501,"&lt;"&amp;J496,'Solicitacoes'!$N$2:$N$501,"&gt;"&amp;C496)&gt;0,"Ocupado","Disponível"))))</x:f>
      </x:c>
      <x:c r="N496" s="2" t="str">
        <x:f>IF(A496="","",ROW()-1)</x:f>
      </x:c>
    </x:row>
    <x:row r="497" ht="24" customHeight="1">
      <x:c r="A497" s="13"/>
      <x:c r="B497" s="14"/>
      <x:c r="C497" s="26"/>
      <x:c r="D497" s="13"/>
      <x:c r="E497" s="13"/>
      <x:c r="F497" s="13"/>
      <x:c r="G497" s="12" t="str">
        <x:f>IF(A497="","",'Agenda'!$B$5)</x:f>
      </x:c>
      <x:c r="H497" s="12" t="str">
        <x:f>IF(A497="","",'Agenda'!$B$6)</x:f>
      </x:c>
      <x:c r="I497" s="24" t="str">
        <x:f>IF(A497="","",C497+G497/1440)</x:f>
      </x:c>
      <x:c r="J497" s="24" t="str">
        <x:f>IF(A497="","",C497+(G497+H497)/1440)</x:f>
      </x:c>
      <x:c r="K497" s="27" t="str">
        <x:f>IF(A497="","",IF(E497&lt;&gt;"sim",0,COUNTIFS($B$2:$B$501,B497,$F$2:$F$501,F497,$E$2:$E$501,"sim",$C$2:$C$501,"&lt;"&amp;J497,$J$2:$J$501,"&gt;"&amp;C497)-1))</x:f>
      </x:c>
      <x:c r="L497" s="27" t="str">
        <x:f>IF(A497="","",IF(E497&lt;&gt;"sim",0,COUNTIFS($B$2:$B$501,B497,$A$2:$A$501,A497,$E$2:$E$501,"sim",$C$2:$C$501,"&lt;"&amp;J497,$J$2:$J$501,"&gt;"&amp;C497)-1))</x:f>
      </x:c>
      <x:c r="M497" s="2" t="str">
        <x:f>IF(A497="","",IF(E497&lt;&gt;"sim","Revisar escala",IF(OR(K497&gt;0,L497&gt;0),"Conflito de escala",IF(COUNTIFS('Solicitacoes'!$F$2:$F$501,B497,'Solicitacoes'!$K$2:$K$501,F497,'Solicitacoes'!$I$2:$I$501,"pendente",'Solicitacoes'!$G$2:$G$501,"&lt;"&amp;J497,'Solicitacoes'!$N$2:$N$501,"&gt;"&amp;C497)+COUNTIFS('Solicitacoes'!$F$2:$F$501,B497,'Solicitacoes'!$E$2:$E$501,A497,'Solicitacoes'!$I$2:$I$501,"pendente",'Solicitacoes'!$G$2:$G$501,"&lt;"&amp;J497,'Solicitacoes'!$N$2:$N$501,"&gt;"&amp;C497)+COUNTIFS('Solicitacoes'!$F$2:$F$501,B497,'Solicitacoes'!$K$2:$K$501,F497,'Solicitacoes'!$I$2:$I$501,"confirmado",'Solicitacoes'!$G$2:$G$501,"&lt;"&amp;J497,'Solicitacoes'!$N$2:$N$501,"&gt;"&amp;C497)+COUNTIFS('Solicitacoes'!$F$2:$F$501,B497,'Solicitacoes'!$E$2:$E$501,A497,'Solicitacoes'!$I$2:$I$501,"confirmado",'Solicitacoes'!$G$2:$G$501,"&lt;"&amp;J497,'Solicitacoes'!$N$2:$N$501,"&gt;"&amp;C497)&gt;0,"Ocupado","Disponível"))))</x:f>
      </x:c>
      <x:c r="N497" s="2" t="str">
        <x:f>IF(A497="","",ROW()-1)</x:f>
      </x:c>
    </x:row>
    <x:row r="498" ht="24" customHeight="1">
      <x:c r="A498" s="13"/>
      <x:c r="B498" s="14"/>
      <x:c r="C498" s="26"/>
      <x:c r="D498" s="13"/>
      <x:c r="E498" s="13"/>
      <x:c r="F498" s="13"/>
      <x:c r="G498" s="12" t="str">
        <x:f>IF(A498="","",'Agenda'!$B$5)</x:f>
      </x:c>
      <x:c r="H498" s="12" t="str">
        <x:f>IF(A498="","",'Agenda'!$B$6)</x:f>
      </x:c>
      <x:c r="I498" s="24" t="str">
        <x:f>IF(A498="","",C498+G498/1440)</x:f>
      </x:c>
      <x:c r="J498" s="24" t="str">
        <x:f>IF(A498="","",C498+(G498+H498)/1440)</x:f>
      </x:c>
      <x:c r="K498" s="27" t="str">
        <x:f>IF(A498="","",IF(E498&lt;&gt;"sim",0,COUNTIFS($B$2:$B$501,B498,$F$2:$F$501,F498,$E$2:$E$501,"sim",$C$2:$C$501,"&lt;"&amp;J498,$J$2:$J$501,"&gt;"&amp;C498)-1))</x:f>
      </x:c>
      <x:c r="L498" s="27" t="str">
        <x:f>IF(A498="","",IF(E498&lt;&gt;"sim",0,COUNTIFS($B$2:$B$501,B498,$A$2:$A$501,A498,$E$2:$E$501,"sim",$C$2:$C$501,"&lt;"&amp;J498,$J$2:$J$501,"&gt;"&amp;C498)-1))</x:f>
      </x:c>
      <x:c r="M498" s="2" t="str">
        <x:f>IF(A498="","",IF(E498&lt;&gt;"sim","Revisar escala",IF(OR(K498&gt;0,L498&gt;0),"Conflito de escala",IF(COUNTIFS('Solicitacoes'!$F$2:$F$501,B498,'Solicitacoes'!$K$2:$K$501,F498,'Solicitacoes'!$I$2:$I$501,"pendente",'Solicitacoes'!$G$2:$G$501,"&lt;"&amp;J498,'Solicitacoes'!$N$2:$N$501,"&gt;"&amp;C498)+COUNTIFS('Solicitacoes'!$F$2:$F$501,B498,'Solicitacoes'!$E$2:$E$501,A498,'Solicitacoes'!$I$2:$I$501,"pendente",'Solicitacoes'!$G$2:$G$501,"&lt;"&amp;J498,'Solicitacoes'!$N$2:$N$501,"&gt;"&amp;C498)+COUNTIFS('Solicitacoes'!$F$2:$F$501,B498,'Solicitacoes'!$K$2:$K$501,F498,'Solicitacoes'!$I$2:$I$501,"confirmado",'Solicitacoes'!$G$2:$G$501,"&lt;"&amp;J498,'Solicitacoes'!$N$2:$N$501,"&gt;"&amp;C498)+COUNTIFS('Solicitacoes'!$F$2:$F$501,B498,'Solicitacoes'!$E$2:$E$501,A498,'Solicitacoes'!$I$2:$I$501,"confirmado",'Solicitacoes'!$G$2:$G$501,"&lt;"&amp;J498,'Solicitacoes'!$N$2:$N$501,"&gt;"&amp;C498)&gt;0,"Ocupado","Disponível"))))</x:f>
      </x:c>
      <x:c r="N498" s="2" t="str">
        <x:f>IF(A498="","",ROW()-1)</x:f>
      </x:c>
    </x:row>
    <x:row r="499" ht="24" customHeight="1">
      <x:c r="A499" s="13"/>
      <x:c r="B499" s="14"/>
      <x:c r="C499" s="26"/>
      <x:c r="D499" s="13"/>
      <x:c r="E499" s="13"/>
      <x:c r="F499" s="13"/>
      <x:c r="G499" s="12" t="str">
        <x:f>IF(A499="","",'Agenda'!$B$5)</x:f>
      </x:c>
      <x:c r="H499" s="12" t="str">
        <x:f>IF(A499="","",'Agenda'!$B$6)</x:f>
      </x:c>
      <x:c r="I499" s="24" t="str">
        <x:f>IF(A499="","",C499+G499/1440)</x:f>
      </x:c>
      <x:c r="J499" s="24" t="str">
        <x:f>IF(A499="","",C499+(G499+H499)/1440)</x:f>
      </x:c>
      <x:c r="K499" s="27" t="str">
        <x:f>IF(A499="","",IF(E499&lt;&gt;"sim",0,COUNTIFS($B$2:$B$501,B499,$F$2:$F$501,F499,$E$2:$E$501,"sim",$C$2:$C$501,"&lt;"&amp;J499,$J$2:$J$501,"&gt;"&amp;C499)-1))</x:f>
      </x:c>
      <x:c r="L499" s="27" t="str">
        <x:f>IF(A499="","",IF(E499&lt;&gt;"sim",0,COUNTIFS($B$2:$B$501,B499,$A$2:$A$501,A499,$E$2:$E$501,"sim",$C$2:$C$501,"&lt;"&amp;J499,$J$2:$J$501,"&gt;"&amp;C499)-1))</x:f>
      </x:c>
      <x:c r="M499" s="2" t="str">
        <x:f>IF(A499="","",IF(E499&lt;&gt;"sim","Revisar escala",IF(OR(K499&gt;0,L499&gt;0),"Conflito de escala",IF(COUNTIFS('Solicitacoes'!$F$2:$F$501,B499,'Solicitacoes'!$K$2:$K$501,F499,'Solicitacoes'!$I$2:$I$501,"pendente",'Solicitacoes'!$G$2:$G$501,"&lt;"&amp;J499,'Solicitacoes'!$N$2:$N$501,"&gt;"&amp;C499)+COUNTIFS('Solicitacoes'!$F$2:$F$501,B499,'Solicitacoes'!$E$2:$E$501,A499,'Solicitacoes'!$I$2:$I$501,"pendente",'Solicitacoes'!$G$2:$G$501,"&lt;"&amp;J499,'Solicitacoes'!$N$2:$N$501,"&gt;"&amp;C499)+COUNTIFS('Solicitacoes'!$F$2:$F$501,B499,'Solicitacoes'!$K$2:$K$501,F499,'Solicitacoes'!$I$2:$I$501,"confirmado",'Solicitacoes'!$G$2:$G$501,"&lt;"&amp;J499,'Solicitacoes'!$N$2:$N$501,"&gt;"&amp;C499)+COUNTIFS('Solicitacoes'!$F$2:$F$501,B499,'Solicitacoes'!$E$2:$E$501,A499,'Solicitacoes'!$I$2:$I$501,"confirmado",'Solicitacoes'!$G$2:$G$501,"&lt;"&amp;J499,'Solicitacoes'!$N$2:$N$501,"&gt;"&amp;C499)&gt;0,"Ocupado","Disponível"))))</x:f>
      </x:c>
      <x:c r="N499" s="2" t="str">
        <x:f>IF(A499="","",ROW()-1)</x:f>
      </x:c>
    </x:row>
    <x:row r="500" ht="24" customHeight="1">
      <x:c r="A500" s="13"/>
      <x:c r="B500" s="14"/>
      <x:c r="C500" s="26"/>
      <x:c r="D500" s="13"/>
      <x:c r="E500" s="13"/>
      <x:c r="F500" s="13"/>
      <x:c r="G500" s="12" t="str">
        <x:f>IF(A500="","",'Agenda'!$B$5)</x:f>
      </x:c>
      <x:c r="H500" s="12" t="str">
        <x:f>IF(A500="","",'Agenda'!$B$6)</x:f>
      </x:c>
      <x:c r="I500" s="24" t="str">
        <x:f>IF(A500="","",C500+G500/1440)</x:f>
      </x:c>
      <x:c r="J500" s="24" t="str">
        <x:f>IF(A500="","",C500+(G500+H500)/1440)</x:f>
      </x:c>
      <x:c r="K500" s="27" t="str">
        <x:f>IF(A500="","",IF(E500&lt;&gt;"sim",0,COUNTIFS($B$2:$B$501,B500,$F$2:$F$501,F500,$E$2:$E$501,"sim",$C$2:$C$501,"&lt;"&amp;J500,$J$2:$J$501,"&gt;"&amp;C500)-1))</x:f>
      </x:c>
      <x:c r="L500" s="27" t="str">
        <x:f>IF(A500="","",IF(E500&lt;&gt;"sim",0,COUNTIFS($B$2:$B$501,B500,$A$2:$A$501,A500,$E$2:$E$501,"sim",$C$2:$C$501,"&lt;"&amp;J500,$J$2:$J$501,"&gt;"&amp;C500)-1))</x:f>
      </x:c>
      <x:c r="M500" s="2" t="str">
        <x:f>IF(A500="","",IF(E500&lt;&gt;"sim","Revisar escala",IF(OR(K500&gt;0,L500&gt;0),"Conflito de escala",IF(COUNTIFS('Solicitacoes'!$F$2:$F$501,B500,'Solicitacoes'!$K$2:$K$501,F500,'Solicitacoes'!$I$2:$I$501,"pendente",'Solicitacoes'!$G$2:$G$501,"&lt;"&amp;J500,'Solicitacoes'!$N$2:$N$501,"&gt;"&amp;C500)+COUNTIFS('Solicitacoes'!$F$2:$F$501,B500,'Solicitacoes'!$E$2:$E$501,A500,'Solicitacoes'!$I$2:$I$501,"pendente",'Solicitacoes'!$G$2:$G$501,"&lt;"&amp;J500,'Solicitacoes'!$N$2:$N$501,"&gt;"&amp;C500)+COUNTIFS('Solicitacoes'!$F$2:$F$501,B500,'Solicitacoes'!$K$2:$K$501,F500,'Solicitacoes'!$I$2:$I$501,"confirmado",'Solicitacoes'!$G$2:$G$501,"&lt;"&amp;J500,'Solicitacoes'!$N$2:$N$501,"&gt;"&amp;C500)+COUNTIFS('Solicitacoes'!$F$2:$F$501,B500,'Solicitacoes'!$E$2:$E$501,A500,'Solicitacoes'!$I$2:$I$501,"confirmado",'Solicitacoes'!$G$2:$G$501,"&lt;"&amp;J500,'Solicitacoes'!$N$2:$N$501,"&gt;"&amp;C500)&gt;0,"Ocupado","Disponível"))))</x:f>
      </x:c>
      <x:c r="N500" s="2" t="str">
        <x:f>IF(A500="","",ROW()-1)</x:f>
      </x:c>
    </x:row>
    <x:row r="501" ht="24" customHeight="1">
      <x:c r="A501" s="13"/>
      <x:c r="B501" s="14"/>
      <x:c r="C501" s="26"/>
      <x:c r="D501" s="13"/>
      <x:c r="E501" s="13"/>
      <x:c r="F501" s="13"/>
      <x:c r="G501" s="12" t="str">
        <x:f>IF(A501="","",'Agenda'!$B$5)</x:f>
      </x:c>
      <x:c r="H501" s="12" t="str">
        <x:f>IF(A501="","",'Agenda'!$B$6)</x:f>
      </x:c>
      <x:c r="I501" s="24" t="str">
        <x:f>IF(A501="","",C501+G501/1440)</x:f>
      </x:c>
      <x:c r="J501" s="24" t="str">
        <x:f>IF(A501="","",C501+(G501+H501)/1440)</x:f>
      </x:c>
      <x:c r="K501" s="27" t="str">
        <x:f>IF(A501="","",IF(E501&lt;&gt;"sim",0,COUNTIFS($B$2:$B$501,B501,$F$2:$F$501,F501,$E$2:$E$501,"sim",$C$2:$C$501,"&lt;"&amp;J501,$J$2:$J$501,"&gt;"&amp;C501)-1))</x:f>
      </x:c>
      <x:c r="L501" s="27" t="str">
        <x:f>IF(A501="","",IF(E501&lt;&gt;"sim",0,COUNTIFS($B$2:$B$501,B501,$A$2:$A$501,A501,$E$2:$E$501,"sim",$C$2:$C$501,"&lt;"&amp;J501,$J$2:$J$501,"&gt;"&amp;C501)-1))</x:f>
      </x:c>
      <x:c r="M501" s="2" t="str">
        <x:f>IF(A501="","",IF(E501&lt;&gt;"sim","Revisar escala",IF(OR(K501&gt;0,L501&gt;0),"Conflito de escala",IF(COUNTIFS('Solicitacoes'!$F$2:$F$501,B501,'Solicitacoes'!$K$2:$K$501,F501,'Solicitacoes'!$I$2:$I$501,"pendente",'Solicitacoes'!$G$2:$G$501,"&lt;"&amp;J501,'Solicitacoes'!$N$2:$N$501,"&gt;"&amp;C501)+COUNTIFS('Solicitacoes'!$F$2:$F$501,B501,'Solicitacoes'!$E$2:$E$501,A501,'Solicitacoes'!$I$2:$I$501,"pendente",'Solicitacoes'!$G$2:$G$501,"&lt;"&amp;J501,'Solicitacoes'!$N$2:$N$501,"&gt;"&amp;C501)+COUNTIFS('Solicitacoes'!$F$2:$F$501,B501,'Solicitacoes'!$K$2:$K$501,F501,'Solicitacoes'!$I$2:$I$501,"confirmado",'Solicitacoes'!$G$2:$G$501,"&lt;"&amp;J501,'Solicitacoes'!$N$2:$N$501,"&gt;"&amp;C501)+COUNTIFS('Solicitacoes'!$F$2:$F$501,B501,'Solicitacoes'!$E$2:$E$501,A501,'Solicitacoes'!$I$2:$I$501,"confirmado",'Solicitacoes'!$G$2:$G$501,"&lt;"&amp;J501,'Solicitacoes'!$N$2:$N$501,"&gt;"&amp;C501)&gt;0,"Ocupado","Disponível"))))</x:f>
      </x:c>
      <x:c r="N501" s="2" t="str">
        <x:f>IF(A501="","",ROW()-1)</x:f>
      </x:c>
    </x:row>
  </x:sheetData>
  <x:conditionalFormatting sqref="K2:L501">
    <x:cfRule type="cellIs" dxfId="0" priority="1" operator="greaterThan">
      <x:formula>0</x:formula>
    </x:cfRule>
  </x:conditionalFormatting>
  <x:dataValidations count="4">
    <x:dataValidation type="list" sqref="A2:A501">
      <x:formula1>"Aline Reis,Géssyca Martins,Laura Casanova"</x:formula1>
    </x:dataValidation>
    <x:dataValidation type="list" sqref="D2:D501">
      <x:formula1>"presencial,online"</x:formula1>
    </x:dataValidation>
    <x:dataValidation type="list" sqref="E2:E501">
      <x:formula1>"não,sim"</x:formula1>
    </x:dataValidation>
    <x:dataValidation type="list" sqref="F2:F501">
      <x:formula1>"Sala 1,Sala 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3a737e01f240f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17" hidden="0" customWidth="1"/>
    <x:col min="3" max="3" width="25" hidden="0" customWidth="1"/>
    <x:col min="4" max="4" width="17" hidden="0" customWidth="1"/>
    <x:col min="5" max="5" width="24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 ht="40" customHeight="1">
      <x:c r="A1" s="21" t="str">
        <x:v>id</x:v>
      </x:c>
      <x:c r="B1" s="21" t="str">
        <x:v>criado_em</x:v>
      </x:c>
      <x:c r="C1" s="21" t="str">
        <x:v>nome</x:v>
      </x:c>
      <x:c r="D1" s="21" t="str">
        <x:v>whatsapp</x:v>
      </x:c>
      <x:c r="E1" s="21" t="str">
        <x:v>profissional</x:v>
      </x:c>
      <x:c r="F1" s="21" t="str">
        <x:v>data</x:v>
      </x:c>
      <x:c r="G1" s="21" t="str">
        <x:v>horario</x:v>
      </x:c>
      <x:c r="H1" s="21" t="str">
        <x:v>modalidade</x:v>
      </x:c>
      <x:c r="I1" s="21" t="str">
        <x:v>status</x:v>
      </x:c>
      <x:c r="J1" s="21" t="str">
        <x:v>consentimento</x:v>
      </x:c>
      <x:c r="K1" s="21" t="str">
        <x:v>sala</x:v>
      </x:c>
      <x:c r="L1" s="21" t="str">
        <x:v>duracao_min</x:v>
      </x:c>
      <x:c r="M1" s="21" t="str">
        <x:v>intervalo_min</x:v>
      </x:c>
      <x:c r="N1" s="21" t="str">
        <x:v>fim_reserva</x:v>
      </x:c>
      <x:c r="O1" s="21" t="str">
        <x:v>conflito_sala</x:v>
      </x:c>
      <x:c r="P1" s="21" t="str">
        <x:v>conflito_prof</x:v>
      </x:c>
    </x:row>
    <x:row r="2" ht="24" customHeight="1">
      <x:c r="A2" s="17"/>
      <x:c r="B2" s="16"/>
      <x:c r="C2" s="2"/>
      <x:c r="D2" s="17"/>
      <x:c r="E2" s="2"/>
      <x:c r="F2" s="10"/>
      <x:c r="G2" s="11"/>
      <x:c r="H2" s="2"/>
      <x:c r="I2" s="7"/>
      <x:c r="J2" s="2"/>
      <x:c r="K2" s="2"/>
      <x:c r="L2" s="2"/>
      <x:c r="M2" s="2"/>
      <x:c r="N2" s="11" t="str">
        <x:f>IF(A2="","",IF(AND(ISNUMBER(G2),ISNUMBER(L2),ISNUMBER(M2)),G2+(L2+M2)/1440,""))</x:f>
      </x:c>
      <x:c r="O2" s="2" t="str">
        <x:f>IF(A2="","",IF(OR(N2="",F2=""),"Dados incompletos",IF(OR(I2="pendente",I2="confirmado"),IF(K2="",0,COUNTIFS($F$2:$F$501,F2,$G$2:$G$501,"&lt;"&amp;N2,$N$2:$N$501,"&gt;"&amp;G2,$I$2:$I$501,"pendente",$K$2:$K$501,K2)+COUNTIFS($F$2:$F$501,F2,$G$2:$G$501,"&lt;"&amp;N2,$N$2:$N$501,"&gt;"&amp;G2,$I$2:$I$501,"confirmado",$K$2:$K$501,K2)-1),0)))</x:f>
      </x:c>
      <x:c r="P2" s="2" t="str">
        <x:f>IF(A2="","",IF(OR(N2="",F2=""),"Dados incompletos",IF(OR(I2="pendente",I2="confirmado"),COUNTIFS($F$2:$F$501,F2,$G$2:$G$501,"&lt;"&amp;N2,$N$2:$N$501,"&gt;"&amp;G2,$I$2:$I$501,"pendente",$E$2:$E$501,E2)+COUNTIFS($F$2:$F$501,F2,$G$2:$G$501,"&lt;"&amp;N2,$N$2:$N$501,"&gt;"&amp;G2,$I$2:$I$501,"confirmado",$E$2:$E$501,E2)-1,0)))</x:f>
      </x:c>
    </x:row>
    <x:row r="3" ht="24" customHeight="1">
      <x:c r="A3" s="17"/>
      <x:c r="B3" s="16"/>
      <x:c r="C3" s="2"/>
      <x:c r="D3" s="17"/>
      <x:c r="E3" s="2"/>
      <x:c r="F3" s="10"/>
      <x:c r="G3" s="11"/>
      <x:c r="H3" s="2"/>
      <x:c r="I3" s="7"/>
      <x:c r="J3" s="2"/>
      <x:c r="K3" s="2"/>
      <x:c r="L3" s="2"/>
      <x:c r="M3" s="2"/>
      <x:c r="N3" s="11" t="str">
        <x:f>IF(A3="","",IF(AND(ISNUMBER(G3),ISNUMBER(L3),ISNUMBER(M3)),G3+(L3+M3)/1440,""))</x:f>
      </x:c>
      <x:c r="O3" s="2" t="str">
        <x:f>IF(A3="","",IF(OR(N3="",F3=""),"Dados incompletos",IF(OR(I3="pendente",I3="confirmado"),IF(K3="",0,COUNTIFS($F$2:$F$501,F3,$G$2:$G$501,"&lt;"&amp;N3,$N$2:$N$501,"&gt;"&amp;G3,$I$2:$I$501,"pendente",$K$2:$K$501,K3)+COUNTIFS($F$2:$F$501,F3,$G$2:$G$501,"&lt;"&amp;N3,$N$2:$N$501,"&gt;"&amp;G3,$I$2:$I$501,"confirmado",$K$2:$K$501,K3)-1),0)))</x:f>
      </x:c>
      <x:c r="P3" s="2" t="str">
        <x:f>IF(A3="","",IF(OR(N3="",F3=""),"Dados incompletos",IF(OR(I3="pendente",I3="confirmado"),COUNTIFS($F$2:$F$501,F3,$G$2:$G$501,"&lt;"&amp;N3,$N$2:$N$501,"&gt;"&amp;G3,$I$2:$I$501,"pendente",$E$2:$E$501,E3)+COUNTIFS($F$2:$F$501,F3,$G$2:$G$501,"&lt;"&amp;N3,$N$2:$N$501,"&gt;"&amp;G3,$I$2:$I$501,"confirmado",$E$2:$E$501,E3)-1,0)))</x:f>
      </x:c>
    </x:row>
    <x:row r="4" ht="24" customHeight="1">
      <x:c r="A4" s="17"/>
      <x:c r="B4" s="16"/>
      <x:c r="C4" s="2"/>
      <x:c r="D4" s="17"/>
      <x:c r="E4" s="2"/>
      <x:c r="F4" s="10"/>
      <x:c r="G4" s="11"/>
      <x:c r="H4" s="2"/>
      <x:c r="I4" s="7"/>
      <x:c r="J4" s="2"/>
      <x:c r="K4" s="2"/>
      <x:c r="L4" s="2"/>
      <x:c r="M4" s="2"/>
      <x:c r="N4" s="11" t="str">
        <x:f>IF(A4="","",IF(AND(ISNUMBER(G4),ISNUMBER(L4),ISNUMBER(M4)),G4+(L4+M4)/1440,""))</x:f>
      </x:c>
      <x:c r="O4" s="2" t="str">
        <x:f>IF(A4="","",IF(OR(N4="",F4=""),"Dados incompletos",IF(OR(I4="pendente",I4="confirmado"),IF(K4="",0,COUNTIFS($F$2:$F$501,F4,$G$2:$G$501,"&lt;"&amp;N4,$N$2:$N$501,"&gt;"&amp;G4,$I$2:$I$501,"pendente",$K$2:$K$501,K4)+COUNTIFS($F$2:$F$501,F4,$G$2:$G$501,"&lt;"&amp;N4,$N$2:$N$501,"&gt;"&amp;G4,$I$2:$I$501,"confirmado",$K$2:$K$501,K4)-1),0)))</x:f>
      </x:c>
      <x:c r="P4" s="2" t="str">
        <x:f>IF(A4="","",IF(OR(N4="",F4=""),"Dados incompletos",IF(OR(I4="pendente",I4="confirmado"),COUNTIFS($F$2:$F$501,F4,$G$2:$G$501,"&lt;"&amp;N4,$N$2:$N$501,"&gt;"&amp;G4,$I$2:$I$501,"pendente",$E$2:$E$501,E4)+COUNTIFS($F$2:$F$501,F4,$G$2:$G$501,"&lt;"&amp;N4,$N$2:$N$501,"&gt;"&amp;G4,$I$2:$I$501,"confirmado",$E$2:$E$501,E4)-1,0)))</x:f>
      </x:c>
    </x:row>
    <x:row r="5" ht="24" customHeight="1">
      <x:c r="A5" s="17"/>
      <x:c r="B5" s="16"/>
      <x:c r="C5" s="2"/>
      <x:c r="D5" s="17"/>
      <x:c r="E5" s="2"/>
      <x:c r="F5" s="10"/>
      <x:c r="G5" s="11"/>
      <x:c r="H5" s="2"/>
      <x:c r="I5" s="7"/>
      <x:c r="J5" s="2"/>
      <x:c r="K5" s="2"/>
      <x:c r="L5" s="2"/>
      <x:c r="M5" s="2"/>
      <x:c r="N5" s="11" t="str">
        <x:f>IF(A5="","",IF(AND(ISNUMBER(G5),ISNUMBER(L5),ISNUMBER(M5)),G5+(L5+M5)/1440,""))</x:f>
      </x:c>
      <x:c r="O5" s="2" t="str">
        <x:f>IF(A5="","",IF(OR(N5="",F5=""),"Dados incompletos",IF(OR(I5="pendente",I5="confirmado"),IF(K5="",0,COUNTIFS($F$2:$F$501,F5,$G$2:$G$501,"&lt;"&amp;N5,$N$2:$N$501,"&gt;"&amp;G5,$I$2:$I$501,"pendente",$K$2:$K$501,K5)+COUNTIFS($F$2:$F$501,F5,$G$2:$G$501,"&lt;"&amp;N5,$N$2:$N$501,"&gt;"&amp;G5,$I$2:$I$501,"confirmado",$K$2:$K$501,K5)-1),0)))</x:f>
      </x:c>
      <x:c r="P5" s="2" t="str">
        <x:f>IF(A5="","",IF(OR(N5="",F5=""),"Dados incompletos",IF(OR(I5="pendente",I5="confirmado"),COUNTIFS($F$2:$F$501,F5,$G$2:$G$501,"&lt;"&amp;N5,$N$2:$N$501,"&gt;"&amp;G5,$I$2:$I$501,"pendente",$E$2:$E$501,E5)+COUNTIFS($F$2:$F$501,F5,$G$2:$G$501,"&lt;"&amp;N5,$N$2:$N$501,"&gt;"&amp;G5,$I$2:$I$501,"confirmado",$E$2:$E$501,E5)-1,0)))</x:f>
      </x:c>
    </x:row>
    <x:row r="6" ht="24" customHeight="1">
      <x:c r="A6" s="17"/>
      <x:c r="B6" s="16"/>
      <x:c r="C6" s="2"/>
      <x:c r="D6" s="17"/>
      <x:c r="E6" s="2"/>
      <x:c r="F6" s="10"/>
      <x:c r="G6" s="11"/>
      <x:c r="H6" s="2"/>
      <x:c r="I6" s="7"/>
      <x:c r="J6" s="2"/>
      <x:c r="K6" s="2"/>
      <x:c r="L6" s="2"/>
      <x:c r="M6" s="2"/>
      <x:c r="N6" s="11" t="str">
        <x:f>IF(A6="","",IF(AND(ISNUMBER(G6),ISNUMBER(L6),ISNUMBER(M6)),G6+(L6+M6)/1440,""))</x:f>
      </x:c>
      <x:c r="O6" s="2" t="str">
        <x:f>IF(A6="","",IF(OR(N6="",F6=""),"Dados incompletos",IF(OR(I6="pendente",I6="confirmado"),IF(K6="",0,COUNTIFS($F$2:$F$501,F6,$G$2:$G$501,"&lt;"&amp;N6,$N$2:$N$501,"&gt;"&amp;G6,$I$2:$I$501,"pendente",$K$2:$K$501,K6)+COUNTIFS($F$2:$F$501,F6,$G$2:$G$501,"&lt;"&amp;N6,$N$2:$N$501,"&gt;"&amp;G6,$I$2:$I$501,"confirmado",$K$2:$K$501,K6)-1),0)))</x:f>
      </x:c>
      <x:c r="P6" s="2" t="str">
        <x:f>IF(A6="","",IF(OR(N6="",F6=""),"Dados incompletos",IF(OR(I6="pendente",I6="confirmado"),COUNTIFS($F$2:$F$501,F6,$G$2:$G$501,"&lt;"&amp;N6,$N$2:$N$501,"&gt;"&amp;G6,$I$2:$I$501,"pendente",$E$2:$E$501,E6)+COUNTIFS($F$2:$F$501,F6,$G$2:$G$501,"&lt;"&amp;N6,$N$2:$N$501,"&gt;"&amp;G6,$I$2:$I$501,"confirmado",$E$2:$E$501,E6)-1,0)))</x:f>
      </x:c>
    </x:row>
    <x:row r="7" ht="24" customHeight="1">
      <x:c r="A7" s="17"/>
      <x:c r="B7" s="16"/>
      <x:c r="C7" s="2"/>
      <x:c r="D7" s="17"/>
      <x:c r="E7" s="2"/>
      <x:c r="F7" s="10"/>
      <x:c r="G7" s="11"/>
      <x:c r="H7" s="2"/>
      <x:c r="I7" s="7"/>
      <x:c r="J7" s="2"/>
      <x:c r="K7" s="2"/>
      <x:c r="L7" s="2"/>
      <x:c r="M7" s="2"/>
      <x:c r="N7" s="11" t="str">
        <x:f>IF(A7="","",IF(AND(ISNUMBER(G7),ISNUMBER(L7),ISNUMBER(M7)),G7+(L7+M7)/1440,""))</x:f>
      </x:c>
      <x:c r="O7" s="2" t="str">
        <x:f>IF(A7="","",IF(OR(N7="",F7=""),"Dados incompletos",IF(OR(I7="pendente",I7="confirmado"),IF(K7="",0,COUNTIFS($F$2:$F$501,F7,$G$2:$G$501,"&lt;"&amp;N7,$N$2:$N$501,"&gt;"&amp;G7,$I$2:$I$501,"pendente",$K$2:$K$501,K7)+COUNTIFS($F$2:$F$501,F7,$G$2:$G$501,"&lt;"&amp;N7,$N$2:$N$501,"&gt;"&amp;G7,$I$2:$I$501,"confirmado",$K$2:$K$501,K7)-1),0)))</x:f>
      </x:c>
      <x:c r="P7" s="2" t="str">
        <x:f>IF(A7="","",IF(OR(N7="",F7=""),"Dados incompletos",IF(OR(I7="pendente",I7="confirmado"),COUNTIFS($F$2:$F$501,F7,$G$2:$G$501,"&lt;"&amp;N7,$N$2:$N$501,"&gt;"&amp;G7,$I$2:$I$501,"pendente",$E$2:$E$501,E7)+COUNTIFS($F$2:$F$501,F7,$G$2:$G$501,"&lt;"&amp;N7,$N$2:$N$501,"&gt;"&amp;G7,$I$2:$I$501,"confirmado",$E$2:$E$501,E7)-1,0)))</x:f>
      </x:c>
    </x:row>
    <x:row r="8" ht="24" customHeight="1">
      <x:c r="A8" s="17"/>
      <x:c r="B8" s="16"/>
      <x:c r="C8" s="2"/>
      <x:c r="D8" s="17"/>
      <x:c r="E8" s="2"/>
      <x:c r="F8" s="10"/>
      <x:c r="G8" s="11"/>
      <x:c r="H8" s="2"/>
      <x:c r="I8" s="7"/>
      <x:c r="J8" s="2"/>
      <x:c r="K8" s="2"/>
      <x:c r="L8" s="2"/>
      <x:c r="M8" s="2"/>
      <x:c r="N8" s="11" t="str">
        <x:f>IF(A8="","",IF(AND(ISNUMBER(G8),ISNUMBER(L8),ISNUMBER(M8)),G8+(L8+M8)/1440,""))</x:f>
      </x:c>
      <x:c r="O8" s="2" t="str">
        <x:f>IF(A8="","",IF(OR(N8="",F8=""),"Dados incompletos",IF(OR(I8="pendente",I8="confirmado"),IF(K8="",0,COUNTIFS($F$2:$F$501,F8,$G$2:$G$501,"&lt;"&amp;N8,$N$2:$N$501,"&gt;"&amp;G8,$I$2:$I$501,"pendente",$K$2:$K$501,K8)+COUNTIFS($F$2:$F$501,F8,$G$2:$G$501,"&lt;"&amp;N8,$N$2:$N$501,"&gt;"&amp;G8,$I$2:$I$501,"confirmado",$K$2:$K$501,K8)-1),0)))</x:f>
      </x:c>
      <x:c r="P8" s="2" t="str">
        <x:f>IF(A8="","",IF(OR(N8="",F8=""),"Dados incompletos",IF(OR(I8="pendente",I8="confirmado"),COUNTIFS($F$2:$F$501,F8,$G$2:$G$501,"&lt;"&amp;N8,$N$2:$N$501,"&gt;"&amp;G8,$I$2:$I$501,"pendente",$E$2:$E$501,E8)+COUNTIFS($F$2:$F$501,F8,$G$2:$G$501,"&lt;"&amp;N8,$N$2:$N$501,"&gt;"&amp;G8,$I$2:$I$501,"confirmado",$E$2:$E$501,E8)-1,0)))</x:f>
      </x:c>
    </x:row>
    <x:row r="9" ht="24" customHeight="1">
      <x:c r="A9" s="17"/>
      <x:c r="B9" s="16"/>
      <x:c r="C9" s="2"/>
      <x:c r="D9" s="17"/>
      <x:c r="E9" s="2"/>
      <x:c r="F9" s="10"/>
      <x:c r="G9" s="11"/>
      <x:c r="H9" s="2"/>
      <x:c r="I9" s="7"/>
      <x:c r="J9" s="2"/>
      <x:c r="K9" s="2"/>
      <x:c r="L9" s="2"/>
      <x:c r="M9" s="2"/>
      <x:c r="N9" s="11" t="str">
        <x:f>IF(A9="","",IF(AND(ISNUMBER(G9),ISNUMBER(L9),ISNUMBER(M9)),G9+(L9+M9)/1440,""))</x:f>
      </x:c>
      <x:c r="O9" s="2" t="str">
        <x:f>IF(A9="","",IF(OR(N9="",F9=""),"Dados incompletos",IF(OR(I9="pendente",I9="confirmado"),IF(K9="",0,COUNTIFS($F$2:$F$501,F9,$G$2:$G$501,"&lt;"&amp;N9,$N$2:$N$501,"&gt;"&amp;G9,$I$2:$I$501,"pendente",$K$2:$K$501,K9)+COUNTIFS($F$2:$F$501,F9,$G$2:$G$501,"&lt;"&amp;N9,$N$2:$N$501,"&gt;"&amp;G9,$I$2:$I$501,"confirmado",$K$2:$K$501,K9)-1),0)))</x:f>
      </x:c>
      <x:c r="P9" s="2" t="str">
        <x:f>IF(A9="","",IF(OR(N9="",F9=""),"Dados incompletos",IF(OR(I9="pendente",I9="confirmado"),COUNTIFS($F$2:$F$501,F9,$G$2:$G$501,"&lt;"&amp;N9,$N$2:$N$501,"&gt;"&amp;G9,$I$2:$I$501,"pendente",$E$2:$E$501,E9)+COUNTIFS($F$2:$F$501,F9,$G$2:$G$501,"&lt;"&amp;N9,$N$2:$N$501,"&gt;"&amp;G9,$I$2:$I$501,"confirmado",$E$2:$E$501,E9)-1,0)))</x:f>
      </x:c>
    </x:row>
    <x:row r="10" ht="24" customHeight="1">
      <x:c r="A10" s="17"/>
      <x:c r="B10" s="16"/>
      <x:c r="C10" s="2"/>
      <x:c r="D10" s="17"/>
      <x:c r="E10" s="2"/>
      <x:c r="F10" s="10"/>
      <x:c r="G10" s="11"/>
      <x:c r="H10" s="2"/>
      <x:c r="I10" s="7"/>
      <x:c r="J10" s="2"/>
      <x:c r="K10" s="2"/>
      <x:c r="L10" s="2"/>
      <x:c r="M10" s="2"/>
      <x:c r="N10" s="11" t="str">
        <x:f>IF(A10="","",IF(AND(ISNUMBER(G10),ISNUMBER(L10),ISNUMBER(M10)),G10+(L10+M10)/1440,""))</x:f>
      </x:c>
      <x:c r="O10" s="2" t="str">
        <x:f>IF(A10="","",IF(OR(N10="",F10=""),"Dados incompletos",IF(OR(I10="pendente",I10="confirmado"),IF(K10="",0,COUNTIFS($F$2:$F$501,F10,$G$2:$G$501,"&lt;"&amp;N10,$N$2:$N$501,"&gt;"&amp;G10,$I$2:$I$501,"pendente",$K$2:$K$501,K10)+COUNTIFS($F$2:$F$501,F10,$G$2:$G$501,"&lt;"&amp;N10,$N$2:$N$501,"&gt;"&amp;G10,$I$2:$I$501,"confirmado",$K$2:$K$501,K10)-1),0)))</x:f>
      </x:c>
      <x:c r="P10" s="2" t="str">
        <x:f>IF(A10="","",IF(OR(N10="",F10=""),"Dados incompletos",IF(OR(I10="pendente",I10="confirmado"),COUNTIFS($F$2:$F$501,F10,$G$2:$G$501,"&lt;"&amp;N10,$N$2:$N$501,"&gt;"&amp;G10,$I$2:$I$501,"pendente",$E$2:$E$501,E10)+COUNTIFS($F$2:$F$501,F10,$G$2:$G$501,"&lt;"&amp;N10,$N$2:$N$501,"&gt;"&amp;G10,$I$2:$I$501,"confirmado",$E$2:$E$501,E10)-1,0)))</x:f>
      </x:c>
    </x:row>
    <x:row r="11" ht="24" customHeight="1">
      <x:c r="A11" s="17"/>
      <x:c r="B11" s="16"/>
      <x:c r="C11" s="2"/>
      <x:c r="D11" s="17"/>
      <x:c r="E11" s="2"/>
      <x:c r="F11" s="10"/>
      <x:c r="G11" s="11"/>
      <x:c r="H11" s="2"/>
      <x:c r="I11" s="7"/>
      <x:c r="J11" s="2"/>
      <x:c r="K11" s="2"/>
      <x:c r="L11" s="2"/>
      <x:c r="M11" s="2"/>
      <x:c r="N11" s="11" t="str">
        <x:f>IF(A11="","",IF(AND(ISNUMBER(G11),ISNUMBER(L11),ISNUMBER(M11)),G11+(L11+M11)/1440,""))</x:f>
      </x:c>
      <x:c r="O11" s="2" t="str">
        <x:f>IF(A11="","",IF(OR(N11="",F11=""),"Dados incompletos",IF(OR(I11="pendente",I11="confirmado"),IF(K11="",0,COUNTIFS($F$2:$F$501,F11,$G$2:$G$501,"&lt;"&amp;N11,$N$2:$N$501,"&gt;"&amp;G11,$I$2:$I$501,"pendente",$K$2:$K$501,K11)+COUNTIFS($F$2:$F$501,F11,$G$2:$G$501,"&lt;"&amp;N11,$N$2:$N$501,"&gt;"&amp;G11,$I$2:$I$501,"confirmado",$K$2:$K$501,K11)-1),0)))</x:f>
      </x:c>
      <x:c r="P11" s="2" t="str">
        <x:f>IF(A11="","",IF(OR(N11="",F11=""),"Dados incompletos",IF(OR(I11="pendente",I11="confirmado"),COUNTIFS($F$2:$F$501,F11,$G$2:$G$501,"&lt;"&amp;N11,$N$2:$N$501,"&gt;"&amp;G11,$I$2:$I$501,"pendente",$E$2:$E$501,E11)+COUNTIFS($F$2:$F$501,F11,$G$2:$G$501,"&lt;"&amp;N11,$N$2:$N$501,"&gt;"&amp;G11,$I$2:$I$501,"confirmado",$E$2:$E$501,E11)-1,0)))</x:f>
      </x:c>
    </x:row>
    <x:row r="12" ht="24" customHeight="1">
      <x:c r="A12" s="17"/>
      <x:c r="B12" s="16"/>
      <x:c r="C12" s="2"/>
      <x:c r="D12" s="17"/>
      <x:c r="E12" s="2"/>
      <x:c r="F12" s="10"/>
      <x:c r="G12" s="11"/>
      <x:c r="H12" s="2"/>
      <x:c r="I12" s="7"/>
      <x:c r="J12" s="2"/>
      <x:c r="K12" s="2"/>
      <x:c r="L12" s="2"/>
      <x:c r="M12" s="2"/>
      <x:c r="N12" s="11" t="str">
        <x:f>IF(A12="","",IF(AND(ISNUMBER(G12),ISNUMBER(L12),ISNUMBER(M12)),G12+(L12+M12)/1440,""))</x:f>
      </x:c>
      <x:c r="O12" s="2" t="str">
        <x:f>IF(A12="","",IF(OR(N12="",F12=""),"Dados incompletos",IF(OR(I12="pendente",I12="confirmado"),IF(K12="",0,COUNTIFS($F$2:$F$501,F12,$G$2:$G$501,"&lt;"&amp;N12,$N$2:$N$501,"&gt;"&amp;G12,$I$2:$I$501,"pendente",$K$2:$K$501,K12)+COUNTIFS($F$2:$F$501,F12,$G$2:$G$501,"&lt;"&amp;N12,$N$2:$N$501,"&gt;"&amp;G12,$I$2:$I$501,"confirmado",$K$2:$K$501,K12)-1),0)))</x:f>
      </x:c>
      <x:c r="P12" s="2" t="str">
        <x:f>IF(A12="","",IF(OR(N12="",F12=""),"Dados incompletos",IF(OR(I12="pendente",I12="confirmado"),COUNTIFS($F$2:$F$501,F12,$G$2:$G$501,"&lt;"&amp;N12,$N$2:$N$501,"&gt;"&amp;G12,$I$2:$I$501,"pendente",$E$2:$E$501,E12)+COUNTIFS($F$2:$F$501,F12,$G$2:$G$501,"&lt;"&amp;N12,$N$2:$N$501,"&gt;"&amp;G12,$I$2:$I$501,"confirmado",$E$2:$E$501,E12)-1,0)))</x:f>
      </x:c>
    </x:row>
    <x:row r="13" ht="24" customHeight="1">
      <x:c r="A13" s="17"/>
      <x:c r="B13" s="16"/>
      <x:c r="C13" s="2"/>
      <x:c r="D13" s="17"/>
      <x:c r="E13" s="2"/>
      <x:c r="F13" s="10"/>
      <x:c r="G13" s="11"/>
      <x:c r="H13" s="2"/>
      <x:c r="I13" s="7"/>
      <x:c r="J13" s="2"/>
      <x:c r="K13" s="2"/>
      <x:c r="L13" s="2"/>
      <x:c r="M13" s="2"/>
      <x:c r="N13" s="11" t="str">
        <x:f>IF(A13="","",IF(AND(ISNUMBER(G13),ISNUMBER(L13),ISNUMBER(M13)),G13+(L13+M13)/1440,""))</x:f>
      </x:c>
      <x:c r="O13" s="2" t="str">
        <x:f>IF(A13="","",IF(OR(N13="",F13=""),"Dados incompletos",IF(OR(I13="pendente",I13="confirmado"),IF(K13="",0,COUNTIFS($F$2:$F$501,F13,$G$2:$G$501,"&lt;"&amp;N13,$N$2:$N$501,"&gt;"&amp;G13,$I$2:$I$501,"pendente",$K$2:$K$501,K13)+COUNTIFS($F$2:$F$501,F13,$G$2:$G$501,"&lt;"&amp;N13,$N$2:$N$501,"&gt;"&amp;G13,$I$2:$I$501,"confirmado",$K$2:$K$501,K13)-1),0)))</x:f>
      </x:c>
      <x:c r="P13" s="2" t="str">
        <x:f>IF(A13="","",IF(OR(N13="",F13=""),"Dados incompletos",IF(OR(I13="pendente",I13="confirmado"),COUNTIFS($F$2:$F$501,F13,$G$2:$G$501,"&lt;"&amp;N13,$N$2:$N$501,"&gt;"&amp;G13,$I$2:$I$501,"pendente",$E$2:$E$501,E13)+COUNTIFS($F$2:$F$501,F13,$G$2:$G$501,"&lt;"&amp;N13,$N$2:$N$501,"&gt;"&amp;G13,$I$2:$I$501,"confirmado",$E$2:$E$501,E13)-1,0)))</x:f>
      </x:c>
    </x:row>
    <x:row r="14" ht="24" customHeight="1">
      <x:c r="A14" s="17"/>
      <x:c r="B14" s="16"/>
      <x:c r="C14" s="2"/>
      <x:c r="D14" s="17"/>
      <x:c r="E14" s="2"/>
      <x:c r="F14" s="10"/>
      <x:c r="G14" s="11"/>
      <x:c r="H14" s="2"/>
      <x:c r="I14" s="7"/>
      <x:c r="J14" s="2"/>
      <x:c r="K14" s="2"/>
      <x:c r="L14" s="2"/>
      <x:c r="M14" s="2"/>
      <x:c r="N14" s="11" t="str">
        <x:f>IF(A14="","",IF(AND(ISNUMBER(G14),ISNUMBER(L14),ISNUMBER(M14)),G14+(L14+M14)/1440,""))</x:f>
      </x:c>
      <x:c r="O14" s="2" t="str">
        <x:f>IF(A14="","",IF(OR(N14="",F14=""),"Dados incompletos",IF(OR(I14="pendente",I14="confirmado"),IF(K14="",0,COUNTIFS($F$2:$F$501,F14,$G$2:$G$501,"&lt;"&amp;N14,$N$2:$N$501,"&gt;"&amp;G14,$I$2:$I$501,"pendente",$K$2:$K$501,K14)+COUNTIFS($F$2:$F$501,F14,$G$2:$G$501,"&lt;"&amp;N14,$N$2:$N$501,"&gt;"&amp;G14,$I$2:$I$501,"confirmado",$K$2:$K$501,K14)-1),0)))</x:f>
      </x:c>
      <x:c r="P14" s="2" t="str">
        <x:f>IF(A14="","",IF(OR(N14="",F14=""),"Dados incompletos",IF(OR(I14="pendente",I14="confirmado"),COUNTIFS($F$2:$F$501,F14,$G$2:$G$501,"&lt;"&amp;N14,$N$2:$N$501,"&gt;"&amp;G14,$I$2:$I$501,"pendente",$E$2:$E$501,E14)+COUNTIFS($F$2:$F$501,F14,$G$2:$G$501,"&lt;"&amp;N14,$N$2:$N$501,"&gt;"&amp;G14,$I$2:$I$501,"confirmado",$E$2:$E$501,E14)-1,0)))</x:f>
      </x:c>
    </x:row>
    <x:row r="15" ht="24" customHeight="1">
      <x:c r="A15" s="17"/>
      <x:c r="B15" s="16"/>
      <x:c r="C15" s="2"/>
      <x:c r="D15" s="17"/>
      <x:c r="E15" s="2"/>
      <x:c r="F15" s="10"/>
      <x:c r="G15" s="11"/>
      <x:c r="H15" s="2"/>
      <x:c r="I15" s="7"/>
      <x:c r="J15" s="2"/>
      <x:c r="K15" s="2"/>
      <x:c r="L15" s="2"/>
      <x:c r="M15" s="2"/>
      <x:c r="N15" s="11" t="str">
        <x:f>IF(A15="","",IF(AND(ISNUMBER(G15),ISNUMBER(L15),ISNUMBER(M15)),G15+(L15+M15)/1440,""))</x:f>
      </x:c>
      <x:c r="O15" s="2" t="str">
        <x:f>IF(A15="","",IF(OR(N15="",F15=""),"Dados incompletos",IF(OR(I15="pendente",I15="confirmado"),IF(K15="",0,COUNTIFS($F$2:$F$501,F15,$G$2:$G$501,"&lt;"&amp;N15,$N$2:$N$501,"&gt;"&amp;G15,$I$2:$I$501,"pendente",$K$2:$K$501,K15)+COUNTIFS($F$2:$F$501,F15,$G$2:$G$501,"&lt;"&amp;N15,$N$2:$N$501,"&gt;"&amp;G15,$I$2:$I$501,"confirmado",$K$2:$K$501,K15)-1),0)))</x:f>
      </x:c>
      <x:c r="P15" s="2" t="str">
        <x:f>IF(A15="","",IF(OR(N15="",F15=""),"Dados incompletos",IF(OR(I15="pendente",I15="confirmado"),COUNTIFS($F$2:$F$501,F15,$G$2:$G$501,"&lt;"&amp;N15,$N$2:$N$501,"&gt;"&amp;G15,$I$2:$I$501,"pendente",$E$2:$E$501,E15)+COUNTIFS($F$2:$F$501,F15,$G$2:$G$501,"&lt;"&amp;N15,$N$2:$N$501,"&gt;"&amp;G15,$I$2:$I$501,"confirmado",$E$2:$E$501,E15)-1,0)))</x:f>
      </x:c>
    </x:row>
    <x:row r="16" ht="24" customHeight="1">
      <x:c r="A16" s="17"/>
      <x:c r="B16" s="16"/>
      <x:c r="C16" s="2"/>
      <x:c r="D16" s="17"/>
      <x:c r="E16" s="2"/>
      <x:c r="F16" s="10"/>
      <x:c r="G16" s="11"/>
      <x:c r="H16" s="2"/>
      <x:c r="I16" s="7"/>
      <x:c r="J16" s="2"/>
      <x:c r="K16" s="2"/>
      <x:c r="L16" s="2"/>
      <x:c r="M16" s="2"/>
      <x:c r="N16" s="11" t="str">
        <x:f>IF(A16="","",IF(AND(ISNUMBER(G16),ISNUMBER(L16),ISNUMBER(M16)),G16+(L16+M16)/1440,""))</x:f>
      </x:c>
      <x:c r="O16" s="2" t="str">
        <x:f>IF(A16="","",IF(OR(N16="",F16=""),"Dados incompletos",IF(OR(I16="pendente",I16="confirmado"),IF(K16="",0,COUNTIFS($F$2:$F$501,F16,$G$2:$G$501,"&lt;"&amp;N16,$N$2:$N$501,"&gt;"&amp;G16,$I$2:$I$501,"pendente",$K$2:$K$501,K16)+COUNTIFS($F$2:$F$501,F16,$G$2:$G$501,"&lt;"&amp;N16,$N$2:$N$501,"&gt;"&amp;G16,$I$2:$I$501,"confirmado",$K$2:$K$501,K16)-1),0)))</x:f>
      </x:c>
      <x:c r="P16" s="2" t="str">
        <x:f>IF(A16="","",IF(OR(N16="",F16=""),"Dados incompletos",IF(OR(I16="pendente",I16="confirmado"),COUNTIFS($F$2:$F$501,F16,$G$2:$G$501,"&lt;"&amp;N16,$N$2:$N$501,"&gt;"&amp;G16,$I$2:$I$501,"pendente",$E$2:$E$501,E16)+COUNTIFS($F$2:$F$501,F16,$G$2:$G$501,"&lt;"&amp;N16,$N$2:$N$501,"&gt;"&amp;G16,$I$2:$I$501,"confirmado",$E$2:$E$501,E16)-1,0)))</x:f>
      </x:c>
    </x:row>
    <x:row r="17" ht="24" customHeight="1">
      <x:c r="A17" s="17"/>
      <x:c r="B17" s="16"/>
      <x:c r="C17" s="2"/>
      <x:c r="D17" s="17"/>
      <x:c r="E17" s="2"/>
      <x:c r="F17" s="10"/>
      <x:c r="G17" s="11"/>
      <x:c r="H17" s="2"/>
      <x:c r="I17" s="7"/>
      <x:c r="J17" s="2"/>
      <x:c r="K17" s="2"/>
      <x:c r="L17" s="2"/>
      <x:c r="M17" s="2"/>
      <x:c r="N17" s="11" t="str">
        <x:f>IF(A17="","",IF(AND(ISNUMBER(G17),ISNUMBER(L17),ISNUMBER(M17)),G17+(L17+M17)/1440,""))</x:f>
      </x:c>
      <x:c r="O17" s="2" t="str">
        <x:f>IF(A17="","",IF(OR(N17="",F17=""),"Dados incompletos",IF(OR(I17="pendente",I17="confirmado"),IF(K17="",0,COUNTIFS($F$2:$F$501,F17,$G$2:$G$501,"&lt;"&amp;N17,$N$2:$N$501,"&gt;"&amp;G17,$I$2:$I$501,"pendente",$K$2:$K$501,K17)+COUNTIFS($F$2:$F$501,F17,$G$2:$G$501,"&lt;"&amp;N17,$N$2:$N$501,"&gt;"&amp;G17,$I$2:$I$501,"confirmado",$K$2:$K$501,K17)-1),0)))</x:f>
      </x:c>
      <x:c r="P17" s="2" t="str">
        <x:f>IF(A17="","",IF(OR(N17="",F17=""),"Dados incompletos",IF(OR(I17="pendente",I17="confirmado"),COUNTIFS($F$2:$F$501,F17,$G$2:$G$501,"&lt;"&amp;N17,$N$2:$N$501,"&gt;"&amp;G17,$I$2:$I$501,"pendente",$E$2:$E$501,E17)+COUNTIFS($F$2:$F$501,F17,$G$2:$G$501,"&lt;"&amp;N17,$N$2:$N$501,"&gt;"&amp;G17,$I$2:$I$501,"confirmado",$E$2:$E$501,E17)-1,0)))</x:f>
      </x:c>
    </x:row>
    <x:row r="18" ht="24" customHeight="1">
      <x:c r="A18" s="17"/>
      <x:c r="B18" s="16"/>
      <x:c r="C18" s="2"/>
      <x:c r="D18" s="17"/>
      <x:c r="E18" s="2"/>
      <x:c r="F18" s="10"/>
      <x:c r="G18" s="11"/>
      <x:c r="H18" s="2"/>
      <x:c r="I18" s="7"/>
      <x:c r="J18" s="2"/>
      <x:c r="K18" s="2"/>
      <x:c r="L18" s="2"/>
      <x:c r="M18" s="2"/>
      <x:c r="N18" s="11" t="str">
        <x:f>IF(A18="","",IF(AND(ISNUMBER(G18),ISNUMBER(L18),ISNUMBER(M18)),G18+(L18+M18)/1440,""))</x:f>
      </x:c>
      <x:c r="O18" s="2" t="str">
        <x:f>IF(A18="","",IF(OR(N18="",F18=""),"Dados incompletos",IF(OR(I18="pendente",I18="confirmado"),IF(K18="",0,COUNTIFS($F$2:$F$501,F18,$G$2:$G$501,"&lt;"&amp;N18,$N$2:$N$501,"&gt;"&amp;G18,$I$2:$I$501,"pendente",$K$2:$K$501,K18)+COUNTIFS($F$2:$F$501,F18,$G$2:$G$501,"&lt;"&amp;N18,$N$2:$N$501,"&gt;"&amp;G18,$I$2:$I$501,"confirmado",$K$2:$K$501,K18)-1),0)))</x:f>
      </x:c>
      <x:c r="P18" s="2" t="str">
        <x:f>IF(A18="","",IF(OR(N18="",F18=""),"Dados incompletos",IF(OR(I18="pendente",I18="confirmado"),COUNTIFS($F$2:$F$501,F18,$G$2:$G$501,"&lt;"&amp;N18,$N$2:$N$501,"&gt;"&amp;G18,$I$2:$I$501,"pendente",$E$2:$E$501,E18)+COUNTIFS($F$2:$F$501,F18,$G$2:$G$501,"&lt;"&amp;N18,$N$2:$N$501,"&gt;"&amp;G18,$I$2:$I$501,"confirmado",$E$2:$E$501,E18)-1,0)))</x:f>
      </x:c>
    </x:row>
    <x:row r="19" ht="24" customHeight="1">
      <x:c r="A19" s="17"/>
      <x:c r="B19" s="16"/>
      <x:c r="C19" s="2"/>
      <x:c r="D19" s="17"/>
      <x:c r="E19" s="2"/>
      <x:c r="F19" s="10"/>
      <x:c r="G19" s="11"/>
      <x:c r="H19" s="2"/>
      <x:c r="I19" s="7"/>
      <x:c r="J19" s="2"/>
      <x:c r="K19" s="2"/>
      <x:c r="L19" s="2"/>
      <x:c r="M19" s="2"/>
      <x:c r="N19" s="11" t="str">
        <x:f>IF(A19="","",IF(AND(ISNUMBER(G19),ISNUMBER(L19),ISNUMBER(M19)),G19+(L19+M19)/1440,""))</x:f>
      </x:c>
      <x:c r="O19" s="2" t="str">
        <x:f>IF(A19="","",IF(OR(N19="",F19=""),"Dados incompletos",IF(OR(I19="pendente",I19="confirmado"),IF(K19="",0,COUNTIFS($F$2:$F$501,F19,$G$2:$G$501,"&lt;"&amp;N19,$N$2:$N$501,"&gt;"&amp;G19,$I$2:$I$501,"pendente",$K$2:$K$501,K19)+COUNTIFS($F$2:$F$501,F19,$G$2:$G$501,"&lt;"&amp;N19,$N$2:$N$501,"&gt;"&amp;G19,$I$2:$I$501,"confirmado",$K$2:$K$501,K19)-1),0)))</x:f>
      </x:c>
      <x:c r="P19" s="2" t="str">
        <x:f>IF(A19="","",IF(OR(N19="",F19=""),"Dados incompletos",IF(OR(I19="pendente",I19="confirmado"),COUNTIFS($F$2:$F$501,F19,$G$2:$G$501,"&lt;"&amp;N19,$N$2:$N$501,"&gt;"&amp;G19,$I$2:$I$501,"pendente",$E$2:$E$501,E19)+COUNTIFS($F$2:$F$501,F19,$G$2:$G$501,"&lt;"&amp;N19,$N$2:$N$501,"&gt;"&amp;G19,$I$2:$I$501,"confirmado",$E$2:$E$501,E19)-1,0)))</x:f>
      </x:c>
    </x:row>
    <x:row r="20" ht="24" customHeight="1">
      <x:c r="A20" s="17"/>
      <x:c r="B20" s="16"/>
      <x:c r="C20" s="2"/>
      <x:c r="D20" s="17"/>
      <x:c r="E20" s="2"/>
      <x:c r="F20" s="10"/>
      <x:c r="G20" s="11"/>
      <x:c r="H20" s="2"/>
      <x:c r="I20" s="7"/>
      <x:c r="J20" s="2"/>
      <x:c r="K20" s="2"/>
      <x:c r="L20" s="2"/>
      <x:c r="M20" s="2"/>
      <x:c r="N20" s="11" t="str">
        <x:f>IF(A20="","",IF(AND(ISNUMBER(G20),ISNUMBER(L20),ISNUMBER(M20)),G20+(L20+M20)/1440,""))</x:f>
      </x:c>
      <x:c r="O20" s="2" t="str">
        <x:f>IF(A20="","",IF(OR(N20="",F20=""),"Dados incompletos",IF(OR(I20="pendente",I20="confirmado"),IF(K20="",0,COUNTIFS($F$2:$F$501,F20,$G$2:$G$501,"&lt;"&amp;N20,$N$2:$N$501,"&gt;"&amp;G20,$I$2:$I$501,"pendente",$K$2:$K$501,K20)+COUNTIFS($F$2:$F$501,F20,$G$2:$G$501,"&lt;"&amp;N20,$N$2:$N$501,"&gt;"&amp;G20,$I$2:$I$501,"confirmado",$K$2:$K$501,K20)-1),0)))</x:f>
      </x:c>
      <x:c r="P20" s="2" t="str">
        <x:f>IF(A20="","",IF(OR(N20="",F20=""),"Dados incompletos",IF(OR(I20="pendente",I20="confirmado"),COUNTIFS($F$2:$F$501,F20,$G$2:$G$501,"&lt;"&amp;N20,$N$2:$N$501,"&gt;"&amp;G20,$I$2:$I$501,"pendente",$E$2:$E$501,E20)+COUNTIFS($F$2:$F$501,F20,$G$2:$G$501,"&lt;"&amp;N20,$N$2:$N$501,"&gt;"&amp;G20,$I$2:$I$501,"confirmado",$E$2:$E$501,E20)-1,0)))</x:f>
      </x:c>
    </x:row>
    <x:row r="21" ht="24" customHeight="1">
      <x:c r="A21" s="17"/>
      <x:c r="B21" s="16"/>
      <x:c r="C21" s="2"/>
      <x:c r="D21" s="17"/>
      <x:c r="E21" s="2"/>
      <x:c r="F21" s="10"/>
      <x:c r="G21" s="11"/>
      <x:c r="H21" s="2"/>
      <x:c r="I21" s="7"/>
      <x:c r="J21" s="2"/>
      <x:c r="K21" s="2"/>
      <x:c r="L21" s="2"/>
      <x:c r="M21" s="2"/>
      <x:c r="N21" s="11" t="str">
        <x:f>IF(A21="","",IF(AND(ISNUMBER(G21),ISNUMBER(L21),ISNUMBER(M21)),G21+(L21+M21)/1440,""))</x:f>
      </x:c>
      <x:c r="O21" s="2" t="str">
        <x:f>IF(A21="","",IF(OR(N21="",F21=""),"Dados incompletos",IF(OR(I21="pendente",I21="confirmado"),IF(K21="",0,COUNTIFS($F$2:$F$501,F21,$G$2:$G$501,"&lt;"&amp;N21,$N$2:$N$501,"&gt;"&amp;G21,$I$2:$I$501,"pendente",$K$2:$K$501,K21)+COUNTIFS($F$2:$F$501,F21,$G$2:$G$501,"&lt;"&amp;N21,$N$2:$N$501,"&gt;"&amp;G21,$I$2:$I$501,"confirmado",$K$2:$K$501,K21)-1),0)))</x:f>
      </x:c>
      <x:c r="P21" s="2" t="str">
        <x:f>IF(A21="","",IF(OR(N21="",F21=""),"Dados incompletos",IF(OR(I21="pendente",I21="confirmado"),COUNTIFS($F$2:$F$501,F21,$G$2:$G$501,"&lt;"&amp;N21,$N$2:$N$501,"&gt;"&amp;G21,$I$2:$I$501,"pendente",$E$2:$E$501,E21)+COUNTIFS($F$2:$F$501,F21,$G$2:$G$501,"&lt;"&amp;N21,$N$2:$N$501,"&gt;"&amp;G21,$I$2:$I$501,"confirmado",$E$2:$E$501,E21)-1,0)))</x:f>
      </x:c>
    </x:row>
    <x:row r="22" ht="24" customHeight="1">
      <x:c r="A22" s="17"/>
      <x:c r="B22" s="16"/>
      <x:c r="C22" s="2"/>
      <x:c r="D22" s="17"/>
      <x:c r="E22" s="2"/>
      <x:c r="F22" s="10"/>
      <x:c r="G22" s="11"/>
      <x:c r="H22" s="2"/>
      <x:c r="I22" s="7"/>
      <x:c r="J22" s="2"/>
      <x:c r="K22" s="2"/>
      <x:c r="L22" s="2"/>
      <x:c r="M22" s="2"/>
      <x:c r="N22" s="11" t="str">
        <x:f>IF(A22="","",IF(AND(ISNUMBER(G22),ISNUMBER(L22),ISNUMBER(M22)),G22+(L22+M22)/1440,""))</x:f>
      </x:c>
      <x:c r="O22" s="2" t="str">
        <x:f>IF(A22="","",IF(OR(N22="",F22=""),"Dados incompletos",IF(OR(I22="pendente",I22="confirmado"),IF(K22="",0,COUNTIFS($F$2:$F$501,F22,$G$2:$G$501,"&lt;"&amp;N22,$N$2:$N$501,"&gt;"&amp;G22,$I$2:$I$501,"pendente",$K$2:$K$501,K22)+COUNTIFS($F$2:$F$501,F22,$G$2:$G$501,"&lt;"&amp;N22,$N$2:$N$501,"&gt;"&amp;G22,$I$2:$I$501,"confirmado",$K$2:$K$501,K22)-1),0)))</x:f>
      </x:c>
      <x:c r="P22" s="2" t="str">
        <x:f>IF(A22="","",IF(OR(N22="",F22=""),"Dados incompletos",IF(OR(I22="pendente",I22="confirmado"),COUNTIFS($F$2:$F$501,F22,$G$2:$G$501,"&lt;"&amp;N22,$N$2:$N$501,"&gt;"&amp;G22,$I$2:$I$501,"pendente",$E$2:$E$501,E22)+COUNTIFS($F$2:$F$501,F22,$G$2:$G$501,"&lt;"&amp;N22,$N$2:$N$501,"&gt;"&amp;G22,$I$2:$I$501,"confirmado",$E$2:$E$501,E22)-1,0)))</x:f>
      </x:c>
    </x:row>
    <x:row r="23" ht="24" customHeight="1">
      <x:c r="A23" s="17"/>
      <x:c r="B23" s="16"/>
      <x:c r="C23" s="2"/>
      <x:c r="D23" s="17"/>
      <x:c r="E23" s="2"/>
      <x:c r="F23" s="10"/>
      <x:c r="G23" s="11"/>
      <x:c r="H23" s="2"/>
      <x:c r="I23" s="7"/>
      <x:c r="J23" s="2"/>
      <x:c r="K23" s="2"/>
      <x:c r="L23" s="2"/>
      <x:c r="M23" s="2"/>
      <x:c r="N23" s="11" t="str">
        <x:f>IF(A23="","",IF(AND(ISNUMBER(G23),ISNUMBER(L23),ISNUMBER(M23)),G23+(L23+M23)/1440,""))</x:f>
      </x:c>
      <x:c r="O23" s="2" t="str">
        <x:f>IF(A23="","",IF(OR(N23="",F23=""),"Dados incompletos",IF(OR(I23="pendente",I23="confirmado"),IF(K23="",0,COUNTIFS($F$2:$F$501,F23,$G$2:$G$501,"&lt;"&amp;N23,$N$2:$N$501,"&gt;"&amp;G23,$I$2:$I$501,"pendente",$K$2:$K$501,K23)+COUNTIFS($F$2:$F$501,F23,$G$2:$G$501,"&lt;"&amp;N23,$N$2:$N$501,"&gt;"&amp;G23,$I$2:$I$501,"confirmado",$K$2:$K$501,K23)-1),0)))</x:f>
      </x:c>
      <x:c r="P23" s="2" t="str">
        <x:f>IF(A23="","",IF(OR(N23="",F23=""),"Dados incompletos",IF(OR(I23="pendente",I23="confirmado"),COUNTIFS($F$2:$F$501,F23,$G$2:$G$501,"&lt;"&amp;N23,$N$2:$N$501,"&gt;"&amp;G23,$I$2:$I$501,"pendente",$E$2:$E$501,E23)+COUNTIFS($F$2:$F$501,F23,$G$2:$G$501,"&lt;"&amp;N23,$N$2:$N$501,"&gt;"&amp;G23,$I$2:$I$501,"confirmado",$E$2:$E$501,E23)-1,0)))</x:f>
      </x:c>
    </x:row>
    <x:row r="24" ht="24" customHeight="1">
      <x:c r="A24" s="17"/>
      <x:c r="B24" s="16"/>
      <x:c r="C24" s="2"/>
      <x:c r="D24" s="17"/>
      <x:c r="E24" s="2"/>
      <x:c r="F24" s="10"/>
      <x:c r="G24" s="11"/>
      <x:c r="H24" s="2"/>
      <x:c r="I24" s="7"/>
      <x:c r="J24" s="2"/>
      <x:c r="K24" s="2"/>
      <x:c r="L24" s="2"/>
      <x:c r="M24" s="2"/>
      <x:c r="N24" s="11" t="str">
        <x:f>IF(A24="","",IF(AND(ISNUMBER(G24),ISNUMBER(L24),ISNUMBER(M24)),G24+(L24+M24)/1440,""))</x:f>
      </x:c>
      <x:c r="O24" s="2" t="str">
        <x:f>IF(A24="","",IF(OR(N24="",F24=""),"Dados incompletos",IF(OR(I24="pendente",I24="confirmado"),IF(K24="",0,COUNTIFS($F$2:$F$501,F24,$G$2:$G$501,"&lt;"&amp;N24,$N$2:$N$501,"&gt;"&amp;G24,$I$2:$I$501,"pendente",$K$2:$K$501,K24)+COUNTIFS($F$2:$F$501,F24,$G$2:$G$501,"&lt;"&amp;N24,$N$2:$N$501,"&gt;"&amp;G24,$I$2:$I$501,"confirmado",$K$2:$K$501,K24)-1),0)))</x:f>
      </x:c>
      <x:c r="P24" s="2" t="str">
        <x:f>IF(A24="","",IF(OR(N24="",F24=""),"Dados incompletos",IF(OR(I24="pendente",I24="confirmado"),COUNTIFS($F$2:$F$501,F24,$G$2:$G$501,"&lt;"&amp;N24,$N$2:$N$501,"&gt;"&amp;G24,$I$2:$I$501,"pendente",$E$2:$E$501,E24)+COUNTIFS($F$2:$F$501,F24,$G$2:$G$501,"&lt;"&amp;N24,$N$2:$N$501,"&gt;"&amp;G24,$I$2:$I$501,"confirmado",$E$2:$E$501,E24)-1,0)))</x:f>
      </x:c>
    </x:row>
    <x:row r="25" ht="24" customHeight="1">
      <x:c r="A25" s="17"/>
      <x:c r="B25" s="16"/>
      <x:c r="C25" s="2"/>
      <x:c r="D25" s="17"/>
      <x:c r="E25" s="2"/>
      <x:c r="F25" s="10"/>
      <x:c r="G25" s="11"/>
      <x:c r="H25" s="2"/>
      <x:c r="I25" s="7"/>
      <x:c r="J25" s="2"/>
      <x:c r="K25" s="2"/>
      <x:c r="L25" s="2"/>
      <x:c r="M25" s="2"/>
      <x:c r="N25" s="11" t="str">
        <x:f>IF(A25="","",IF(AND(ISNUMBER(G25),ISNUMBER(L25),ISNUMBER(M25)),G25+(L25+M25)/1440,""))</x:f>
      </x:c>
      <x:c r="O25" s="2" t="str">
        <x:f>IF(A25="","",IF(OR(N25="",F25=""),"Dados incompletos",IF(OR(I25="pendente",I25="confirmado"),IF(K25="",0,COUNTIFS($F$2:$F$501,F25,$G$2:$G$501,"&lt;"&amp;N25,$N$2:$N$501,"&gt;"&amp;G25,$I$2:$I$501,"pendente",$K$2:$K$501,K25)+COUNTIFS($F$2:$F$501,F25,$G$2:$G$501,"&lt;"&amp;N25,$N$2:$N$501,"&gt;"&amp;G25,$I$2:$I$501,"confirmado",$K$2:$K$501,K25)-1),0)))</x:f>
      </x:c>
      <x:c r="P25" s="2" t="str">
        <x:f>IF(A25="","",IF(OR(N25="",F25=""),"Dados incompletos",IF(OR(I25="pendente",I25="confirmado"),COUNTIFS($F$2:$F$501,F25,$G$2:$G$501,"&lt;"&amp;N25,$N$2:$N$501,"&gt;"&amp;G25,$I$2:$I$501,"pendente",$E$2:$E$501,E25)+COUNTIFS($F$2:$F$501,F25,$G$2:$G$501,"&lt;"&amp;N25,$N$2:$N$501,"&gt;"&amp;G25,$I$2:$I$501,"confirmado",$E$2:$E$501,E25)-1,0)))</x:f>
      </x:c>
    </x:row>
    <x:row r="26" ht="24" customHeight="1">
      <x:c r="A26" s="17"/>
      <x:c r="B26" s="16"/>
      <x:c r="C26" s="2"/>
      <x:c r="D26" s="17"/>
      <x:c r="E26" s="2"/>
      <x:c r="F26" s="10"/>
      <x:c r="G26" s="11"/>
      <x:c r="H26" s="2"/>
      <x:c r="I26" s="7"/>
      <x:c r="J26" s="2"/>
      <x:c r="K26" s="2"/>
      <x:c r="L26" s="2"/>
      <x:c r="M26" s="2"/>
      <x:c r="N26" s="11" t="str">
        <x:f>IF(A26="","",IF(AND(ISNUMBER(G26),ISNUMBER(L26),ISNUMBER(M26)),G26+(L26+M26)/1440,""))</x:f>
      </x:c>
      <x:c r="O26" s="2" t="str">
        <x:f>IF(A26="","",IF(OR(N26="",F26=""),"Dados incompletos",IF(OR(I26="pendente",I26="confirmado"),IF(K26="",0,COUNTIFS($F$2:$F$501,F26,$G$2:$G$501,"&lt;"&amp;N26,$N$2:$N$501,"&gt;"&amp;G26,$I$2:$I$501,"pendente",$K$2:$K$501,K26)+COUNTIFS($F$2:$F$501,F26,$G$2:$G$501,"&lt;"&amp;N26,$N$2:$N$501,"&gt;"&amp;G26,$I$2:$I$501,"confirmado",$K$2:$K$501,K26)-1),0)))</x:f>
      </x:c>
      <x:c r="P26" s="2" t="str">
        <x:f>IF(A26="","",IF(OR(N26="",F26=""),"Dados incompletos",IF(OR(I26="pendente",I26="confirmado"),COUNTIFS($F$2:$F$501,F26,$G$2:$G$501,"&lt;"&amp;N26,$N$2:$N$501,"&gt;"&amp;G26,$I$2:$I$501,"pendente",$E$2:$E$501,E26)+COUNTIFS($F$2:$F$501,F26,$G$2:$G$501,"&lt;"&amp;N26,$N$2:$N$501,"&gt;"&amp;G26,$I$2:$I$501,"confirmado",$E$2:$E$501,E26)-1,0)))</x:f>
      </x:c>
    </x:row>
    <x:row r="27" ht="24" customHeight="1">
      <x:c r="A27" s="17"/>
      <x:c r="B27" s="16"/>
      <x:c r="C27" s="2"/>
      <x:c r="D27" s="17"/>
      <x:c r="E27" s="2"/>
      <x:c r="F27" s="10"/>
      <x:c r="G27" s="11"/>
      <x:c r="H27" s="2"/>
      <x:c r="I27" s="7"/>
      <x:c r="J27" s="2"/>
      <x:c r="K27" s="2"/>
      <x:c r="L27" s="2"/>
      <x:c r="M27" s="2"/>
      <x:c r="N27" s="11" t="str">
        <x:f>IF(A27="","",IF(AND(ISNUMBER(G27),ISNUMBER(L27),ISNUMBER(M27)),G27+(L27+M27)/1440,""))</x:f>
      </x:c>
      <x:c r="O27" s="2" t="str">
        <x:f>IF(A27="","",IF(OR(N27="",F27=""),"Dados incompletos",IF(OR(I27="pendente",I27="confirmado"),IF(K27="",0,COUNTIFS($F$2:$F$501,F27,$G$2:$G$501,"&lt;"&amp;N27,$N$2:$N$501,"&gt;"&amp;G27,$I$2:$I$501,"pendente",$K$2:$K$501,K27)+COUNTIFS($F$2:$F$501,F27,$G$2:$G$501,"&lt;"&amp;N27,$N$2:$N$501,"&gt;"&amp;G27,$I$2:$I$501,"confirmado",$K$2:$K$501,K27)-1),0)))</x:f>
      </x:c>
      <x:c r="P27" s="2" t="str">
        <x:f>IF(A27="","",IF(OR(N27="",F27=""),"Dados incompletos",IF(OR(I27="pendente",I27="confirmado"),COUNTIFS($F$2:$F$501,F27,$G$2:$G$501,"&lt;"&amp;N27,$N$2:$N$501,"&gt;"&amp;G27,$I$2:$I$501,"pendente",$E$2:$E$501,E27)+COUNTIFS($F$2:$F$501,F27,$G$2:$G$501,"&lt;"&amp;N27,$N$2:$N$501,"&gt;"&amp;G27,$I$2:$I$501,"confirmado",$E$2:$E$501,E27)-1,0)))</x:f>
      </x:c>
    </x:row>
    <x:row r="28" ht="24" customHeight="1">
      <x:c r="A28" s="17"/>
      <x:c r="B28" s="16"/>
      <x:c r="C28" s="2"/>
      <x:c r="D28" s="17"/>
      <x:c r="E28" s="2"/>
      <x:c r="F28" s="10"/>
      <x:c r="G28" s="11"/>
      <x:c r="H28" s="2"/>
      <x:c r="I28" s="7"/>
      <x:c r="J28" s="2"/>
      <x:c r="K28" s="2"/>
      <x:c r="L28" s="2"/>
      <x:c r="M28" s="2"/>
      <x:c r="N28" s="11" t="str">
        <x:f>IF(A28="","",IF(AND(ISNUMBER(G28),ISNUMBER(L28),ISNUMBER(M28)),G28+(L28+M28)/1440,""))</x:f>
      </x:c>
      <x:c r="O28" s="2" t="str">
        <x:f>IF(A28="","",IF(OR(N28="",F28=""),"Dados incompletos",IF(OR(I28="pendente",I28="confirmado"),IF(K28="",0,COUNTIFS($F$2:$F$501,F28,$G$2:$G$501,"&lt;"&amp;N28,$N$2:$N$501,"&gt;"&amp;G28,$I$2:$I$501,"pendente",$K$2:$K$501,K28)+COUNTIFS($F$2:$F$501,F28,$G$2:$G$501,"&lt;"&amp;N28,$N$2:$N$501,"&gt;"&amp;G28,$I$2:$I$501,"confirmado",$K$2:$K$501,K28)-1),0)))</x:f>
      </x:c>
      <x:c r="P28" s="2" t="str">
        <x:f>IF(A28="","",IF(OR(N28="",F28=""),"Dados incompletos",IF(OR(I28="pendente",I28="confirmado"),COUNTIFS($F$2:$F$501,F28,$G$2:$G$501,"&lt;"&amp;N28,$N$2:$N$501,"&gt;"&amp;G28,$I$2:$I$501,"pendente",$E$2:$E$501,E28)+COUNTIFS($F$2:$F$501,F28,$G$2:$G$501,"&lt;"&amp;N28,$N$2:$N$501,"&gt;"&amp;G28,$I$2:$I$501,"confirmado",$E$2:$E$501,E28)-1,0)))</x:f>
      </x:c>
    </x:row>
    <x:row r="29" ht="24" customHeight="1">
      <x:c r="A29" s="17"/>
      <x:c r="B29" s="16"/>
      <x:c r="C29" s="2"/>
      <x:c r="D29" s="17"/>
      <x:c r="E29" s="2"/>
      <x:c r="F29" s="10"/>
      <x:c r="G29" s="11"/>
      <x:c r="H29" s="2"/>
      <x:c r="I29" s="7"/>
      <x:c r="J29" s="2"/>
      <x:c r="K29" s="2"/>
      <x:c r="L29" s="2"/>
      <x:c r="M29" s="2"/>
      <x:c r="N29" s="11" t="str">
        <x:f>IF(A29="","",IF(AND(ISNUMBER(G29),ISNUMBER(L29),ISNUMBER(M29)),G29+(L29+M29)/1440,""))</x:f>
      </x:c>
      <x:c r="O29" s="2" t="str">
        <x:f>IF(A29="","",IF(OR(N29="",F29=""),"Dados incompletos",IF(OR(I29="pendente",I29="confirmado"),IF(K29="",0,COUNTIFS($F$2:$F$501,F29,$G$2:$G$501,"&lt;"&amp;N29,$N$2:$N$501,"&gt;"&amp;G29,$I$2:$I$501,"pendente",$K$2:$K$501,K29)+COUNTIFS($F$2:$F$501,F29,$G$2:$G$501,"&lt;"&amp;N29,$N$2:$N$501,"&gt;"&amp;G29,$I$2:$I$501,"confirmado",$K$2:$K$501,K29)-1),0)))</x:f>
      </x:c>
      <x:c r="P29" s="2" t="str">
        <x:f>IF(A29="","",IF(OR(N29="",F29=""),"Dados incompletos",IF(OR(I29="pendente",I29="confirmado"),COUNTIFS($F$2:$F$501,F29,$G$2:$G$501,"&lt;"&amp;N29,$N$2:$N$501,"&gt;"&amp;G29,$I$2:$I$501,"pendente",$E$2:$E$501,E29)+COUNTIFS($F$2:$F$501,F29,$G$2:$G$501,"&lt;"&amp;N29,$N$2:$N$501,"&gt;"&amp;G29,$I$2:$I$501,"confirmado",$E$2:$E$501,E29)-1,0)))</x:f>
      </x:c>
    </x:row>
    <x:row r="30" ht="24" customHeight="1">
      <x:c r="A30" s="17"/>
      <x:c r="B30" s="16"/>
      <x:c r="C30" s="2"/>
      <x:c r="D30" s="17"/>
      <x:c r="E30" s="2"/>
      <x:c r="F30" s="10"/>
      <x:c r="G30" s="11"/>
      <x:c r="H30" s="2"/>
      <x:c r="I30" s="7"/>
      <x:c r="J30" s="2"/>
      <x:c r="K30" s="2"/>
      <x:c r="L30" s="2"/>
      <x:c r="M30" s="2"/>
      <x:c r="N30" s="11" t="str">
        <x:f>IF(A30="","",IF(AND(ISNUMBER(G30),ISNUMBER(L30),ISNUMBER(M30)),G30+(L30+M30)/1440,""))</x:f>
      </x:c>
      <x:c r="O30" s="2" t="str">
        <x:f>IF(A30="","",IF(OR(N30="",F30=""),"Dados incompletos",IF(OR(I30="pendente",I30="confirmado"),IF(K30="",0,COUNTIFS($F$2:$F$501,F30,$G$2:$G$501,"&lt;"&amp;N30,$N$2:$N$501,"&gt;"&amp;G30,$I$2:$I$501,"pendente",$K$2:$K$501,K30)+COUNTIFS($F$2:$F$501,F30,$G$2:$G$501,"&lt;"&amp;N30,$N$2:$N$501,"&gt;"&amp;G30,$I$2:$I$501,"confirmado",$K$2:$K$501,K30)-1),0)))</x:f>
      </x:c>
      <x:c r="P30" s="2" t="str">
        <x:f>IF(A30="","",IF(OR(N30="",F30=""),"Dados incompletos",IF(OR(I30="pendente",I30="confirmado"),COUNTIFS($F$2:$F$501,F30,$G$2:$G$501,"&lt;"&amp;N30,$N$2:$N$501,"&gt;"&amp;G30,$I$2:$I$501,"pendente",$E$2:$E$501,E30)+COUNTIFS($F$2:$F$501,F30,$G$2:$G$501,"&lt;"&amp;N30,$N$2:$N$501,"&gt;"&amp;G30,$I$2:$I$501,"confirmado",$E$2:$E$501,E30)-1,0)))</x:f>
      </x:c>
    </x:row>
    <x:row r="31" ht="24" customHeight="1">
      <x:c r="A31" s="17"/>
      <x:c r="B31" s="16"/>
      <x:c r="C31" s="2"/>
      <x:c r="D31" s="17"/>
      <x:c r="E31" s="2"/>
      <x:c r="F31" s="10"/>
      <x:c r="G31" s="11"/>
      <x:c r="H31" s="2"/>
      <x:c r="I31" s="7"/>
      <x:c r="J31" s="2"/>
      <x:c r="K31" s="2"/>
      <x:c r="L31" s="2"/>
      <x:c r="M31" s="2"/>
      <x:c r="N31" s="11" t="str">
        <x:f>IF(A31="","",IF(AND(ISNUMBER(G31),ISNUMBER(L31),ISNUMBER(M31)),G31+(L31+M31)/1440,""))</x:f>
      </x:c>
      <x:c r="O31" s="2" t="str">
        <x:f>IF(A31="","",IF(OR(N31="",F31=""),"Dados incompletos",IF(OR(I31="pendente",I31="confirmado"),IF(K31="",0,COUNTIFS($F$2:$F$501,F31,$G$2:$G$501,"&lt;"&amp;N31,$N$2:$N$501,"&gt;"&amp;G31,$I$2:$I$501,"pendente",$K$2:$K$501,K31)+COUNTIFS($F$2:$F$501,F31,$G$2:$G$501,"&lt;"&amp;N31,$N$2:$N$501,"&gt;"&amp;G31,$I$2:$I$501,"confirmado",$K$2:$K$501,K31)-1),0)))</x:f>
      </x:c>
      <x:c r="P31" s="2" t="str">
        <x:f>IF(A31="","",IF(OR(N31="",F31=""),"Dados incompletos",IF(OR(I31="pendente",I31="confirmado"),COUNTIFS($F$2:$F$501,F31,$G$2:$G$501,"&lt;"&amp;N31,$N$2:$N$501,"&gt;"&amp;G31,$I$2:$I$501,"pendente",$E$2:$E$501,E31)+COUNTIFS($F$2:$F$501,F31,$G$2:$G$501,"&lt;"&amp;N31,$N$2:$N$501,"&gt;"&amp;G31,$I$2:$I$501,"confirmado",$E$2:$E$501,E31)-1,0)))</x:f>
      </x:c>
    </x:row>
    <x:row r="32" ht="24" customHeight="1">
      <x:c r="A32" s="17"/>
      <x:c r="B32" s="16"/>
      <x:c r="C32" s="2"/>
      <x:c r="D32" s="17"/>
      <x:c r="E32" s="2"/>
      <x:c r="F32" s="10"/>
      <x:c r="G32" s="11"/>
      <x:c r="H32" s="2"/>
      <x:c r="I32" s="7"/>
      <x:c r="J32" s="2"/>
      <x:c r="K32" s="2"/>
      <x:c r="L32" s="2"/>
      <x:c r="M32" s="2"/>
      <x:c r="N32" s="11" t="str">
        <x:f>IF(A32="","",IF(AND(ISNUMBER(G32),ISNUMBER(L32),ISNUMBER(M32)),G32+(L32+M32)/1440,""))</x:f>
      </x:c>
      <x:c r="O32" s="2" t="str">
        <x:f>IF(A32="","",IF(OR(N32="",F32=""),"Dados incompletos",IF(OR(I32="pendente",I32="confirmado"),IF(K32="",0,COUNTIFS($F$2:$F$501,F32,$G$2:$G$501,"&lt;"&amp;N32,$N$2:$N$501,"&gt;"&amp;G32,$I$2:$I$501,"pendente",$K$2:$K$501,K32)+COUNTIFS($F$2:$F$501,F32,$G$2:$G$501,"&lt;"&amp;N32,$N$2:$N$501,"&gt;"&amp;G32,$I$2:$I$501,"confirmado",$K$2:$K$501,K32)-1),0)))</x:f>
      </x:c>
      <x:c r="P32" s="2" t="str">
        <x:f>IF(A32="","",IF(OR(N32="",F32=""),"Dados incompletos",IF(OR(I32="pendente",I32="confirmado"),COUNTIFS($F$2:$F$501,F32,$G$2:$G$501,"&lt;"&amp;N32,$N$2:$N$501,"&gt;"&amp;G32,$I$2:$I$501,"pendente",$E$2:$E$501,E32)+COUNTIFS($F$2:$F$501,F32,$G$2:$G$501,"&lt;"&amp;N32,$N$2:$N$501,"&gt;"&amp;G32,$I$2:$I$501,"confirmado",$E$2:$E$501,E32)-1,0)))</x:f>
      </x:c>
    </x:row>
    <x:row r="33" ht="24" customHeight="1">
      <x:c r="A33" s="17"/>
      <x:c r="B33" s="16"/>
      <x:c r="C33" s="2"/>
      <x:c r="D33" s="17"/>
      <x:c r="E33" s="2"/>
      <x:c r="F33" s="10"/>
      <x:c r="G33" s="11"/>
      <x:c r="H33" s="2"/>
      <x:c r="I33" s="7"/>
      <x:c r="J33" s="2"/>
      <x:c r="K33" s="2"/>
      <x:c r="L33" s="2"/>
      <x:c r="M33" s="2"/>
      <x:c r="N33" s="11" t="str">
        <x:f>IF(A33="","",IF(AND(ISNUMBER(G33),ISNUMBER(L33),ISNUMBER(M33)),G33+(L33+M33)/1440,""))</x:f>
      </x:c>
      <x:c r="O33" s="2" t="str">
        <x:f>IF(A33="","",IF(OR(N33="",F33=""),"Dados incompletos",IF(OR(I33="pendente",I33="confirmado"),IF(K33="",0,COUNTIFS($F$2:$F$501,F33,$G$2:$G$501,"&lt;"&amp;N33,$N$2:$N$501,"&gt;"&amp;G33,$I$2:$I$501,"pendente",$K$2:$K$501,K33)+COUNTIFS($F$2:$F$501,F33,$G$2:$G$501,"&lt;"&amp;N33,$N$2:$N$501,"&gt;"&amp;G33,$I$2:$I$501,"confirmado",$K$2:$K$501,K33)-1),0)))</x:f>
      </x:c>
      <x:c r="P33" s="2" t="str">
        <x:f>IF(A33="","",IF(OR(N33="",F33=""),"Dados incompletos",IF(OR(I33="pendente",I33="confirmado"),COUNTIFS($F$2:$F$501,F33,$G$2:$G$501,"&lt;"&amp;N33,$N$2:$N$501,"&gt;"&amp;G33,$I$2:$I$501,"pendente",$E$2:$E$501,E33)+COUNTIFS($F$2:$F$501,F33,$G$2:$G$501,"&lt;"&amp;N33,$N$2:$N$501,"&gt;"&amp;G33,$I$2:$I$501,"confirmado",$E$2:$E$501,E33)-1,0)))</x:f>
      </x:c>
    </x:row>
    <x:row r="34" ht="24" customHeight="1">
      <x:c r="A34" s="17"/>
      <x:c r="B34" s="16"/>
      <x:c r="C34" s="2"/>
      <x:c r="D34" s="17"/>
      <x:c r="E34" s="2"/>
      <x:c r="F34" s="10"/>
      <x:c r="G34" s="11"/>
      <x:c r="H34" s="2"/>
      <x:c r="I34" s="7"/>
      <x:c r="J34" s="2"/>
      <x:c r="K34" s="2"/>
      <x:c r="L34" s="2"/>
      <x:c r="M34" s="2"/>
      <x:c r="N34" s="11" t="str">
        <x:f>IF(A34="","",IF(AND(ISNUMBER(G34),ISNUMBER(L34),ISNUMBER(M34)),G34+(L34+M34)/1440,""))</x:f>
      </x:c>
      <x:c r="O34" s="2" t="str">
        <x:f>IF(A34="","",IF(OR(N34="",F34=""),"Dados incompletos",IF(OR(I34="pendente",I34="confirmado"),IF(K34="",0,COUNTIFS($F$2:$F$501,F34,$G$2:$G$501,"&lt;"&amp;N34,$N$2:$N$501,"&gt;"&amp;G34,$I$2:$I$501,"pendente",$K$2:$K$501,K34)+COUNTIFS($F$2:$F$501,F34,$G$2:$G$501,"&lt;"&amp;N34,$N$2:$N$501,"&gt;"&amp;G34,$I$2:$I$501,"confirmado",$K$2:$K$501,K34)-1),0)))</x:f>
      </x:c>
      <x:c r="P34" s="2" t="str">
        <x:f>IF(A34="","",IF(OR(N34="",F34=""),"Dados incompletos",IF(OR(I34="pendente",I34="confirmado"),COUNTIFS($F$2:$F$501,F34,$G$2:$G$501,"&lt;"&amp;N34,$N$2:$N$501,"&gt;"&amp;G34,$I$2:$I$501,"pendente",$E$2:$E$501,E34)+COUNTIFS($F$2:$F$501,F34,$G$2:$G$501,"&lt;"&amp;N34,$N$2:$N$501,"&gt;"&amp;G34,$I$2:$I$501,"confirmado",$E$2:$E$501,E34)-1,0)))</x:f>
      </x:c>
    </x:row>
    <x:row r="35" ht="24" customHeight="1">
      <x:c r="A35" s="17"/>
      <x:c r="B35" s="16"/>
      <x:c r="C35" s="2"/>
      <x:c r="D35" s="17"/>
      <x:c r="E35" s="2"/>
      <x:c r="F35" s="10"/>
      <x:c r="G35" s="11"/>
      <x:c r="H35" s="2"/>
      <x:c r="I35" s="7"/>
      <x:c r="J35" s="2"/>
      <x:c r="K35" s="2"/>
      <x:c r="L35" s="2"/>
      <x:c r="M35" s="2"/>
      <x:c r="N35" s="11" t="str">
        <x:f>IF(A35="","",IF(AND(ISNUMBER(G35),ISNUMBER(L35),ISNUMBER(M35)),G35+(L35+M35)/1440,""))</x:f>
      </x:c>
      <x:c r="O35" s="2" t="str">
        <x:f>IF(A35="","",IF(OR(N35="",F35=""),"Dados incompletos",IF(OR(I35="pendente",I35="confirmado"),IF(K35="",0,COUNTIFS($F$2:$F$501,F35,$G$2:$G$501,"&lt;"&amp;N35,$N$2:$N$501,"&gt;"&amp;G35,$I$2:$I$501,"pendente",$K$2:$K$501,K35)+COUNTIFS($F$2:$F$501,F35,$G$2:$G$501,"&lt;"&amp;N35,$N$2:$N$501,"&gt;"&amp;G35,$I$2:$I$501,"confirmado",$K$2:$K$501,K35)-1),0)))</x:f>
      </x:c>
      <x:c r="P35" s="2" t="str">
        <x:f>IF(A35="","",IF(OR(N35="",F35=""),"Dados incompletos",IF(OR(I35="pendente",I35="confirmado"),COUNTIFS($F$2:$F$501,F35,$G$2:$G$501,"&lt;"&amp;N35,$N$2:$N$501,"&gt;"&amp;G35,$I$2:$I$501,"pendente",$E$2:$E$501,E35)+COUNTIFS($F$2:$F$501,F35,$G$2:$G$501,"&lt;"&amp;N35,$N$2:$N$501,"&gt;"&amp;G35,$I$2:$I$501,"confirmado",$E$2:$E$501,E35)-1,0)))</x:f>
      </x:c>
    </x:row>
    <x:row r="36" ht="24" customHeight="1">
      <x:c r="A36" s="17"/>
      <x:c r="B36" s="16"/>
      <x:c r="C36" s="2"/>
      <x:c r="D36" s="17"/>
      <x:c r="E36" s="2"/>
      <x:c r="F36" s="10"/>
      <x:c r="G36" s="11"/>
      <x:c r="H36" s="2"/>
      <x:c r="I36" s="7"/>
      <x:c r="J36" s="2"/>
      <x:c r="K36" s="2"/>
      <x:c r="L36" s="2"/>
      <x:c r="M36" s="2"/>
      <x:c r="N36" s="11" t="str">
        <x:f>IF(A36="","",IF(AND(ISNUMBER(G36),ISNUMBER(L36),ISNUMBER(M36)),G36+(L36+M36)/1440,""))</x:f>
      </x:c>
      <x:c r="O36" s="2" t="str">
        <x:f>IF(A36="","",IF(OR(N36="",F36=""),"Dados incompletos",IF(OR(I36="pendente",I36="confirmado"),IF(K36="",0,COUNTIFS($F$2:$F$501,F36,$G$2:$G$501,"&lt;"&amp;N36,$N$2:$N$501,"&gt;"&amp;G36,$I$2:$I$501,"pendente",$K$2:$K$501,K36)+COUNTIFS($F$2:$F$501,F36,$G$2:$G$501,"&lt;"&amp;N36,$N$2:$N$501,"&gt;"&amp;G36,$I$2:$I$501,"confirmado",$K$2:$K$501,K36)-1),0)))</x:f>
      </x:c>
      <x:c r="P36" s="2" t="str">
        <x:f>IF(A36="","",IF(OR(N36="",F36=""),"Dados incompletos",IF(OR(I36="pendente",I36="confirmado"),COUNTIFS($F$2:$F$501,F36,$G$2:$G$501,"&lt;"&amp;N36,$N$2:$N$501,"&gt;"&amp;G36,$I$2:$I$501,"pendente",$E$2:$E$501,E36)+COUNTIFS($F$2:$F$501,F36,$G$2:$G$501,"&lt;"&amp;N36,$N$2:$N$501,"&gt;"&amp;G36,$I$2:$I$501,"confirmado",$E$2:$E$501,E36)-1,0)))</x:f>
      </x:c>
    </x:row>
    <x:row r="37" ht="24" customHeight="1">
      <x:c r="A37" s="17"/>
      <x:c r="B37" s="16"/>
      <x:c r="C37" s="2"/>
      <x:c r="D37" s="17"/>
      <x:c r="E37" s="2"/>
      <x:c r="F37" s="10"/>
      <x:c r="G37" s="11"/>
      <x:c r="H37" s="2"/>
      <x:c r="I37" s="7"/>
      <x:c r="J37" s="2"/>
      <x:c r="K37" s="2"/>
      <x:c r="L37" s="2"/>
      <x:c r="M37" s="2"/>
      <x:c r="N37" s="11" t="str">
        <x:f>IF(A37="","",IF(AND(ISNUMBER(G37),ISNUMBER(L37),ISNUMBER(M37)),G37+(L37+M37)/1440,""))</x:f>
      </x:c>
      <x:c r="O37" s="2" t="str">
        <x:f>IF(A37="","",IF(OR(N37="",F37=""),"Dados incompletos",IF(OR(I37="pendente",I37="confirmado"),IF(K37="",0,COUNTIFS($F$2:$F$501,F37,$G$2:$G$501,"&lt;"&amp;N37,$N$2:$N$501,"&gt;"&amp;G37,$I$2:$I$501,"pendente",$K$2:$K$501,K37)+COUNTIFS($F$2:$F$501,F37,$G$2:$G$501,"&lt;"&amp;N37,$N$2:$N$501,"&gt;"&amp;G37,$I$2:$I$501,"confirmado",$K$2:$K$501,K37)-1),0)))</x:f>
      </x:c>
      <x:c r="P37" s="2" t="str">
        <x:f>IF(A37="","",IF(OR(N37="",F37=""),"Dados incompletos",IF(OR(I37="pendente",I37="confirmado"),COUNTIFS($F$2:$F$501,F37,$G$2:$G$501,"&lt;"&amp;N37,$N$2:$N$501,"&gt;"&amp;G37,$I$2:$I$501,"pendente",$E$2:$E$501,E37)+COUNTIFS($F$2:$F$501,F37,$G$2:$G$501,"&lt;"&amp;N37,$N$2:$N$501,"&gt;"&amp;G37,$I$2:$I$501,"confirmado",$E$2:$E$501,E37)-1,0)))</x:f>
      </x:c>
    </x:row>
    <x:row r="38" ht="24" customHeight="1">
      <x:c r="A38" s="17"/>
      <x:c r="B38" s="16"/>
      <x:c r="C38" s="2"/>
      <x:c r="D38" s="17"/>
      <x:c r="E38" s="2"/>
      <x:c r="F38" s="10"/>
      <x:c r="G38" s="11"/>
      <x:c r="H38" s="2"/>
      <x:c r="I38" s="7"/>
      <x:c r="J38" s="2"/>
      <x:c r="K38" s="2"/>
      <x:c r="L38" s="2"/>
      <x:c r="M38" s="2"/>
      <x:c r="N38" s="11" t="str">
        <x:f>IF(A38="","",IF(AND(ISNUMBER(G38),ISNUMBER(L38),ISNUMBER(M38)),G38+(L38+M38)/1440,""))</x:f>
      </x:c>
      <x:c r="O38" s="2" t="str">
        <x:f>IF(A38="","",IF(OR(N38="",F38=""),"Dados incompletos",IF(OR(I38="pendente",I38="confirmado"),IF(K38="",0,COUNTIFS($F$2:$F$501,F38,$G$2:$G$501,"&lt;"&amp;N38,$N$2:$N$501,"&gt;"&amp;G38,$I$2:$I$501,"pendente",$K$2:$K$501,K38)+COUNTIFS($F$2:$F$501,F38,$G$2:$G$501,"&lt;"&amp;N38,$N$2:$N$501,"&gt;"&amp;G38,$I$2:$I$501,"confirmado",$K$2:$K$501,K38)-1),0)))</x:f>
      </x:c>
      <x:c r="P38" s="2" t="str">
        <x:f>IF(A38="","",IF(OR(N38="",F38=""),"Dados incompletos",IF(OR(I38="pendente",I38="confirmado"),COUNTIFS($F$2:$F$501,F38,$G$2:$G$501,"&lt;"&amp;N38,$N$2:$N$501,"&gt;"&amp;G38,$I$2:$I$501,"pendente",$E$2:$E$501,E38)+COUNTIFS($F$2:$F$501,F38,$G$2:$G$501,"&lt;"&amp;N38,$N$2:$N$501,"&gt;"&amp;G38,$I$2:$I$501,"confirmado",$E$2:$E$501,E38)-1,0)))</x:f>
      </x:c>
    </x:row>
    <x:row r="39" ht="24" customHeight="1">
      <x:c r="A39" s="17"/>
      <x:c r="B39" s="16"/>
      <x:c r="C39" s="2"/>
      <x:c r="D39" s="17"/>
      <x:c r="E39" s="2"/>
      <x:c r="F39" s="10"/>
      <x:c r="G39" s="11"/>
      <x:c r="H39" s="2"/>
      <x:c r="I39" s="7"/>
      <x:c r="J39" s="2"/>
      <x:c r="K39" s="2"/>
      <x:c r="L39" s="2"/>
      <x:c r="M39" s="2"/>
      <x:c r="N39" s="11" t="str">
        <x:f>IF(A39="","",IF(AND(ISNUMBER(G39),ISNUMBER(L39),ISNUMBER(M39)),G39+(L39+M39)/1440,""))</x:f>
      </x:c>
      <x:c r="O39" s="2" t="str">
        <x:f>IF(A39="","",IF(OR(N39="",F39=""),"Dados incompletos",IF(OR(I39="pendente",I39="confirmado"),IF(K39="",0,COUNTIFS($F$2:$F$501,F39,$G$2:$G$501,"&lt;"&amp;N39,$N$2:$N$501,"&gt;"&amp;G39,$I$2:$I$501,"pendente",$K$2:$K$501,K39)+COUNTIFS($F$2:$F$501,F39,$G$2:$G$501,"&lt;"&amp;N39,$N$2:$N$501,"&gt;"&amp;G39,$I$2:$I$501,"confirmado",$K$2:$K$501,K39)-1),0)))</x:f>
      </x:c>
      <x:c r="P39" s="2" t="str">
        <x:f>IF(A39="","",IF(OR(N39="",F39=""),"Dados incompletos",IF(OR(I39="pendente",I39="confirmado"),COUNTIFS($F$2:$F$501,F39,$G$2:$G$501,"&lt;"&amp;N39,$N$2:$N$501,"&gt;"&amp;G39,$I$2:$I$501,"pendente",$E$2:$E$501,E39)+COUNTIFS($F$2:$F$501,F39,$G$2:$G$501,"&lt;"&amp;N39,$N$2:$N$501,"&gt;"&amp;G39,$I$2:$I$501,"confirmado",$E$2:$E$501,E39)-1,0)))</x:f>
      </x:c>
    </x:row>
    <x:row r="40" ht="24" customHeight="1">
      <x:c r="A40" s="17"/>
      <x:c r="B40" s="16"/>
      <x:c r="C40" s="2"/>
      <x:c r="D40" s="17"/>
      <x:c r="E40" s="2"/>
      <x:c r="F40" s="10"/>
      <x:c r="G40" s="11"/>
      <x:c r="H40" s="2"/>
      <x:c r="I40" s="7"/>
      <x:c r="J40" s="2"/>
      <x:c r="K40" s="2"/>
      <x:c r="L40" s="2"/>
      <x:c r="M40" s="2"/>
      <x:c r="N40" s="11" t="str">
        <x:f>IF(A40="","",IF(AND(ISNUMBER(G40),ISNUMBER(L40),ISNUMBER(M40)),G40+(L40+M40)/1440,""))</x:f>
      </x:c>
      <x:c r="O40" s="2" t="str">
        <x:f>IF(A40="","",IF(OR(N40="",F40=""),"Dados incompletos",IF(OR(I40="pendente",I40="confirmado"),IF(K40="",0,COUNTIFS($F$2:$F$501,F40,$G$2:$G$501,"&lt;"&amp;N40,$N$2:$N$501,"&gt;"&amp;G40,$I$2:$I$501,"pendente",$K$2:$K$501,K40)+COUNTIFS($F$2:$F$501,F40,$G$2:$G$501,"&lt;"&amp;N40,$N$2:$N$501,"&gt;"&amp;G40,$I$2:$I$501,"confirmado",$K$2:$K$501,K40)-1),0)))</x:f>
      </x:c>
      <x:c r="P40" s="2" t="str">
        <x:f>IF(A40="","",IF(OR(N40="",F40=""),"Dados incompletos",IF(OR(I40="pendente",I40="confirmado"),COUNTIFS($F$2:$F$501,F40,$G$2:$G$501,"&lt;"&amp;N40,$N$2:$N$501,"&gt;"&amp;G40,$I$2:$I$501,"pendente",$E$2:$E$501,E40)+COUNTIFS($F$2:$F$501,F40,$G$2:$G$501,"&lt;"&amp;N40,$N$2:$N$501,"&gt;"&amp;G40,$I$2:$I$501,"confirmado",$E$2:$E$501,E40)-1,0)))</x:f>
      </x:c>
    </x:row>
    <x:row r="41" ht="24" customHeight="1">
      <x:c r="A41" s="17"/>
      <x:c r="B41" s="16"/>
      <x:c r="C41" s="2"/>
      <x:c r="D41" s="17"/>
      <x:c r="E41" s="2"/>
      <x:c r="F41" s="10"/>
      <x:c r="G41" s="11"/>
      <x:c r="H41" s="2"/>
      <x:c r="I41" s="7"/>
      <x:c r="J41" s="2"/>
      <x:c r="K41" s="2"/>
      <x:c r="L41" s="2"/>
      <x:c r="M41" s="2"/>
      <x:c r="N41" s="11" t="str">
        <x:f>IF(A41="","",IF(AND(ISNUMBER(G41),ISNUMBER(L41),ISNUMBER(M41)),G41+(L41+M41)/1440,""))</x:f>
      </x:c>
      <x:c r="O41" s="2" t="str">
        <x:f>IF(A41="","",IF(OR(N41="",F41=""),"Dados incompletos",IF(OR(I41="pendente",I41="confirmado"),IF(K41="",0,COUNTIFS($F$2:$F$501,F41,$G$2:$G$501,"&lt;"&amp;N41,$N$2:$N$501,"&gt;"&amp;G41,$I$2:$I$501,"pendente",$K$2:$K$501,K41)+COUNTIFS($F$2:$F$501,F41,$G$2:$G$501,"&lt;"&amp;N41,$N$2:$N$501,"&gt;"&amp;G41,$I$2:$I$501,"confirmado",$K$2:$K$501,K41)-1),0)))</x:f>
      </x:c>
      <x:c r="P41" s="2" t="str">
        <x:f>IF(A41="","",IF(OR(N41="",F41=""),"Dados incompletos",IF(OR(I41="pendente",I41="confirmado"),COUNTIFS($F$2:$F$501,F41,$G$2:$G$501,"&lt;"&amp;N41,$N$2:$N$501,"&gt;"&amp;G41,$I$2:$I$501,"pendente",$E$2:$E$501,E41)+COUNTIFS($F$2:$F$501,F41,$G$2:$G$501,"&lt;"&amp;N41,$N$2:$N$501,"&gt;"&amp;G41,$I$2:$I$501,"confirmado",$E$2:$E$501,E41)-1,0)))</x:f>
      </x:c>
    </x:row>
    <x:row r="42" ht="24" customHeight="1">
      <x:c r="A42" s="17"/>
      <x:c r="B42" s="16"/>
      <x:c r="C42" s="2"/>
      <x:c r="D42" s="17"/>
      <x:c r="E42" s="2"/>
      <x:c r="F42" s="10"/>
      <x:c r="G42" s="11"/>
      <x:c r="H42" s="2"/>
      <x:c r="I42" s="7"/>
      <x:c r="J42" s="2"/>
      <x:c r="K42" s="2"/>
      <x:c r="L42" s="2"/>
      <x:c r="M42" s="2"/>
      <x:c r="N42" s="11" t="str">
        <x:f>IF(A42="","",IF(AND(ISNUMBER(G42),ISNUMBER(L42),ISNUMBER(M42)),G42+(L42+M42)/1440,""))</x:f>
      </x:c>
      <x:c r="O42" s="2" t="str">
        <x:f>IF(A42="","",IF(OR(N42="",F42=""),"Dados incompletos",IF(OR(I42="pendente",I42="confirmado"),IF(K42="",0,COUNTIFS($F$2:$F$501,F42,$G$2:$G$501,"&lt;"&amp;N42,$N$2:$N$501,"&gt;"&amp;G42,$I$2:$I$501,"pendente",$K$2:$K$501,K42)+COUNTIFS($F$2:$F$501,F42,$G$2:$G$501,"&lt;"&amp;N42,$N$2:$N$501,"&gt;"&amp;G42,$I$2:$I$501,"confirmado",$K$2:$K$501,K42)-1),0)))</x:f>
      </x:c>
      <x:c r="P42" s="2" t="str">
        <x:f>IF(A42="","",IF(OR(N42="",F42=""),"Dados incompletos",IF(OR(I42="pendente",I42="confirmado"),COUNTIFS($F$2:$F$501,F42,$G$2:$G$501,"&lt;"&amp;N42,$N$2:$N$501,"&gt;"&amp;G42,$I$2:$I$501,"pendente",$E$2:$E$501,E42)+COUNTIFS($F$2:$F$501,F42,$G$2:$G$501,"&lt;"&amp;N42,$N$2:$N$501,"&gt;"&amp;G42,$I$2:$I$501,"confirmado",$E$2:$E$501,E42)-1,0)))</x:f>
      </x:c>
    </x:row>
    <x:row r="43" ht="24" customHeight="1">
      <x:c r="A43" s="17"/>
      <x:c r="B43" s="16"/>
      <x:c r="C43" s="2"/>
      <x:c r="D43" s="17"/>
      <x:c r="E43" s="2"/>
      <x:c r="F43" s="10"/>
      <x:c r="G43" s="11"/>
      <x:c r="H43" s="2"/>
      <x:c r="I43" s="7"/>
      <x:c r="J43" s="2"/>
      <x:c r="K43" s="2"/>
      <x:c r="L43" s="2"/>
      <x:c r="M43" s="2"/>
      <x:c r="N43" s="11" t="str">
        <x:f>IF(A43="","",IF(AND(ISNUMBER(G43),ISNUMBER(L43),ISNUMBER(M43)),G43+(L43+M43)/1440,""))</x:f>
      </x:c>
      <x:c r="O43" s="2" t="str">
        <x:f>IF(A43="","",IF(OR(N43="",F43=""),"Dados incompletos",IF(OR(I43="pendente",I43="confirmado"),IF(K43="",0,COUNTIFS($F$2:$F$501,F43,$G$2:$G$501,"&lt;"&amp;N43,$N$2:$N$501,"&gt;"&amp;G43,$I$2:$I$501,"pendente",$K$2:$K$501,K43)+COUNTIFS($F$2:$F$501,F43,$G$2:$G$501,"&lt;"&amp;N43,$N$2:$N$501,"&gt;"&amp;G43,$I$2:$I$501,"confirmado",$K$2:$K$501,K43)-1),0)))</x:f>
      </x:c>
      <x:c r="P43" s="2" t="str">
        <x:f>IF(A43="","",IF(OR(N43="",F43=""),"Dados incompletos",IF(OR(I43="pendente",I43="confirmado"),COUNTIFS($F$2:$F$501,F43,$G$2:$G$501,"&lt;"&amp;N43,$N$2:$N$501,"&gt;"&amp;G43,$I$2:$I$501,"pendente",$E$2:$E$501,E43)+COUNTIFS($F$2:$F$501,F43,$G$2:$G$501,"&lt;"&amp;N43,$N$2:$N$501,"&gt;"&amp;G43,$I$2:$I$501,"confirmado",$E$2:$E$501,E43)-1,0)))</x:f>
      </x:c>
    </x:row>
    <x:row r="44" ht="24" customHeight="1">
      <x:c r="A44" s="17"/>
      <x:c r="B44" s="16"/>
      <x:c r="C44" s="2"/>
      <x:c r="D44" s="17"/>
      <x:c r="E44" s="2"/>
      <x:c r="F44" s="10"/>
      <x:c r="G44" s="11"/>
      <x:c r="H44" s="2"/>
      <x:c r="I44" s="7"/>
      <x:c r="J44" s="2"/>
      <x:c r="K44" s="2"/>
      <x:c r="L44" s="2"/>
      <x:c r="M44" s="2"/>
      <x:c r="N44" s="11" t="str">
        <x:f>IF(A44="","",IF(AND(ISNUMBER(G44),ISNUMBER(L44),ISNUMBER(M44)),G44+(L44+M44)/1440,""))</x:f>
      </x:c>
      <x:c r="O44" s="2" t="str">
        <x:f>IF(A44="","",IF(OR(N44="",F44=""),"Dados incompletos",IF(OR(I44="pendente",I44="confirmado"),IF(K44="",0,COUNTIFS($F$2:$F$501,F44,$G$2:$G$501,"&lt;"&amp;N44,$N$2:$N$501,"&gt;"&amp;G44,$I$2:$I$501,"pendente",$K$2:$K$501,K44)+COUNTIFS($F$2:$F$501,F44,$G$2:$G$501,"&lt;"&amp;N44,$N$2:$N$501,"&gt;"&amp;G44,$I$2:$I$501,"confirmado",$K$2:$K$501,K44)-1),0)))</x:f>
      </x:c>
      <x:c r="P44" s="2" t="str">
        <x:f>IF(A44="","",IF(OR(N44="",F44=""),"Dados incompletos",IF(OR(I44="pendente",I44="confirmado"),COUNTIFS($F$2:$F$501,F44,$G$2:$G$501,"&lt;"&amp;N44,$N$2:$N$501,"&gt;"&amp;G44,$I$2:$I$501,"pendente",$E$2:$E$501,E44)+COUNTIFS($F$2:$F$501,F44,$G$2:$G$501,"&lt;"&amp;N44,$N$2:$N$501,"&gt;"&amp;G44,$I$2:$I$501,"confirmado",$E$2:$E$501,E44)-1,0)))</x:f>
      </x:c>
    </x:row>
    <x:row r="45" ht="24" customHeight="1">
      <x:c r="A45" s="17"/>
      <x:c r="B45" s="16"/>
      <x:c r="C45" s="2"/>
      <x:c r="D45" s="17"/>
      <x:c r="E45" s="2"/>
      <x:c r="F45" s="10"/>
      <x:c r="G45" s="11"/>
      <x:c r="H45" s="2"/>
      <x:c r="I45" s="7"/>
      <x:c r="J45" s="2"/>
      <x:c r="K45" s="2"/>
      <x:c r="L45" s="2"/>
      <x:c r="M45" s="2"/>
      <x:c r="N45" s="11" t="str">
        <x:f>IF(A45="","",IF(AND(ISNUMBER(G45),ISNUMBER(L45),ISNUMBER(M45)),G45+(L45+M45)/1440,""))</x:f>
      </x:c>
      <x:c r="O45" s="2" t="str">
        <x:f>IF(A45="","",IF(OR(N45="",F45=""),"Dados incompletos",IF(OR(I45="pendente",I45="confirmado"),IF(K45="",0,COUNTIFS($F$2:$F$501,F45,$G$2:$G$501,"&lt;"&amp;N45,$N$2:$N$501,"&gt;"&amp;G45,$I$2:$I$501,"pendente",$K$2:$K$501,K45)+COUNTIFS($F$2:$F$501,F45,$G$2:$G$501,"&lt;"&amp;N45,$N$2:$N$501,"&gt;"&amp;G45,$I$2:$I$501,"confirmado",$K$2:$K$501,K45)-1),0)))</x:f>
      </x:c>
      <x:c r="P45" s="2" t="str">
        <x:f>IF(A45="","",IF(OR(N45="",F45=""),"Dados incompletos",IF(OR(I45="pendente",I45="confirmado"),COUNTIFS($F$2:$F$501,F45,$G$2:$G$501,"&lt;"&amp;N45,$N$2:$N$501,"&gt;"&amp;G45,$I$2:$I$501,"pendente",$E$2:$E$501,E45)+COUNTIFS($F$2:$F$501,F45,$G$2:$G$501,"&lt;"&amp;N45,$N$2:$N$501,"&gt;"&amp;G45,$I$2:$I$501,"confirmado",$E$2:$E$501,E45)-1,0)))</x:f>
      </x:c>
    </x:row>
    <x:row r="46" ht="24" customHeight="1">
      <x:c r="A46" s="17"/>
      <x:c r="B46" s="16"/>
      <x:c r="C46" s="2"/>
      <x:c r="D46" s="17"/>
      <x:c r="E46" s="2"/>
      <x:c r="F46" s="10"/>
      <x:c r="G46" s="11"/>
      <x:c r="H46" s="2"/>
      <x:c r="I46" s="7"/>
      <x:c r="J46" s="2"/>
      <x:c r="K46" s="2"/>
      <x:c r="L46" s="2"/>
      <x:c r="M46" s="2"/>
      <x:c r="N46" s="11" t="str">
        <x:f>IF(A46="","",IF(AND(ISNUMBER(G46),ISNUMBER(L46),ISNUMBER(M46)),G46+(L46+M46)/1440,""))</x:f>
      </x:c>
      <x:c r="O46" s="2" t="str">
        <x:f>IF(A46="","",IF(OR(N46="",F46=""),"Dados incompletos",IF(OR(I46="pendente",I46="confirmado"),IF(K46="",0,COUNTIFS($F$2:$F$501,F46,$G$2:$G$501,"&lt;"&amp;N46,$N$2:$N$501,"&gt;"&amp;G46,$I$2:$I$501,"pendente",$K$2:$K$501,K46)+COUNTIFS($F$2:$F$501,F46,$G$2:$G$501,"&lt;"&amp;N46,$N$2:$N$501,"&gt;"&amp;G46,$I$2:$I$501,"confirmado",$K$2:$K$501,K46)-1),0)))</x:f>
      </x:c>
      <x:c r="P46" s="2" t="str">
        <x:f>IF(A46="","",IF(OR(N46="",F46=""),"Dados incompletos",IF(OR(I46="pendente",I46="confirmado"),COUNTIFS($F$2:$F$501,F46,$G$2:$G$501,"&lt;"&amp;N46,$N$2:$N$501,"&gt;"&amp;G46,$I$2:$I$501,"pendente",$E$2:$E$501,E46)+COUNTIFS($F$2:$F$501,F46,$G$2:$G$501,"&lt;"&amp;N46,$N$2:$N$501,"&gt;"&amp;G46,$I$2:$I$501,"confirmado",$E$2:$E$501,E46)-1,0)))</x:f>
      </x:c>
    </x:row>
    <x:row r="47" ht="24" customHeight="1">
      <x:c r="A47" s="17"/>
      <x:c r="B47" s="16"/>
      <x:c r="C47" s="2"/>
      <x:c r="D47" s="17"/>
      <x:c r="E47" s="2"/>
      <x:c r="F47" s="10"/>
      <x:c r="G47" s="11"/>
      <x:c r="H47" s="2"/>
      <x:c r="I47" s="7"/>
      <x:c r="J47" s="2"/>
      <x:c r="K47" s="2"/>
      <x:c r="L47" s="2"/>
      <x:c r="M47" s="2"/>
      <x:c r="N47" s="11" t="str">
        <x:f>IF(A47="","",IF(AND(ISNUMBER(G47),ISNUMBER(L47),ISNUMBER(M47)),G47+(L47+M47)/1440,""))</x:f>
      </x:c>
      <x:c r="O47" s="2" t="str">
        <x:f>IF(A47="","",IF(OR(N47="",F47=""),"Dados incompletos",IF(OR(I47="pendente",I47="confirmado"),IF(K47="",0,COUNTIFS($F$2:$F$501,F47,$G$2:$G$501,"&lt;"&amp;N47,$N$2:$N$501,"&gt;"&amp;G47,$I$2:$I$501,"pendente",$K$2:$K$501,K47)+COUNTIFS($F$2:$F$501,F47,$G$2:$G$501,"&lt;"&amp;N47,$N$2:$N$501,"&gt;"&amp;G47,$I$2:$I$501,"confirmado",$K$2:$K$501,K47)-1),0)))</x:f>
      </x:c>
      <x:c r="P47" s="2" t="str">
        <x:f>IF(A47="","",IF(OR(N47="",F47=""),"Dados incompletos",IF(OR(I47="pendente",I47="confirmado"),COUNTIFS($F$2:$F$501,F47,$G$2:$G$501,"&lt;"&amp;N47,$N$2:$N$501,"&gt;"&amp;G47,$I$2:$I$501,"pendente",$E$2:$E$501,E47)+COUNTIFS($F$2:$F$501,F47,$G$2:$G$501,"&lt;"&amp;N47,$N$2:$N$501,"&gt;"&amp;G47,$I$2:$I$501,"confirmado",$E$2:$E$501,E47)-1,0)))</x:f>
      </x:c>
    </x:row>
    <x:row r="48" ht="24" customHeight="1">
      <x:c r="A48" s="17"/>
      <x:c r="B48" s="16"/>
      <x:c r="C48" s="2"/>
      <x:c r="D48" s="17"/>
      <x:c r="E48" s="2"/>
      <x:c r="F48" s="10"/>
      <x:c r="G48" s="11"/>
      <x:c r="H48" s="2"/>
      <x:c r="I48" s="7"/>
      <x:c r="J48" s="2"/>
      <x:c r="K48" s="2"/>
      <x:c r="L48" s="2"/>
      <x:c r="M48" s="2"/>
      <x:c r="N48" s="11" t="str">
        <x:f>IF(A48="","",IF(AND(ISNUMBER(G48),ISNUMBER(L48),ISNUMBER(M48)),G48+(L48+M48)/1440,""))</x:f>
      </x:c>
      <x:c r="O48" s="2" t="str">
        <x:f>IF(A48="","",IF(OR(N48="",F48=""),"Dados incompletos",IF(OR(I48="pendente",I48="confirmado"),IF(K48="",0,COUNTIFS($F$2:$F$501,F48,$G$2:$G$501,"&lt;"&amp;N48,$N$2:$N$501,"&gt;"&amp;G48,$I$2:$I$501,"pendente",$K$2:$K$501,K48)+COUNTIFS($F$2:$F$501,F48,$G$2:$G$501,"&lt;"&amp;N48,$N$2:$N$501,"&gt;"&amp;G48,$I$2:$I$501,"confirmado",$K$2:$K$501,K48)-1),0)))</x:f>
      </x:c>
      <x:c r="P48" s="2" t="str">
        <x:f>IF(A48="","",IF(OR(N48="",F48=""),"Dados incompletos",IF(OR(I48="pendente",I48="confirmado"),COUNTIFS($F$2:$F$501,F48,$G$2:$G$501,"&lt;"&amp;N48,$N$2:$N$501,"&gt;"&amp;G48,$I$2:$I$501,"pendente",$E$2:$E$501,E48)+COUNTIFS($F$2:$F$501,F48,$G$2:$G$501,"&lt;"&amp;N48,$N$2:$N$501,"&gt;"&amp;G48,$I$2:$I$501,"confirmado",$E$2:$E$501,E48)-1,0)))</x:f>
      </x:c>
    </x:row>
    <x:row r="49" ht="24" customHeight="1">
      <x:c r="A49" s="17"/>
      <x:c r="B49" s="16"/>
      <x:c r="C49" s="2"/>
      <x:c r="D49" s="17"/>
      <x:c r="E49" s="2"/>
      <x:c r="F49" s="10"/>
      <x:c r="G49" s="11"/>
      <x:c r="H49" s="2"/>
      <x:c r="I49" s="7"/>
      <x:c r="J49" s="2"/>
      <x:c r="K49" s="2"/>
      <x:c r="L49" s="2"/>
      <x:c r="M49" s="2"/>
      <x:c r="N49" s="11" t="str">
        <x:f>IF(A49="","",IF(AND(ISNUMBER(G49),ISNUMBER(L49),ISNUMBER(M49)),G49+(L49+M49)/1440,""))</x:f>
      </x:c>
      <x:c r="O49" s="2" t="str">
        <x:f>IF(A49="","",IF(OR(N49="",F49=""),"Dados incompletos",IF(OR(I49="pendente",I49="confirmado"),IF(K49="",0,COUNTIFS($F$2:$F$501,F49,$G$2:$G$501,"&lt;"&amp;N49,$N$2:$N$501,"&gt;"&amp;G49,$I$2:$I$501,"pendente",$K$2:$K$501,K49)+COUNTIFS($F$2:$F$501,F49,$G$2:$G$501,"&lt;"&amp;N49,$N$2:$N$501,"&gt;"&amp;G49,$I$2:$I$501,"confirmado",$K$2:$K$501,K49)-1),0)))</x:f>
      </x:c>
      <x:c r="P49" s="2" t="str">
        <x:f>IF(A49="","",IF(OR(N49="",F49=""),"Dados incompletos",IF(OR(I49="pendente",I49="confirmado"),COUNTIFS($F$2:$F$501,F49,$G$2:$G$501,"&lt;"&amp;N49,$N$2:$N$501,"&gt;"&amp;G49,$I$2:$I$501,"pendente",$E$2:$E$501,E49)+COUNTIFS($F$2:$F$501,F49,$G$2:$G$501,"&lt;"&amp;N49,$N$2:$N$501,"&gt;"&amp;G49,$I$2:$I$501,"confirmado",$E$2:$E$501,E49)-1,0)))</x:f>
      </x:c>
    </x:row>
    <x:row r="50" ht="24" customHeight="1">
      <x:c r="A50" s="17"/>
      <x:c r="B50" s="16"/>
      <x:c r="C50" s="2"/>
      <x:c r="D50" s="17"/>
      <x:c r="E50" s="2"/>
      <x:c r="F50" s="10"/>
      <x:c r="G50" s="11"/>
      <x:c r="H50" s="2"/>
      <x:c r="I50" s="7"/>
      <x:c r="J50" s="2"/>
      <x:c r="K50" s="2"/>
      <x:c r="L50" s="2"/>
      <x:c r="M50" s="2"/>
      <x:c r="N50" s="11" t="str">
        <x:f>IF(A50="","",IF(AND(ISNUMBER(G50),ISNUMBER(L50),ISNUMBER(M50)),G50+(L50+M50)/1440,""))</x:f>
      </x:c>
      <x:c r="O50" s="2" t="str">
        <x:f>IF(A50="","",IF(OR(N50="",F50=""),"Dados incompletos",IF(OR(I50="pendente",I50="confirmado"),IF(K50="",0,COUNTIFS($F$2:$F$501,F50,$G$2:$G$501,"&lt;"&amp;N50,$N$2:$N$501,"&gt;"&amp;G50,$I$2:$I$501,"pendente",$K$2:$K$501,K50)+COUNTIFS($F$2:$F$501,F50,$G$2:$G$501,"&lt;"&amp;N50,$N$2:$N$501,"&gt;"&amp;G50,$I$2:$I$501,"confirmado",$K$2:$K$501,K50)-1),0)))</x:f>
      </x:c>
      <x:c r="P50" s="2" t="str">
        <x:f>IF(A50="","",IF(OR(N50="",F50=""),"Dados incompletos",IF(OR(I50="pendente",I50="confirmado"),COUNTIFS($F$2:$F$501,F50,$G$2:$G$501,"&lt;"&amp;N50,$N$2:$N$501,"&gt;"&amp;G50,$I$2:$I$501,"pendente",$E$2:$E$501,E50)+COUNTIFS($F$2:$F$501,F50,$G$2:$G$501,"&lt;"&amp;N50,$N$2:$N$501,"&gt;"&amp;G50,$I$2:$I$501,"confirmado",$E$2:$E$501,E50)-1,0)))</x:f>
      </x:c>
    </x:row>
    <x:row r="51" ht="24" customHeight="1">
      <x:c r="A51" s="17"/>
      <x:c r="B51" s="16"/>
      <x:c r="C51" s="2"/>
      <x:c r="D51" s="17"/>
      <x:c r="E51" s="2"/>
      <x:c r="F51" s="10"/>
      <x:c r="G51" s="11"/>
      <x:c r="H51" s="2"/>
      <x:c r="I51" s="7"/>
      <x:c r="J51" s="2"/>
      <x:c r="K51" s="2"/>
      <x:c r="L51" s="2"/>
      <x:c r="M51" s="2"/>
      <x:c r="N51" s="11" t="str">
        <x:f>IF(A51="","",IF(AND(ISNUMBER(G51),ISNUMBER(L51),ISNUMBER(M51)),G51+(L51+M51)/1440,""))</x:f>
      </x:c>
      <x:c r="O51" s="2" t="str">
        <x:f>IF(A51="","",IF(OR(N51="",F51=""),"Dados incompletos",IF(OR(I51="pendente",I51="confirmado"),IF(K51="",0,COUNTIFS($F$2:$F$501,F51,$G$2:$G$501,"&lt;"&amp;N51,$N$2:$N$501,"&gt;"&amp;G51,$I$2:$I$501,"pendente",$K$2:$K$501,K51)+COUNTIFS($F$2:$F$501,F51,$G$2:$G$501,"&lt;"&amp;N51,$N$2:$N$501,"&gt;"&amp;G51,$I$2:$I$501,"confirmado",$K$2:$K$501,K51)-1),0)))</x:f>
      </x:c>
      <x:c r="P51" s="2" t="str">
        <x:f>IF(A51="","",IF(OR(N51="",F51=""),"Dados incompletos",IF(OR(I51="pendente",I51="confirmado"),COUNTIFS($F$2:$F$501,F51,$G$2:$G$501,"&lt;"&amp;N51,$N$2:$N$501,"&gt;"&amp;G51,$I$2:$I$501,"pendente",$E$2:$E$501,E51)+COUNTIFS($F$2:$F$501,F51,$G$2:$G$501,"&lt;"&amp;N51,$N$2:$N$501,"&gt;"&amp;G51,$I$2:$I$501,"confirmado",$E$2:$E$501,E51)-1,0)))</x:f>
      </x:c>
    </x:row>
    <x:row r="52" ht="24" customHeight="1">
      <x:c r="A52" s="17"/>
      <x:c r="B52" s="16"/>
      <x:c r="C52" s="2"/>
      <x:c r="D52" s="17"/>
      <x:c r="E52" s="2"/>
      <x:c r="F52" s="10"/>
      <x:c r="G52" s="11"/>
      <x:c r="H52" s="2"/>
      <x:c r="I52" s="7"/>
      <x:c r="J52" s="2"/>
      <x:c r="K52" s="2"/>
      <x:c r="L52" s="2"/>
      <x:c r="M52" s="2"/>
      <x:c r="N52" s="11" t="str">
        <x:f>IF(A52="","",IF(AND(ISNUMBER(G52),ISNUMBER(L52),ISNUMBER(M52)),G52+(L52+M52)/1440,""))</x:f>
      </x:c>
      <x:c r="O52" s="2" t="str">
        <x:f>IF(A52="","",IF(OR(N52="",F52=""),"Dados incompletos",IF(OR(I52="pendente",I52="confirmado"),IF(K52="",0,COUNTIFS($F$2:$F$501,F52,$G$2:$G$501,"&lt;"&amp;N52,$N$2:$N$501,"&gt;"&amp;G52,$I$2:$I$501,"pendente",$K$2:$K$501,K52)+COUNTIFS($F$2:$F$501,F52,$G$2:$G$501,"&lt;"&amp;N52,$N$2:$N$501,"&gt;"&amp;G52,$I$2:$I$501,"confirmado",$K$2:$K$501,K52)-1),0)))</x:f>
      </x:c>
      <x:c r="P52" s="2" t="str">
        <x:f>IF(A52="","",IF(OR(N52="",F52=""),"Dados incompletos",IF(OR(I52="pendente",I52="confirmado"),COUNTIFS($F$2:$F$501,F52,$G$2:$G$501,"&lt;"&amp;N52,$N$2:$N$501,"&gt;"&amp;G52,$I$2:$I$501,"pendente",$E$2:$E$501,E52)+COUNTIFS($F$2:$F$501,F52,$G$2:$G$501,"&lt;"&amp;N52,$N$2:$N$501,"&gt;"&amp;G52,$I$2:$I$501,"confirmado",$E$2:$E$501,E52)-1,0)))</x:f>
      </x:c>
    </x:row>
    <x:row r="53" ht="24" customHeight="1">
      <x:c r="A53" s="17"/>
      <x:c r="B53" s="16"/>
      <x:c r="C53" s="2"/>
      <x:c r="D53" s="17"/>
      <x:c r="E53" s="2"/>
      <x:c r="F53" s="10"/>
      <x:c r="G53" s="11"/>
      <x:c r="H53" s="2"/>
      <x:c r="I53" s="7"/>
      <x:c r="J53" s="2"/>
      <x:c r="K53" s="2"/>
      <x:c r="L53" s="2"/>
      <x:c r="M53" s="2"/>
      <x:c r="N53" s="11" t="str">
        <x:f>IF(A53="","",IF(AND(ISNUMBER(G53),ISNUMBER(L53),ISNUMBER(M53)),G53+(L53+M53)/1440,""))</x:f>
      </x:c>
      <x:c r="O53" s="2" t="str">
        <x:f>IF(A53="","",IF(OR(N53="",F53=""),"Dados incompletos",IF(OR(I53="pendente",I53="confirmado"),IF(K53="",0,COUNTIFS($F$2:$F$501,F53,$G$2:$G$501,"&lt;"&amp;N53,$N$2:$N$501,"&gt;"&amp;G53,$I$2:$I$501,"pendente",$K$2:$K$501,K53)+COUNTIFS($F$2:$F$501,F53,$G$2:$G$501,"&lt;"&amp;N53,$N$2:$N$501,"&gt;"&amp;G53,$I$2:$I$501,"confirmado",$K$2:$K$501,K53)-1),0)))</x:f>
      </x:c>
      <x:c r="P53" s="2" t="str">
        <x:f>IF(A53="","",IF(OR(N53="",F53=""),"Dados incompletos",IF(OR(I53="pendente",I53="confirmado"),COUNTIFS($F$2:$F$501,F53,$G$2:$G$501,"&lt;"&amp;N53,$N$2:$N$501,"&gt;"&amp;G53,$I$2:$I$501,"pendente",$E$2:$E$501,E53)+COUNTIFS($F$2:$F$501,F53,$G$2:$G$501,"&lt;"&amp;N53,$N$2:$N$501,"&gt;"&amp;G53,$I$2:$I$501,"confirmado",$E$2:$E$501,E53)-1,0)))</x:f>
      </x:c>
    </x:row>
    <x:row r="54" ht="24" customHeight="1">
      <x:c r="A54" s="17"/>
      <x:c r="B54" s="16"/>
      <x:c r="C54" s="2"/>
      <x:c r="D54" s="17"/>
      <x:c r="E54" s="2"/>
      <x:c r="F54" s="10"/>
      <x:c r="G54" s="11"/>
      <x:c r="H54" s="2"/>
      <x:c r="I54" s="7"/>
      <x:c r="J54" s="2"/>
      <x:c r="K54" s="2"/>
      <x:c r="L54" s="2"/>
      <x:c r="M54" s="2"/>
      <x:c r="N54" s="11" t="str">
        <x:f>IF(A54="","",IF(AND(ISNUMBER(G54),ISNUMBER(L54),ISNUMBER(M54)),G54+(L54+M54)/1440,""))</x:f>
      </x:c>
      <x:c r="O54" s="2" t="str">
        <x:f>IF(A54="","",IF(OR(N54="",F54=""),"Dados incompletos",IF(OR(I54="pendente",I54="confirmado"),IF(K54="",0,COUNTIFS($F$2:$F$501,F54,$G$2:$G$501,"&lt;"&amp;N54,$N$2:$N$501,"&gt;"&amp;G54,$I$2:$I$501,"pendente",$K$2:$K$501,K54)+COUNTIFS($F$2:$F$501,F54,$G$2:$G$501,"&lt;"&amp;N54,$N$2:$N$501,"&gt;"&amp;G54,$I$2:$I$501,"confirmado",$K$2:$K$501,K54)-1),0)))</x:f>
      </x:c>
      <x:c r="P54" s="2" t="str">
        <x:f>IF(A54="","",IF(OR(N54="",F54=""),"Dados incompletos",IF(OR(I54="pendente",I54="confirmado"),COUNTIFS($F$2:$F$501,F54,$G$2:$G$501,"&lt;"&amp;N54,$N$2:$N$501,"&gt;"&amp;G54,$I$2:$I$501,"pendente",$E$2:$E$501,E54)+COUNTIFS($F$2:$F$501,F54,$G$2:$G$501,"&lt;"&amp;N54,$N$2:$N$501,"&gt;"&amp;G54,$I$2:$I$501,"confirmado",$E$2:$E$501,E54)-1,0)))</x:f>
      </x:c>
    </x:row>
    <x:row r="55" ht="24" customHeight="1">
      <x:c r="A55" s="17"/>
      <x:c r="B55" s="16"/>
      <x:c r="C55" s="2"/>
      <x:c r="D55" s="17"/>
      <x:c r="E55" s="2"/>
      <x:c r="F55" s="10"/>
      <x:c r="G55" s="11"/>
      <x:c r="H55" s="2"/>
      <x:c r="I55" s="7"/>
      <x:c r="J55" s="2"/>
      <x:c r="K55" s="2"/>
      <x:c r="L55" s="2"/>
      <x:c r="M55" s="2"/>
      <x:c r="N55" s="11" t="str">
        <x:f>IF(A55="","",IF(AND(ISNUMBER(G55),ISNUMBER(L55),ISNUMBER(M55)),G55+(L55+M55)/1440,""))</x:f>
      </x:c>
      <x:c r="O55" s="2" t="str">
        <x:f>IF(A55="","",IF(OR(N55="",F55=""),"Dados incompletos",IF(OR(I55="pendente",I55="confirmado"),IF(K55="",0,COUNTIFS($F$2:$F$501,F55,$G$2:$G$501,"&lt;"&amp;N55,$N$2:$N$501,"&gt;"&amp;G55,$I$2:$I$501,"pendente",$K$2:$K$501,K55)+COUNTIFS($F$2:$F$501,F55,$G$2:$G$501,"&lt;"&amp;N55,$N$2:$N$501,"&gt;"&amp;G55,$I$2:$I$501,"confirmado",$K$2:$K$501,K55)-1),0)))</x:f>
      </x:c>
      <x:c r="P55" s="2" t="str">
        <x:f>IF(A55="","",IF(OR(N55="",F55=""),"Dados incompletos",IF(OR(I55="pendente",I55="confirmado"),COUNTIFS($F$2:$F$501,F55,$G$2:$G$501,"&lt;"&amp;N55,$N$2:$N$501,"&gt;"&amp;G55,$I$2:$I$501,"pendente",$E$2:$E$501,E55)+COUNTIFS($F$2:$F$501,F55,$G$2:$G$501,"&lt;"&amp;N55,$N$2:$N$501,"&gt;"&amp;G55,$I$2:$I$501,"confirmado",$E$2:$E$501,E55)-1,0)))</x:f>
      </x:c>
    </x:row>
    <x:row r="56" ht="24" customHeight="1">
      <x:c r="A56" s="17"/>
      <x:c r="B56" s="16"/>
      <x:c r="C56" s="2"/>
      <x:c r="D56" s="17"/>
      <x:c r="E56" s="2"/>
      <x:c r="F56" s="10"/>
      <x:c r="G56" s="11"/>
      <x:c r="H56" s="2"/>
      <x:c r="I56" s="7"/>
      <x:c r="J56" s="2"/>
      <x:c r="K56" s="2"/>
      <x:c r="L56" s="2"/>
      <x:c r="M56" s="2"/>
      <x:c r="N56" s="11" t="str">
        <x:f>IF(A56="","",IF(AND(ISNUMBER(G56),ISNUMBER(L56),ISNUMBER(M56)),G56+(L56+M56)/1440,""))</x:f>
      </x:c>
      <x:c r="O56" s="2" t="str">
        <x:f>IF(A56="","",IF(OR(N56="",F56=""),"Dados incompletos",IF(OR(I56="pendente",I56="confirmado"),IF(K56="",0,COUNTIFS($F$2:$F$501,F56,$G$2:$G$501,"&lt;"&amp;N56,$N$2:$N$501,"&gt;"&amp;G56,$I$2:$I$501,"pendente",$K$2:$K$501,K56)+COUNTIFS($F$2:$F$501,F56,$G$2:$G$501,"&lt;"&amp;N56,$N$2:$N$501,"&gt;"&amp;G56,$I$2:$I$501,"confirmado",$K$2:$K$501,K56)-1),0)))</x:f>
      </x:c>
      <x:c r="P56" s="2" t="str">
        <x:f>IF(A56="","",IF(OR(N56="",F56=""),"Dados incompletos",IF(OR(I56="pendente",I56="confirmado"),COUNTIFS($F$2:$F$501,F56,$G$2:$G$501,"&lt;"&amp;N56,$N$2:$N$501,"&gt;"&amp;G56,$I$2:$I$501,"pendente",$E$2:$E$501,E56)+COUNTIFS($F$2:$F$501,F56,$G$2:$G$501,"&lt;"&amp;N56,$N$2:$N$501,"&gt;"&amp;G56,$I$2:$I$501,"confirmado",$E$2:$E$501,E56)-1,0)))</x:f>
      </x:c>
    </x:row>
    <x:row r="57" ht="24" customHeight="1">
      <x:c r="A57" s="17"/>
      <x:c r="B57" s="16"/>
      <x:c r="C57" s="2"/>
      <x:c r="D57" s="17"/>
      <x:c r="E57" s="2"/>
      <x:c r="F57" s="10"/>
      <x:c r="G57" s="11"/>
      <x:c r="H57" s="2"/>
      <x:c r="I57" s="7"/>
      <x:c r="J57" s="2"/>
      <x:c r="K57" s="2"/>
      <x:c r="L57" s="2"/>
      <x:c r="M57" s="2"/>
      <x:c r="N57" s="11" t="str">
        <x:f>IF(A57="","",IF(AND(ISNUMBER(G57),ISNUMBER(L57),ISNUMBER(M57)),G57+(L57+M57)/1440,""))</x:f>
      </x:c>
      <x:c r="O57" s="2" t="str">
        <x:f>IF(A57="","",IF(OR(N57="",F57=""),"Dados incompletos",IF(OR(I57="pendente",I57="confirmado"),IF(K57="",0,COUNTIFS($F$2:$F$501,F57,$G$2:$G$501,"&lt;"&amp;N57,$N$2:$N$501,"&gt;"&amp;G57,$I$2:$I$501,"pendente",$K$2:$K$501,K57)+COUNTIFS($F$2:$F$501,F57,$G$2:$G$501,"&lt;"&amp;N57,$N$2:$N$501,"&gt;"&amp;G57,$I$2:$I$501,"confirmado",$K$2:$K$501,K57)-1),0)))</x:f>
      </x:c>
      <x:c r="P57" s="2" t="str">
        <x:f>IF(A57="","",IF(OR(N57="",F57=""),"Dados incompletos",IF(OR(I57="pendente",I57="confirmado"),COUNTIFS($F$2:$F$501,F57,$G$2:$G$501,"&lt;"&amp;N57,$N$2:$N$501,"&gt;"&amp;G57,$I$2:$I$501,"pendente",$E$2:$E$501,E57)+COUNTIFS($F$2:$F$501,F57,$G$2:$G$501,"&lt;"&amp;N57,$N$2:$N$501,"&gt;"&amp;G57,$I$2:$I$501,"confirmado",$E$2:$E$501,E57)-1,0)))</x:f>
      </x:c>
    </x:row>
    <x:row r="58" ht="24" customHeight="1">
      <x:c r="A58" s="17"/>
      <x:c r="B58" s="16"/>
      <x:c r="C58" s="2"/>
      <x:c r="D58" s="17"/>
      <x:c r="E58" s="2"/>
      <x:c r="F58" s="10"/>
      <x:c r="G58" s="11"/>
      <x:c r="H58" s="2"/>
      <x:c r="I58" s="7"/>
      <x:c r="J58" s="2"/>
      <x:c r="K58" s="2"/>
      <x:c r="L58" s="2"/>
      <x:c r="M58" s="2"/>
      <x:c r="N58" s="11" t="str">
        <x:f>IF(A58="","",IF(AND(ISNUMBER(G58),ISNUMBER(L58),ISNUMBER(M58)),G58+(L58+M58)/1440,""))</x:f>
      </x:c>
      <x:c r="O58" s="2" t="str">
        <x:f>IF(A58="","",IF(OR(N58="",F58=""),"Dados incompletos",IF(OR(I58="pendente",I58="confirmado"),IF(K58="",0,COUNTIFS($F$2:$F$501,F58,$G$2:$G$501,"&lt;"&amp;N58,$N$2:$N$501,"&gt;"&amp;G58,$I$2:$I$501,"pendente",$K$2:$K$501,K58)+COUNTIFS($F$2:$F$501,F58,$G$2:$G$501,"&lt;"&amp;N58,$N$2:$N$501,"&gt;"&amp;G58,$I$2:$I$501,"confirmado",$K$2:$K$501,K58)-1),0)))</x:f>
      </x:c>
      <x:c r="P58" s="2" t="str">
        <x:f>IF(A58="","",IF(OR(N58="",F58=""),"Dados incompletos",IF(OR(I58="pendente",I58="confirmado"),COUNTIFS($F$2:$F$501,F58,$G$2:$G$501,"&lt;"&amp;N58,$N$2:$N$501,"&gt;"&amp;G58,$I$2:$I$501,"pendente",$E$2:$E$501,E58)+COUNTIFS($F$2:$F$501,F58,$G$2:$G$501,"&lt;"&amp;N58,$N$2:$N$501,"&gt;"&amp;G58,$I$2:$I$501,"confirmado",$E$2:$E$501,E58)-1,0)))</x:f>
      </x:c>
    </x:row>
    <x:row r="59" ht="24" customHeight="1">
      <x:c r="A59" s="17"/>
      <x:c r="B59" s="16"/>
      <x:c r="C59" s="2"/>
      <x:c r="D59" s="17"/>
      <x:c r="E59" s="2"/>
      <x:c r="F59" s="10"/>
      <x:c r="G59" s="11"/>
      <x:c r="H59" s="2"/>
      <x:c r="I59" s="7"/>
      <x:c r="J59" s="2"/>
      <x:c r="K59" s="2"/>
      <x:c r="L59" s="2"/>
      <x:c r="M59" s="2"/>
      <x:c r="N59" s="11" t="str">
        <x:f>IF(A59="","",IF(AND(ISNUMBER(G59),ISNUMBER(L59),ISNUMBER(M59)),G59+(L59+M59)/1440,""))</x:f>
      </x:c>
      <x:c r="O59" s="2" t="str">
        <x:f>IF(A59="","",IF(OR(N59="",F59=""),"Dados incompletos",IF(OR(I59="pendente",I59="confirmado"),IF(K59="",0,COUNTIFS($F$2:$F$501,F59,$G$2:$G$501,"&lt;"&amp;N59,$N$2:$N$501,"&gt;"&amp;G59,$I$2:$I$501,"pendente",$K$2:$K$501,K59)+COUNTIFS($F$2:$F$501,F59,$G$2:$G$501,"&lt;"&amp;N59,$N$2:$N$501,"&gt;"&amp;G59,$I$2:$I$501,"confirmado",$K$2:$K$501,K59)-1),0)))</x:f>
      </x:c>
      <x:c r="P59" s="2" t="str">
        <x:f>IF(A59="","",IF(OR(N59="",F59=""),"Dados incompletos",IF(OR(I59="pendente",I59="confirmado"),COUNTIFS($F$2:$F$501,F59,$G$2:$G$501,"&lt;"&amp;N59,$N$2:$N$501,"&gt;"&amp;G59,$I$2:$I$501,"pendente",$E$2:$E$501,E59)+COUNTIFS($F$2:$F$501,F59,$G$2:$G$501,"&lt;"&amp;N59,$N$2:$N$501,"&gt;"&amp;G59,$I$2:$I$501,"confirmado",$E$2:$E$501,E59)-1,0)))</x:f>
      </x:c>
    </x:row>
    <x:row r="60" ht="24" customHeight="1">
      <x:c r="A60" s="17"/>
      <x:c r="B60" s="16"/>
      <x:c r="C60" s="2"/>
      <x:c r="D60" s="17"/>
      <x:c r="E60" s="2"/>
      <x:c r="F60" s="10"/>
      <x:c r="G60" s="11"/>
      <x:c r="H60" s="2"/>
      <x:c r="I60" s="7"/>
      <x:c r="J60" s="2"/>
      <x:c r="K60" s="2"/>
      <x:c r="L60" s="2"/>
      <x:c r="M60" s="2"/>
      <x:c r="N60" s="11" t="str">
        <x:f>IF(A60="","",IF(AND(ISNUMBER(G60),ISNUMBER(L60),ISNUMBER(M60)),G60+(L60+M60)/1440,""))</x:f>
      </x:c>
      <x:c r="O60" s="2" t="str">
        <x:f>IF(A60="","",IF(OR(N60="",F60=""),"Dados incompletos",IF(OR(I60="pendente",I60="confirmado"),IF(K60="",0,COUNTIFS($F$2:$F$501,F60,$G$2:$G$501,"&lt;"&amp;N60,$N$2:$N$501,"&gt;"&amp;G60,$I$2:$I$501,"pendente",$K$2:$K$501,K60)+COUNTIFS($F$2:$F$501,F60,$G$2:$G$501,"&lt;"&amp;N60,$N$2:$N$501,"&gt;"&amp;G60,$I$2:$I$501,"confirmado",$K$2:$K$501,K60)-1),0)))</x:f>
      </x:c>
      <x:c r="P60" s="2" t="str">
        <x:f>IF(A60="","",IF(OR(N60="",F60=""),"Dados incompletos",IF(OR(I60="pendente",I60="confirmado"),COUNTIFS($F$2:$F$501,F60,$G$2:$G$501,"&lt;"&amp;N60,$N$2:$N$501,"&gt;"&amp;G60,$I$2:$I$501,"pendente",$E$2:$E$501,E60)+COUNTIFS($F$2:$F$501,F60,$G$2:$G$501,"&lt;"&amp;N60,$N$2:$N$501,"&gt;"&amp;G60,$I$2:$I$501,"confirmado",$E$2:$E$501,E60)-1,0)))</x:f>
      </x:c>
    </x:row>
    <x:row r="61" ht="24" customHeight="1">
      <x:c r="A61" s="17"/>
      <x:c r="B61" s="16"/>
      <x:c r="C61" s="2"/>
      <x:c r="D61" s="17"/>
      <x:c r="E61" s="2"/>
      <x:c r="F61" s="10"/>
      <x:c r="G61" s="11"/>
      <x:c r="H61" s="2"/>
      <x:c r="I61" s="7"/>
      <x:c r="J61" s="2"/>
      <x:c r="K61" s="2"/>
      <x:c r="L61" s="2"/>
      <x:c r="M61" s="2"/>
      <x:c r="N61" s="11" t="str">
        <x:f>IF(A61="","",IF(AND(ISNUMBER(G61),ISNUMBER(L61),ISNUMBER(M61)),G61+(L61+M61)/1440,""))</x:f>
      </x:c>
      <x:c r="O61" s="2" t="str">
        <x:f>IF(A61="","",IF(OR(N61="",F61=""),"Dados incompletos",IF(OR(I61="pendente",I61="confirmado"),IF(K61="",0,COUNTIFS($F$2:$F$501,F61,$G$2:$G$501,"&lt;"&amp;N61,$N$2:$N$501,"&gt;"&amp;G61,$I$2:$I$501,"pendente",$K$2:$K$501,K61)+COUNTIFS($F$2:$F$501,F61,$G$2:$G$501,"&lt;"&amp;N61,$N$2:$N$501,"&gt;"&amp;G61,$I$2:$I$501,"confirmado",$K$2:$K$501,K61)-1),0)))</x:f>
      </x:c>
      <x:c r="P61" s="2" t="str">
        <x:f>IF(A61="","",IF(OR(N61="",F61=""),"Dados incompletos",IF(OR(I61="pendente",I61="confirmado"),COUNTIFS($F$2:$F$501,F61,$G$2:$G$501,"&lt;"&amp;N61,$N$2:$N$501,"&gt;"&amp;G61,$I$2:$I$501,"pendente",$E$2:$E$501,E61)+COUNTIFS($F$2:$F$501,F61,$G$2:$G$501,"&lt;"&amp;N61,$N$2:$N$501,"&gt;"&amp;G61,$I$2:$I$501,"confirmado",$E$2:$E$501,E61)-1,0)))</x:f>
      </x:c>
    </x:row>
    <x:row r="62" ht="24" customHeight="1">
      <x:c r="A62" s="17"/>
      <x:c r="B62" s="16"/>
      <x:c r="C62" s="2"/>
      <x:c r="D62" s="17"/>
      <x:c r="E62" s="2"/>
      <x:c r="F62" s="10"/>
      <x:c r="G62" s="11"/>
      <x:c r="H62" s="2"/>
      <x:c r="I62" s="7"/>
      <x:c r="J62" s="2"/>
      <x:c r="K62" s="2"/>
      <x:c r="L62" s="2"/>
      <x:c r="M62" s="2"/>
      <x:c r="N62" s="11" t="str">
        <x:f>IF(A62="","",IF(AND(ISNUMBER(G62),ISNUMBER(L62),ISNUMBER(M62)),G62+(L62+M62)/1440,""))</x:f>
      </x:c>
      <x:c r="O62" s="2" t="str">
        <x:f>IF(A62="","",IF(OR(N62="",F62=""),"Dados incompletos",IF(OR(I62="pendente",I62="confirmado"),IF(K62="",0,COUNTIFS($F$2:$F$501,F62,$G$2:$G$501,"&lt;"&amp;N62,$N$2:$N$501,"&gt;"&amp;G62,$I$2:$I$501,"pendente",$K$2:$K$501,K62)+COUNTIFS($F$2:$F$501,F62,$G$2:$G$501,"&lt;"&amp;N62,$N$2:$N$501,"&gt;"&amp;G62,$I$2:$I$501,"confirmado",$K$2:$K$501,K62)-1),0)))</x:f>
      </x:c>
      <x:c r="P62" s="2" t="str">
        <x:f>IF(A62="","",IF(OR(N62="",F62=""),"Dados incompletos",IF(OR(I62="pendente",I62="confirmado"),COUNTIFS($F$2:$F$501,F62,$G$2:$G$501,"&lt;"&amp;N62,$N$2:$N$501,"&gt;"&amp;G62,$I$2:$I$501,"pendente",$E$2:$E$501,E62)+COUNTIFS($F$2:$F$501,F62,$G$2:$G$501,"&lt;"&amp;N62,$N$2:$N$501,"&gt;"&amp;G62,$I$2:$I$501,"confirmado",$E$2:$E$501,E62)-1,0)))</x:f>
      </x:c>
    </x:row>
    <x:row r="63" ht="24" customHeight="1">
      <x:c r="A63" s="17"/>
      <x:c r="B63" s="16"/>
      <x:c r="C63" s="2"/>
      <x:c r="D63" s="17"/>
      <x:c r="E63" s="2"/>
      <x:c r="F63" s="10"/>
      <x:c r="G63" s="11"/>
      <x:c r="H63" s="2"/>
      <x:c r="I63" s="7"/>
      <x:c r="J63" s="2"/>
      <x:c r="K63" s="2"/>
      <x:c r="L63" s="2"/>
      <x:c r="M63" s="2"/>
      <x:c r="N63" s="11" t="str">
        <x:f>IF(A63="","",IF(AND(ISNUMBER(G63),ISNUMBER(L63),ISNUMBER(M63)),G63+(L63+M63)/1440,""))</x:f>
      </x:c>
      <x:c r="O63" s="2" t="str">
        <x:f>IF(A63="","",IF(OR(N63="",F63=""),"Dados incompletos",IF(OR(I63="pendente",I63="confirmado"),IF(K63="",0,COUNTIFS($F$2:$F$501,F63,$G$2:$G$501,"&lt;"&amp;N63,$N$2:$N$501,"&gt;"&amp;G63,$I$2:$I$501,"pendente",$K$2:$K$501,K63)+COUNTIFS($F$2:$F$501,F63,$G$2:$G$501,"&lt;"&amp;N63,$N$2:$N$501,"&gt;"&amp;G63,$I$2:$I$501,"confirmado",$K$2:$K$501,K63)-1),0)))</x:f>
      </x:c>
      <x:c r="P63" s="2" t="str">
        <x:f>IF(A63="","",IF(OR(N63="",F63=""),"Dados incompletos",IF(OR(I63="pendente",I63="confirmado"),COUNTIFS($F$2:$F$501,F63,$G$2:$G$501,"&lt;"&amp;N63,$N$2:$N$501,"&gt;"&amp;G63,$I$2:$I$501,"pendente",$E$2:$E$501,E63)+COUNTIFS($F$2:$F$501,F63,$G$2:$G$501,"&lt;"&amp;N63,$N$2:$N$501,"&gt;"&amp;G63,$I$2:$I$501,"confirmado",$E$2:$E$501,E63)-1,0)))</x:f>
      </x:c>
    </x:row>
    <x:row r="64" ht="24" customHeight="1">
      <x:c r="A64" s="17"/>
      <x:c r="B64" s="16"/>
      <x:c r="C64" s="2"/>
      <x:c r="D64" s="17"/>
      <x:c r="E64" s="2"/>
      <x:c r="F64" s="10"/>
      <x:c r="G64" s="11"/>
      <x:c r="H64" s="2"/>
      <x:c r="I64" s="7"/>
      <x:c r="J64" s="2"/>
      <x:c r="K64" s="2"/>
      <x:c r="L64" s="2"/>
      <x:c r="M64" s="2"/>
      <x:c r="N64" s="11" t="str">
        <x:f>IF(A64="","",IF(AND(ISNUMBER(G64),ISNUMBER(L64),ISNUMBER(M64)),G64+(L64+M64)/1440,""))</x:f>
      </x:c>
      <x:c r="O64" s="2" t="str">
        <x:f>IF(A64="","",IF(OR(N64="",F64=""),"Dados incompletos",IF(OR(I64="pendente",I64="confirmado"),IF(K64="",0,COUNTIFS($F$2:$F$501,F64,$G$2:$G$501,"&lt;"&amp;N64,$N$2:$N$501,"&gt;"&amp;G64,$I$2:$I$501,"pendente",$K$2:$K$501,K64)+COUNTIFS($F$2:$F$501,F64,$G$2:$G$501,"&lt;"&amp;N64,$N$2:$N$501,"&gt;"&amp;G64,$I$2:$I$501,"confirmado",$K$2:$K$501,K64)-1),0)))</x:f>
      </x:c>
      <x:c r="P64" s="2" t="str">
        <x:f>IF(A64="","",IF(OR(N64="",F64=""),"Dados incompletos",IF(OR(I64="pendente",I64="confirmado"),COUNTIFS($F$2:$F$501,F64,$G$2:$G$501,"&lt;"&amp;N64,$N$2:$N$501,"&gt;"&amp;G64,$I$2:$I$501,"pendente",$E$2:$E$501,E64)+COUNTIFS($F$2:$F$501,F64,$G$2:$G$501,"&lt;"&amp;N64,$N$2:$N$501,"&gt;"&amp;G64,$I$2:$I$501,"confirmado",$E$2:$E$501,E64)-1,0)))</x:f>
      </x:c>
    </x:row>
    <x:row r="65" ht="24" customHeight="1">
      <x:c r="A65" s="17"/>
      <x:c r="B65" s="16"/>
      <x:c r="C65" s="2"/>
      <x:c r="D65" s="17"/>
      <x:c r="E65" s="2"/>
      <x:c r="F65" s="10"/>
      <x:c r="G65" s="11"/>
      <x:c r="H65" s="2"/>
      <x:c r="I65" s="7"/>
      <x:c r="J65" s="2"/>
      <x:c r="K65" s="2"/>
      <x:c r="L65" s="2"/>
      <x:c r="M65" s="2"/>
      <x:c r="N65" s="11" t="str">
        <x:f>IF(A65="","",IF(AND(ISNUMBER(G65),ISNUMBER(L65),ISNUMBER(M65)),G65+(L65+M65)/1440,""))</x:f>
      </x:c>
      <x:c r="O65" s="2" t="str">
        <x:f>IF(A65="","",IF(OR(N65="",F65=""),"Dados incompletos",IF(OR(I65="pendente",I65="confirmado"),IF(K65="",0,COUNTIFS($F$2:$F$501,F65,$G$2:$G$501,"&lt;"&amp;N65,$N$2:$N$501,"&gt;"&amp;G65,$I$2:$I$501,"pendente",$K$2:$K$501,K65)+COUNTIFS($F$2:$F$501,F65,$G$2:$G$501,"&lt;"&amp;N65,$N$2:$N$501,"&gt;"&amp;G65,$I$2:$I$501,"confirmado",$K$2:$K$501,K65)-1),0)))</x:f>
      </x:c>
      <x:c r="P65" s="2" t="str">
        <x:f>IF(A65="","",IF(OR(N65="",F65=""),"Dados incompletos",IF(OR(I65="pendente",I65="confirmado"),COUNTIFS($F$2:$F$501,F65,$G$2:$G$501,"&lt;"&amp;N65,$N$2:$N$501,"&gt;"&amp;G65,$I$2:$I$501,"pendente",$E$2:$E$501,E65)+COUNTIFS($F$2:$F$501,F65,$G$2:$G$501,"&lt;"&amp;N65,$N$2:$N$501,"&gt;"&amp;G65,$I$2:$I$501,"confirmado",$E$2:$E$501,E65)-1,0)))</x:f>
      </x:c>
    </x:row>
    <x:row r="66" ht="24" customHeight="1">
      <x:c r="A66" s="17"/>
      <x:c r="B66" s="16"/>
      <x:c r="C66" s="2"/>
      <x:c r="D66" s="17"/>
      <x:c r="E66" s="2"/>
      <x:c r="F66" s="10"/>
      <x:c r="G66" s="11"/>
      <x:c r="H66" s="2"/>
      <x:c r="I66" s="7"/>
      <x:c r="J66" s="2"/>
      <x:c r="K66" s="2"/>
      <x:c r="L66" s="2"/>
      <x:c r="M66" s="2"/>
      <x:c r="N66" s="11" t="str">
        <x:f>IF(A66="","",IF(AND(ISNUMBER(G66),ISNUMBER(L66),ISNUMBER(M66)),G66+(L66+M66)/1440,""))</x:f>
      </x:c>
      <x:c r="O66" s="2" t="str">
        <x:f>IF(A66="","",IF(OR(N66="",F66=""),"Dados incompletos",IF(OR(I66="pendente",I66="confirmado"),IF(K66="",0,COUNTIFS($F$2:$F$501,F66,$G$2:$G$501,"&lt;"&amp;N66,$N$2:$N$501,"&gt;"&amp;G66,$I$2:$I$501,"pendente",$K$2:$K$501,K66)+COUNTIFS($F$2:$F$501,F66,$G$2:$G$501,"&lt;"&amp;N66,$N$2:$N$501,"&gt;"&amp;G66,$I$2:$I$501,"confirmado",$K$2:$K$501,K66)-1),0)))</x:f>
      </x:c>
      <x:c r="P66" s="2" t="str">
        <x:f>IF(A66="","",IF(OR(N66="",F66=""),"Dados incompletos",IF(OR(I66="pendente",I66="confirmado"),COUNTIFS($F$2:$F$501,F66,$G$2:$G$501,"&lt;"&amp;N66,$N$2:$N$501,"&gt;"&amp;G66,$I$2:$I$501,"pendente",$E$2:$E$501,E66)+COUNTIFS($F$2:$F$501,F66,$G$2:$G$501,"&lt;"&amp;N66,$N$2:$N$501,"&gt;"&amp;G66,$I$2:$I$501,"confirmado",$E$2:$E$501,E66)-1,0)))</x:f>
      </x:c>
    </x:row>
    <x:row r="67" ht="24" customHeight="1">
      <x:c r="A67" s="17"/>
      <x:c r="B67" s="16"/>
      <x:c r="C67" s="2"/>
      <x:c r="D67" s="17"/>
      <x:c r="E67" s="2"/>
      <x:c r="F67" s="10"/>
      <x:c r="G67" s="11"/>
      <x:c r="H67" s="2"/>
      <x:c r="I67" s="7"/>
      <x:c r="J67" s="2"/>
      <x:c r="K67" s="2"/>
      <x:c r="L67" s="2"/>
      <x:c r="M67" s="2"/>
      <x:c r="N67" s="11" t="str">
        <x:f>IF(A67="","",IF(AND(ISNUMBER(G67),ISNUMBER(L67),ISNUMBER(M67)),G67+(L67+M67)/1440,""))</x:f>
      </x:c>
      <x:c r="O67" s="2" t="str">
        <x:f>IF(A67="","",IF(OR(N67="",F67=""),"Dados incompletos",IF(OR(I67="pendente",I67="confirmado"),IF(K67="",0,COUNTIFS($F$2:$F$501,F67,$G$2:$G$501,"&lt;"&amp;N67,$N$2:$N$501,"&gt;"&amp;G67,$I$2:$I$501,"pendente",$K$2:$K$501,K67)+COUNTIFS($F$2:$F$501,F67,$G$2:$G$501,"&lt;"&amp;N67,$N$2:$N$501,"&gt;"&amp;G67,$I$2:$I$501,"confirmado",$K$2:$K$501,K67)-1),0)))</x:f>
      </x:c>
      <x:c r="P67" s="2" t="str">
        <x:f>IF(A67="","",IF(OR(N67="",F67=""),"Dados incompletos",IF(OR(I67="pendente",I67="confirmado"),COUNTIFS($F$2:$F$501,F67,$G$2:$G$501,"&lt;"&amp;N67,$N$2:$N$501,"&gt;"&amp;G67,$I$2:$I$501,"pendente",$E$2:$E$501,E67)+COUNTIFS($F$2:$F$501,F67,$G$2:$G$501,"&lt;"&amp;N67,$N$2:$N$501,"&gt;"&amp;G67,$I$2:$I$501,"confirmado",$E$2:$E$501,E67)-1,0)))</x:f>
      </x:c>
    </x:row>
    <x:row r="68" ht="24" customHeight="1">
      <x:c r="A68" s="17"/>
      <x:c r="B68" s="16"/>
      <x:c r="C68" s="2"/>
      <x:c r="D68" s="17"/>
      <x:c r="E68" s="2"/>
      <x:c r="F68" s="10"/>
      <x:c r="G68" s="11"/>
      <x:c r="H68" s="2"/>
      <x:c r="I68" s="7"/>
      <x:c r="J68" s="2"/>
      <x:c r="K68" s="2"/>
      <x:c r="L68" s="2"/>
      <x:c r="M68" s="2"/>
      <x:c r="N68" s="11" t="str">
        <x:f>IF(A68="","",IF(AND(ISNUMBER(G68),ISNUMBER(L68),ISNUMBER(M68)),G68+(L68+M68)/1440,""))</x:f>
      </x:c>
      <x:c r="O68" s="2" t="str">
        <x:f>IF(A68="","",IF(OR(N68="",F68=""),"Dados incompletos",IF(OR(I68="pendente",I68="confirmado"),IF(K68="",0,COUNTIFS($F$2:$F$501,F68,$G$2:$G$501,"&lt;"&amp;N68,$N$2:$N$501,"&gt;"&amp;G68,$I$2:$I$501,"pendente",$K$2:$K$501,K68)+COUNTIFS($F$2:$F$501,F68,$G$2:$G$501,"&lt;"&amp;N68,$N$2:$N$501,"&gt;"&amp;G68,$I$2:$I$501,"confirmado",$K$2:$K$501,K68)-1),0)))</x:f>
      </x:c>
      <x:c r="P68" s="2" t="str">
        <x:f>IF(A68="","",IF(OR(N68="",F68=""),"Dados incompletos",IF(OR(I68="pendente",I68="confirmado"),COUNTIFS($F$2:$F$501,F68,$G$2:$G$501,"&lt;"&amp;N68,$N$2:$N$501,"&gt;"&amp;G68,$I$2:$I$501,"pendente",$E$2:$E$501,E68)+COUNTIFS($F$2:$F$501,F68,$G$2:$G$501,"&lt;"&amp;N68,$N$2:$N$501,"&gt;"&amp;G68,$I$2:$I$501,"confirmado",$E$2:$E$501,E68)-1,0)))</x:f>
      </x:c>
    </x:row>
    <x:row r="69" ht="24" customHeight="1">
      <x:c r="A69" s="17"/>
      <x:c r="B69" s="16"/>
      <x:c r="C69" s="2"/>
      <x:c r="D69" s="17"/>
      <x:c r="E69" s="2"/>
      <x:c r="F69" s="10"/>
      <x:c r="G69" s="11"/>
      <x:c r="H69" s="2"/>
      <x:c r="I69" s="7"/>
      <x:c r="J69" s="2"/>
      <x:c r="K69" s="2"/>
      <x:c r="L69" s="2"/>
      <x:c r="M69" s="2"/>
      <x:c r="N69" s="11" t="str">
        <x:f>IF(A69="","",IF(AND(ISNUMBER(G69),ISNUMBER(L69),ISNUMBER(M69)),G69+(L69+M69)/1440,""))</x:f>
      </x:c>
      <x:c r="O69" s="2" t="str">
        <x:f>IF(A69="","",IF(OR(N69="",F69=""),"Dados incompletos",IF(OR(I69="pendente",I69="confirmado"),IF(K69="",0,COUNTIFS($F$2:$F$501,F69,$G$2:$G$501,"&lt;"&amp;N69,$N$2:$N$501,"&gt;"&amp;G69,$I$2:$I$501,"pendente",$K$2:$K$501,K69)+COUNTIFS($F$2:$F$501,F69,$G$2:$G$501,"&lt;"&amp;N69,$N$2:$N$501,"&gt;"&amp;G69,$I$2:$I$501,"confirmado",$K$2:$K$501,K69)-1),0)))</x:f>
      </x:c>
      <x:c r="P69" s="2" t="str">
        <x:f>IF(A69="","",IF(OR(N69="",F69=""),"Dados incompletos",IF(OR(I69="pendente",I69="confirmado"),COUNTIFS($F$2:$F$501,F69,$G$2:$G$501,"&lt;"&amp;N69,$N$2:$N$501,"&gt;"&amp;G69,$I$2:$I$501,"pendente",$E$2:$E$501,E69)+COUNTIFS($F$2:$F$501,F69,$G$2:$G$501,"&lt;"&amp;N69,$N$2:$N$501,"&gt;"&amp;G69,$I$2:$I$501,"confirmado",$E$2:$E$501,E69)-1,0)))</x:f>
      </x:c>
    </x:row>
    <x:row r="70" ht="24" customHeight="1">
      <x:c r="A70" s="17"/>
      <x:c r="B70" s="16"/>
      <x:c r="C70" s="2"/>
      <x:c r="D70" s="17"/>
      <x:c r="E70" s="2"/>
      <x:c r="F70" s="10"/>
      <x:c r="G70" s="11"/>
      <x:c r="H70" s="2"/>
      <x:c r="I70" s="7"/>
      <x:c r="J70" s="2"/>
      <x:c r="K70" s="2"/>
      <x:c r="L70" s="2"/>
      <x:c r="M70" s="2"/>
      <x:c r="N70" s="11" t="str">
        <x:f>IF(A70="","",IF(AND(ISNUMBER(G70),ISNUMBER(L70),ISNUMBER(M70)),G70+(L70+M70)/1440,""))</x:f>
      </x:c>
      <x:c r="O70" s="2" t="str">
        <x:f>IF(A70="","",IF(OR(N70="",F70=""),"Dados incompletos",IF(OR(I70="pendente",I70="confirmado"),IF(K70="",0,COUNTIFS($F$2:$F$501,F70,$G$2:$G$501,"&lt;"&amp;N70,$N$2:$N$501,"&gt;"&amp;G70,$I$2:$I$501,"pendente",$K$2:$K$501,K70)+COUNTIFS($F$2:$F$501,F70,$G$2:$G$501,"&lt;"&amp;N70,$N$2:$N$501,"&gt;"&amp;G70,$I$2:$I$501,"confirmado",$K$2:$K$501,K70)-1),0)))</x:f>
      </x:c>
      <x:c r="P70" s="2" t="str">
        <x:f>IF(A70="","",IF(OR(N70="",F70=""),"Dados incompletos",IF(OR(I70="pendente",I70="confirmado"),COUNTIFS($F$2:$F$501,F70,$G$2:$G$501,"&lt;"&amp;N70,$N$2:$N$501,"&gt;"&amp;G70,$I$2:$I$501,"pendente",$E$2:$E$501,E70)+COUNTIFS($F$2:$F$501,F70,$G$2:$G$501,"&lt;"&amp;N70,$N$2:$N$501,"&gt;"&amp;G70,$I$2:$I$501,"confirmado",$E$2:$E$501,E70)-1,0)))</x:f>
      </x:c>
    </x:row>
    <x:row r="71" ht="24" customHeight="1">
      <x:c r="A71" s="17"/>
      <x:c r="B71" s="16"/>
      <x:c r="C71" s="2"/>
      <x:c r="D71" s="17"/>
      <x:c r="E71" s="2"/>
      <x:c r="F71" s="10"/>
      <x:c r="G71" s="11"/>
      <x:c r="H71" s="2"/>
      <x:c r="I71" s="7"/>
      <x:c r="J71" s="2"/>
      <x:c r="K71" s="2"/>
      <x:c r="L71" s="2"/>
      <x:c r="M71" s="2"/>
      <x:c r="N71" s="11" t="str">
        <x:f>IF(A71="","",IF(AND(ISNUMBER(G71),ISNUMBER(L71),ISNUMBER(M71)),G71+(L71+M71)/1440,""))</x:f>
      </x:c>
      <x:c r="O71" s="2" t="str">
        <x:f>IF(A71="","",IF(OR(N71="",F71=""),"Dados incompletos",IF(OR(I71="pendente",I71="confirmado"),IF(K71="",0,COUNTIFS($F$2:$F$501,F71,$G$2:$G$501,"&lt;"&amp;N71,$N$2:$N$501,"&gt;"&amp;G71,$I$2:$I$501,"pendente",$K$2:$K$501,K71)+COUNTIFS($F$2:$F$501,F71,$G$2:$G$501,"&lt;"&amp;N71,$N$2:$N$501,"&gt;"&amp;G71,$I$2:$I$501,"confirmado",$K$2:$K$501,K71)-1),0)))</x:f>
      </x:c>
      <x:c r="P71" s="2" t="str">
        <x:f>IF(A71="","",IF(OR(N71="",F71=""),"Dados incompletos",IF(OR(I71="pendente",I71="confirmado"),COUNTIFS($F$2:$F$501,F71,$G$2:$G$501,"&lt;"&amp;N71,$N$2:$N$501,"&gt;"&amp;G71,$I$2:$I$501,"pendente",$E$2:$E$501,E71)+COUNTIFS($F$2:$F$501,F71,$G$2:$G$501,"&lt;"&amp;N71,$N$2:$N$501,"&gt;"&amp;G71,$I$2:$I$501,"confirmado",$E$2:$E$501,E71)-1,0)))</x:f>
      </x:c>
    </x:row>
    <x:row r="72" ht="24" customHeight="1">
      <x:c r="A72" s="17"/>
      <x:c r="B72" s="16"/>
      <x:c r="C72" s="2"/>
      <x:c r="D72" s="17"/>
      <x:c r="E72" s="2"/>
      <x:c r="F72" s="10"/>
      <x:c r="G72" s="11"/>
      <x:c r="H72" s="2"/>
      <x:c r="I72" s="7"/>
      <x:c r="J72" s="2"/>
      <x:c r="K72" s="2"/>
      <x:c r="L72" s="2"/>
      <x:c r="M72" s="2"/>
      <x:c r="N72" s="11" t="str">
        <x:f>IF(A72="","",IF(AND(ISNUMBER(G72),ISNUMBER(L72),ISNUMBER(M72)),G72+(L72+M72)/1440,""))</x:f>
      </x:c>
      <x:c r="O72" s="2" t="str">
        <x:f>IF(A72="","",IF(OR(N72="",F72=""),"Dados incompletos",IF(OR(I72="pendente",I72="confirmado"),IF(K72="",0,COUNTIFS($F$2:$F$501,F72,$G$2:$G$501,"&lt;"&amp;N72,$N$2:$N$501,"&gt;"&amp;G72,$I$2:$I$501,"pendente",$K$2:$K$501,K72)+COUNTIFS($F$2:$F$501,F72,$G$2:$G$501,"&lt;"&amp;N72,$N$2:$N$501,"&gt;"&amp;G72,$I$2:$I$501,"confirmado",$K$2:$K$501,K72)-1),0)))</x:f>
      </x:c>
      <x:c r="P72" s="2" t="str">
        <x:f>IF(A72="","",IF(OR(N72="",F72=""),"Dados incompletos",IF(OR(I72="pendente",I72="confirmado"),COUNTIFS($F$2:$F$501,F72,$G$2:$G$501,"&lt;"&amp;N72,$N$2:$N$501,"&gt;"&amp;G72,$I$2:$I$501,"pendente",$E$2:$E$501,E72)+COUNTIFS($F$2:$F$501,F72,$G$2:$G$501,"&lt;"&amp;N72,$N$2:$N$501,"&gt;"&amp;G72,$I$2:$I$501,"confirmado",$E$2:$E$501,E72)-1,0)))</x:f>
      </x:c>
    </x:row>
    <x:row r="73" ht="24" customHeight="1">
      <x:c r="A73" s="17"/>
      <x:c r="B73" s="16"/>
      <x:c r="C73" s="2"/>
      <x:c r="D73" s="17"/>
      <x:c r="E73" s="2"/>
      <x:c r="F73" s="10"/>
      <x:c r="G73" s="11"/>
      <x:c r="H73" s="2"/>
      <x:c r="I73" s="7"/>
      <x:c r="J73" s="2"/>
      <x:c r="K73" s="2"/>
      <x:c r="L73" s="2"/>
      <x:c r="M73" s="2"/>
      <x:c r="N73" s="11" t="str">
        <x:f>IF(A73="","",IF(AND(ISNUMBER(G73),ISNUMBER(L73),ISNUMBER(M73)),G73+(L73+M73)/1440,""))</x:f>
      </x:c>
      <x:c r="O73" s="2" t="str">
        <x:f>IF(A73="","",IF(OR(N73="",F73=""),"Dados incompletos",IF(OR(I73="pendente",I73="confirmado"),IF(K73="",0,COUNTIFS($F$2:$F$501,F73,$G$2:$G$501,"&lt;"&amp;N73,$N$2:$N$501,"&gt;"&amp;G73,$I$2:$I$501,"pendente",$K$2:$K$501,K73)+COUNTIFS($F$2:$F$501,F73,$G$2:$G$501,"&lt;"&amp;N73,$N$2:$N$501,"&gt;"&amp;G73,$I$2:$I$501,"confirmado",$K$2:$K$501,K73)-1),0)))</x:f>
      </x:c>
      <x:c r="P73" s="2" t="str">
        <x:f>IF(A73="","",IF(OR(N73="",F73=""),"Dados incompletos",IF(OR(I73="pendente",I73="confirmado"),COUNTIFS($F$2:$F$501,F73,$G$2:$G$501,"&lt;"&amp;N73,$N$2:$N$501,"&gt;"&amp;G73,$I$2:$I$501,"pendente",$E$2:$E$501,E73)+COUNTIFS($F$2:$F$501,F73,$G$2:$G$501,"&lt;"&amp;N73,$N$2:$N$501,"&gt;"&amp;G73,$I$2:$I$501,"confirmado",$E$2:$E$501,E73)-1,0)))</x:f>
      </x:c>
    </x:row>
    <x:row r="74" ht="24" customHeight="1">
      <x:c r="A74" s="17"/>
      <x:c r="B74" s="16"/>
      <x:c r="C74" s="2"/>
      <x:c r="D74" s="17"/>
      <x:c r="E74" s="2"/>
      <x:c r="F74" s="10"/>
      <x:c r="G74" s="11"/>
      <x:c r="H74" s="2"/>
      <x:c r="I74" s="7"/>
      <x:c r="J74" s="2"/>
      <x:c r="K74" s="2"/>
      <x:c r="L74" s="2"/>
      <x:c r="M74" s="2"/>
      <x:c r="N74" s="11" t="str">
        <x:f>IF(A74="","",IF(AND(ISNUMBER(G74),ISNUMBER(L74),ISNUMBER(M74)),G74+(L74+M74)/1440,""))</x:f>
      </x:c>
      <x:c r="O74" s="2" t="str">
        <x:f>IF(A74="","",IF(OR(N74="",F74=""),"Dados incompletos",IF(OR(I74="pendente",I74="confirmado"),IF(K74="",0,COUNTIFS($F$2:$F$501,F74,$G$2:$G$501,"&lt;"&amp;N74,$N$2:$N$501,"&gt;"&amp;G74,$I$2:$I$501,"pendente",$K$2:$K$501,K74)+COUNTIFS($F$2:$F$501,F74,$G$2:$G$501,"&lt;"&amp;N74,$N$2:$N$501,"&gt;"&amp;G74,$I$2:$I$501,"confirmado",$K$2:$K$501,K74)-1),0)))</x:f>
      </x:c>
      <x:c r="P74" s="2" t="str">
        <x:f>IF(A74="","",IF(OR(N74="",F74=""),"Dados incompletos",IF(OR(I74="pendente",I74="confirmado"),COUNTIFS($F$2:$F$501,F74,$G$2:$G$501,"&lt;"&amp;N74,$N$2:$N$501,"&gt;"&amp;G74,$I$2:$I$501,"pendente",$E$2:$E$501,E74)+COUNTIFS($F$2:$F$501,F74,$G$2:$G$501,"&lt;"&amp;N74,$N$2:$N$501,"&gt;"&amp;G74,$I$2:$I$501,"confirmado",$E$2:$E$501,E74)-1,0)))</x:f>
      </x:c>
    </x:row>
    <x:row r="75" ht="24" customHeight="1">
      <x:c r="A75" s="17"/>
      <x:c r="B75" s="16"/>
      <x:c r="C75" s="2"/>
      <x:c r="D75" s="17"/>
      <x:c r="E75" s="2"/>
      <x:c r="F75" s="10"/>
      <x:c r="G75" s="11"/>
      <x:c r="H75" s="2"/>
      <x:c r="I75" s="7"/>
      <x:c r="J75" s="2"/>
      <x:c r="K75" s="2"/>
      <x:c r="L75" s="2"/>
      <x:c r="M75" s="2"/>
      <x:c r="N75" s="11" t="str">
        <x:f>IF(A75="","",IF(AND(ISNUMBER(G75),ISNUMBER(L75),ISNUMBER(M75)),G75+(L75+M75)/1440,""))</x:f>
      </x:c>
      <x:c r="O75" s="2" t="str">
        <x:f>IF(A75="","",IF(OR(N75="",F75=""),"Dados incompletos",IF(OR(I75="pendente",I75="confirmado"),IF(K75="",0,COUNTIFS($F$2:$F$501,F75,$G$2:$G$501,"&lt;"&amp;N75,$N$2:$N$501,"&gt;"&amp;G75,$I$2:$I$501,"pendente",$K$2:$K$501,K75)+COUNTIFS($F$2:$F$501,F75,$G$2:$G$501,"&lt;"&amp;N75,$N$2:$N$501,"&gt;"&amp;G75,$I$2:$I$501,"confirmado",$K$2:$K$501,K75)-1),0)))</x:f>
      </x:c>
      <x:c r="P75" s="2" t="str">
        <x:f>IF(A75="","",IF(OR(N75="",F75=""),"Dados incompletos",IF(OR(I75="pendente",I75="confirmado"),COUNTIFS($F$2:$F$501,F75,$G$2:$G$501,"&lt;"&amp;N75,$N$2:$N$501,"&gt;"&amp;G75,$I$2:$I$501,"pendente",$E$2:$E$501,E75)+COUNTIFS($F$2:$F$501,F75,$G$2:$G$501,"&lt;"&amp;N75,$N$2:$N$501,"&gt;"&amp;G75,$I$2:$I$501,"confirmado",$E$2:$E$501,E75)-1,0)))</x:f>
      </x:c>
    </x:row>
    <x:row r="76" ht="24" customHeight="1">
      <x:c r="A76" s="17"/>
      <x:c r="B76" s="16"/>
      <x:c r="C76" s="2"/>
      <x:c r="D76" s="17"/>
      <x:c r="E76" s="2"/>
      <x:c r="F76" s="10"/>
      <x:c r="G76" s="11"/>
      <x:c r="H76" s="2"/>
      <x:c r="I76" s="7"/>
      <x:c r="J76" s="2"/>
      <x:c r="K76" s="2"/>
      <x:c r="L76" s="2"/>
      <x:c r="M76" s="2"/>
      <x:c r="N76" s="11" t="str">
        <x:f>IF(A76="","",IF(AND(ISNUMBER(G76),ISNUMBER(L76),ISNUMBER(M76)),G76+(L76+M76)/1440,""))</x:f>
      </x:c>
      <x:c r="O76" s="2" t="str">
        <x:f>IF(A76="","",IF(OR(N76="",F76=""),"Dados incompletos",IF(OR(I76="pendente",I76="confirmado"),IF(K76="",0,COUNTIFS($F$2:$F$501,F76,$G$2:$G$501,"&lt;"&amp;N76,$N$2:$N$501,"&gt;"&amp;G76,$I$2:$I$501,"pendente",$K$2:$K$501,K76)+COUNTIFS($F$2:$F$501,F76,$G$2:$G$501,"&lt;"&amp;N76,$N$2:$N$501,"&gt;"&amp;G76,$I$2:$I$501,"confirmado",$K$2:$K$501,K76)-1),0)))</x:f>
      </x:c>
      <x:c r="P76" s="2" t="str">
        <x:f>IF(A76="","",IF(OR(N76="",F76=""),"Dados incompletos",IF(OR(I76="pendente",I76="confirmado"),COUNTIFS($F$2:$F$501,F76,$G$2:$G$501,"&lt;"&amp;N76,$N$2:$N$501,"&gt;"&amp;G76,$I$2:$I$501,"pendente",$E$2:$E$501,E76)+COUNTIFS($F$2:$F$501,F76,$G$2:$G$501,"&lt;"&amp;N76,$N$2:$N$501,"&gt;"&amp;G76,$I$2:$I$501,"confirmado",$E$2:$E$501,E76)-1,0)))</x:f>
      </x:c>
    </x:row>
    <x:row r="77" ht="24" customHeight="1">
      <x:c r="A77" s="17"/>
      <x:c r="B77" s="16"/>
      <x:c r="C77" s="2"/>
      <x:c r="D77" s="17"/>
      <x:c r="E77" s="2"/>
      <x:c r="F77" s="10"/>
      <x:c r="G77" s="11"/>
      <x:c r="H77" s="2"/>
      <x:c r="I77" s="7"/>
      <x:c r="J77" s="2"/>
      <x:c r="K77" s="2"/>
      <x:c r="L77" s="2"/>
      <x:c r="M77" s="2"/>
      <x:c r="N77" s="11" t="str">
        <x:f>IF(A77="","",IF(AND(ISNUMBER(G77),ISNUMBER(L77),ISNUMBER(M77)),G77+(L77+M77)/1440,""))</x:f>
      </x:c>
      <x:c r="O77" s="2" t="str">
        <x:f>IF(A77="","",IF(OR(N77="",F77=""),"Dados incompletos",IF(OR(I77="pendente",I77="confirmado"),IF(K77="",0,COUNTIFS($F$2:$F$501,F77,$G$2:$G$501,"&lt;"&amp;N77,$N$2:$N$501,"&gt;"&amp;G77,$I$2:$I$501,"pendente",$K$2:$K$501,K77)+COUNTIFS($F$2:$F$501,F77,$G$2:$G$501,"&lt;"&amp;N77,$N$2:$N$501,"&gt;"&amp;G77,$I$2:$I$501,"confirmado",$K$2:$K$501,K77)-1),0)))</x:f>
      </x:c>
      <x:c r="P77" s="2" t="str">
        <x:f>IF(A77="","",IF(OR(N77="",F77=""),"Dados incompletos",IF(OR(I77="pendente",I77="confirmado"),COUNTIFS($F$2:$F$501,F77,$G$2:$G$501,"&lt;"&amp;N77,$N$2:$N$501,"&gt;"&amp;G77,$I$2:$I$501,"pendente",$E$2:$E$501,E77)+COUNTIFS($F$2:$F$501,F77,$G$2:$G$501,"&lt;"&amp;N77,$N$2:$N$501,"&gt;"&amp;G77,$I$2:$I$501,"confirmado",$E$2:$E$501,E77)-1,0)))</x:f>
      </x:c>
    </x:row>
    <x:row r="78" ht="24" customHeight="1">
      <x:c r="A78" s="17"/>
      <x:c r="B78" s="16"/>
      <x:c r="C78" s="2"/>
      <x:c r="D78" s="17"/>
      <x:c r="E78" s="2"/>
      <x:c r="F78" s="10"/>
      <x:c r="G78" s="11"/>
      <x:c r="H78" s="2"/>
      <x:c r="I78" s="7"/>
      <x:c r="J78" s="2"/>
      <x:c r="K78" s="2"/>
      <x:c r="L78" s="2"/>
      <x:c r="M78" s="2"/>
      <x:c r="N78" s="11" t="str">
        <x:f>IF(A78="","",IF(AND(ISNUMBER(G78),ISNUMBER(L78),ISNUMBER(M78)),G78+(L78+M78)/1440,""))</x:f>
      </x:c>
      <x:c r="O78" s="2" t="str">
        <x:f>IF(A78="","",IF(OR(N78="",F78=""),"Dados incompletos",IF(OR(I78="pendente",I78="confirmado"),IF(K78="",0,COUNTIFS($F$2:$F$501,F78,$G$2:$G$501,"&lt;"&amp;N78,$N$2:$N$501,"&gt;"&amp;G78,$I$2:$I$501,"pendente",$K$2:$K$501,K78)+COUNTIFS($F$2:$F$501,F78,$G$2:$G$501,"&lt;"&amp;N78,$N$2:$N$501,"&gt;"&amp;G78,$I$2:$I$501,"confirmado",$K$2:$K$501,K78)-1),0)))</x:f>
      </x:c>
      <x:c r="P78" s="2" t="str">
        <x:f>IF(A78="","",IF(OR(N78="",F78=""),"Dados incompletos",IF(OR(I78="pendente",I78="confirmado"),COUNTIFS($F$2:$F$501,F78,$G$2:$G$501,"&lt;"&amp;N78,$N$2:$N$501,"&gt;"&amp;G78,$I$2:$I$501,"pendente",$E$2:$E$501,E78)+COUNTIFS($F$2:$F$501,F78,$G$2:$G$501,"&lt;"&amp;N78,$N$2:$N$501,"&gt;"&amp;G78,$I$2:$I$501,"confirmado",$E$2:$E$501,E78)-1,0)))</x:f>
      </x:c>
    </x:row>
    <x:row r="79" ht="24" customHeight="1">
      <x:c r="A79" s="17"/>
      <x:c r="B79" s="16"/>
      <x:c r="C79" s="2"/>
      <x:c r="D79" s="17"/>
      <x:c r="E79" s="2"/>
      <x:c r="F79" s="10"/>
      <x:c r="G79" s="11"/>
      <x:c r="H79" s="2"/>
      <x:c r="I79" s="7"/>
      <x:c r="J79" s="2"/>
      <x:c r="K79" s="2"/>
      <x:c r="L79" s="2"/>
      <x:c r="M79" s="2"/>
      <x:c r="N79" s="11" t="str">
        <x:f>IF(A79="","",IF(AND(ISNUMBER(G79),ISNUMBER(L79),ISNUMBER(M79)),G79+(L79+M79)/1440,""))</x:f>
      </x:c>
      <x:c r="O79" s="2" t="str">
        <x:f>IF(A79="","",IF(OR(N79="",F79=""),"Dados incompletos",IF(OR(I79="pendente",I79="confirmado"),IF(K79="",0,COUNTIFS($F$2:$F$501,F79,$G$2:$G$501,"&lt;"&amp;N79,$N$2:$N$501,"&gt;"&amp;G79,$I$2:$I$501,"pendente",$K$2:$K$501,K79)+COUNTIFS($F$2:$F$501,F79,$G$2:$G$501,"&lt;"&amp;N79,$N$2:$N$501,"&gt;"&amp;G79,$I$2:$I$501,"confirmado",$K$2:$K$501,K79)-1),0)))</x:f>
      </x:c>
      <x:c r="P79" s="2" t="str">
        <x:f>IF(A79="","",IF(OR(N79="",F79=""),"Dados incompletos",IF(OR(I79="pendente",I79="confirmado"),COUNTIFS($F$2:$F$501,F79,$G$2:$G$501,"&lt;"&amp;N79,$N$2:$N$501,"&gt;"&amp;G79,$I$2:$I$501,"pendente",$E$2:$E$501,E79)+COUNTIFS($F$2:$F$501,F79,$G$2:$G$501,"&lt;"&amp;N79,$N$2:$N$501,"&gt;"&amp;G79,$I$2:$I$501,"confirmado",$E$2:$E$501,E79)-1,0)))</x:f>
      </x:c>
    </x:row>
    <x:row r="80" ht="24" customHeight="1">
      <x:c r="A80" s="17"/>
      <x:c r="B80" s="16"/>
      <x:c r="C80" s="2"/>
      <x:c r="D80" s="17"/>
      <x:c r="E80" s="2"/>
      <x:c r="F80" s="10"/>
      <x:c r="G80" s="11"/>
      <x:c r="H80" s="2"/>
      <x:c r="I80" s="7"/>
      <x:c r="J80" s="2"/>
      <x:c r="K80" s="2"/>
      <x:c r="L80" s="2"/>
      <x:c r="M80" s="2"/>
      <x:c r="N80" s="11" t="str">
        <x:f>IF(A80="","",IF(AND(ISNUMBER(G80),ISNUMBER(L80),ISNUMBER(M80)),G80+(L80+M80)/1440,""))</x:f>
      </x:c>
      <x:c r="O80" s="2" t="str">
        <x:f>IF(A80="","",IF(OR(N80="",F80=""),"Dados incompletos",IF(OR(I80="pendente",I80="confirmado"),IF(K80="",0,COUNTIFS($F$2:$F$501,F80,$G$2:$G$501,"&lt;"&amp;N80,$N$2:$N$501,"&gt;"&amp;G80,$I$2:$I$501,"pendente",$K$2:$K$501,K80)+COUNTIFS($F$2:$F$501,F80,$G$2:$G$501,"&lt;"&amp;N80,$N$2:$N$501,"&gt;"&amp;G80,$I$2:$I$501,"confirmado",$K$2:$K$501,K80)-1),0)))</x:f>
      </x:c>
      <x:c r="P80" s="2" t="str">
        <x:f>IF(A80="","",IF(OR(N80="",F80=""),"Dados incompletos",IF(OR(I80="pendente",I80="confirmado"),COUNTIFS($F$2:$F$501,F80,$G$2:$G$501,"&lt;"&amp;N80,$N$2:$N$501,"&gt;"&amp;G80,$I$2:$I$501,"pendente",$E$2:$E$501,E80)+COUNTIFS($F$2:$F$501,F80,$G$2:$G$501,"&lt;"&amp;N80,$N$2:$N$501,"&gt;"&amp;G80,$I$2:$I$501,"confirmado",$E$2:$E$501,E80)-1,0)))</x:f>
      </x:c>
    </x:row>
    <x:row r="81" ht="24" customHeight="1">
      <x:c r="A81" s="17"/>
      <x:c r="B81" s="16"/>
      <x:c r="C81" s="2"/>
      <x:c r="D81" s="17"/>
      <x:c r="E81" s="2"/>
      <x:c r="F81" s="10"/>
      <x:c r="G81" s="11"/>
      <x:c r="H81" s="2"/>
      <x:c r="I81" s="7"/>
      <x:c r="J81" s="2"/>
      <x:c r="K81" s="2"/>
      <x:c r="L81" s="2"/>
      <x:c r="M81" s="2"/>
      <x:c r="N81" s="11" t="str">
        <x:f>IF(A81="","",IF(AND(ISNUMBER(G81),ISNUMBER(L81),ISNUMBER(M81)),G81+(L81+M81)/1440,""))</x:f>
      </x:c>
      <x:c r="O81" s="2" t="str">
        <x:f>IF(A81="","",IF(OR(N81="",F81=""),"Dados incompletos",IF(OR(I81="pendente",I81="confirmado"),IF(K81="",0,COUNTIFS($F$2:$F$501,F81,$G$2:$G$501,"&lt;"&amp;N81,$N$2:$N$501,"&gt;"&amp;G81,$I$2:$I$501,"pendente",$K$2:$K$501,K81)+COUNTIFS($F$2:$F$501,F81,$G$2:$G$501,"&lt;"&amp;N81,$N$2:$N$501,"&gt;"&amp;G81,$I$2:$I$501,"confirmado",$K$2:$K$501,K81)-1),0)))</x:f>
      </x:c>
      <x:c r="P81" s="2" t="str">
        <x:f>IF(A81="","",IF(OR(N81="",F81=""),"Dados incompletos",IF(OR(I81="pendente",I81="confirmado"),COUNTIFS($F$2:$F$501,F81,$G$2:$G$501,"&lt;"&amp;N81,$N$2:$N$501,"&gt;"&amp;G81,$I$2:$I$501,"pendente",$E$2:$E$501,E81)+COUNTIFS($F$2:$F$501,F81,$G$2:$G$501,"&lt;"&amp;N81,$N$2:$N$501,"&gt;"&amp;G81,$I$2:$I$501,"confirmado",$E$2:$E$501,E81)-1,0)))</x:f>
      </x:c>
    </x:row>
    <x:row r="82" ht="24" customHeight="1">
      <x:c r="A82" s="17"/>
      <x:c r="B82" s="16"/>
      <x:c r="C82" s="2"/>
      <x:c r="D82" s="17"/>
      <x:c r="E82" s="2"/>
      <x:c r="F82" s="10"/>
      <x:c r="G82" s="11"/>
      <x:c r="H82" s="2"/>
      <x:c r="I82" s="7"/>
      <x:c r="J82" s="2"/>
      <x:c r="K82" s="2"/>
      <x:c r="L82" s="2"/>
      <x:c r="M82" s="2"/>
      <x:c r="N82" s="11" t="str">
        <x:f>IF(A82="","",IF(AND(ISNUMBER(G82),ISNUMBER(L82),ISNUMBER(M82)),G82+(L82+M82)/1440,""))</x:f>
      </x:c>
      <x:c r="O82" s="2" t="str">
        <x:f>IF(A82="","",IF(OR(N82="",F82=""),"Dados incompletos",IF(OR(I82="pendente",I82="confirmado"),IF(K82="",0,COUNTIFS($F$2:$F$501,F82,$G$2:$G$501,"&lt;"&amp;N82,$N$2:$N$501,"&gt;"&amp;G82,$I$2:$I$501,"pendente",$K$2:$K$501,K82)+COUNTIFS($F$2:$F$501,F82,$G$2:$G$501,"&lt;"&amp;N82,$N$2:$N$501,"&gt;"&amp;G82,$I$2:$I$501,"confirmado",$K$2:$K$501,K82)-1),0)))</x:f>
      </x:c>
      <x:c r="P82" s="2" t="str">
        <x:f>IF(A82="","",IF(OR(N82="",F82=""),"Dados incompletos",IF(OR(I82="pendente",I82="confirmado"),COUNTIFS($F$2:$F$501,F82,$G$2:$G$501,"&lt;"&amp;N82,$N$2:$N$501,"&gt;"&amp;G82,$I$2:$I$501,"pendente",$E$2:$E$501,E82)+COUNTIFS($F$2:$F$501,F82,$G$2:$G$501,"&lt;"&amp;N82,$N$2:$N$501,"&gt;"&amp;G82,$I$2:$I$501,"confirmado",$E$2:$E$501,E82)-1,0)))</x:f>
      </x:c>
    </x:row>
    <x:row r="83" ht="24" customHeight="1">
      <x:c r="A83" s="17"/>
      <x:c r="B83" s="16"/>
      <x:c r="C83" s="2"/>
      <x:c r="D83" s="17"/>
      <x:c r="E83" s="2"/>
      <x:c r="F83" s="10"/>
      <x:c r="G83" s="11"/>
      <x:c r="H83" s="2"/>
      <x:c r="I83" s="7"/>
      <x:c r="J83" s="2"/>
      <x:c r="K83" s="2"/>
      <x:c r="L83" s="2"/>
      <x:c r="M83" s="2"/>
      <x:c r="N83" s="11" t="str">
        <x:f>IF(A83="","",IF(AND(ISNUMBER(G83),ISNUMBER(L83),ISNUMBER(M83)),G83+(L83+M83)/1440,""))</x:f>
      </x:c>
      <x:c r="O83" s="2" t="str">
        <x:f>IF(A83="","",IF(OR(N83="",F83=""),"Dados incompletos",IF(OR(I83="pendente",I83="confirmado"),IF(K83="",0,COUNTIFS($F$2:$F$501,F83,$G$2:$G$501,"&lt;"&amp;N83,$N$2:$N$501,"&gt;"&amp;G83,$I$2:$I$501,"pendente",$K$2:$K$501,K83)+COUNTIFS($F$2:$F$501,F83,$G$2:$G$501,"&lt;"&amp;N83,$N$2:$N$501,"&gt;"&amp;G83,$I$2:$I$501,"confirmado",$K$2:$K$501,K83)-1),0)))</x:f>
      </x:c>
      <x:c r="P83" s="2" t="str">
        <x:f>IF(A83="","",IF(OR(N83="",F83=""),"Dados incompletos",IF(OR(I83="pendente",I83="confirmado"),COUNTIFS($F$2:$F$501,F83,$G$2:$G$501,"&lt;"&amp;N83,$N$2:$N$501,"&gt;"&amp;G83,$I$2:$I$501,"pendente",$E$2:$E$501,E83)+COUNTIFS($F$2:$F$501,F83,$G$2:$G$501,"&lt;"&amp;N83,$N$2:$N$501,"&gt;"&amp;G83,$I$2:$I$501,"confirmado",$E$2:$E$501,E83)-1,0)))</x:f>
      </x:c>
    </x:row>
    <x:row r="84" ht="24" customHeight="1">
      <x:c r="A84" s="17"/>
      <x:c r="B84" s="16"/>
      <x:c r="C84" s="2"/>
      <x:c r="D84" s="17"/>
      <x:c r="E84" s="2"/>
      <x:c r="F84" s="10"/>
      <x:c r="G84" s="11"/>
      <x:c r="H84" s="2"/>
      <x:c r="I84" s="7"/>
      <x:c r="J84" s="2"/>
      <x:c r="K84" s="2"/>
      <x:c r="L84" s="2"/>
      <x:c r="M84" s="2"/>
      <x:c r="N84" s="11" t="str">
        <x:f>IF(A84="","",IF(AND(ISNUMBER(G84),ISNUMBER(L84),ISNUMBER(M84)),G84+(L84+M84)/1440,""))</x:f>
      </x:c>
      <x:c r="O84" s="2" t="str">
        <x:f>IF(A84="","",IF(OR(N84="",F84=""),"Dados incompletos",IF(OR(I84="pendente",I84="confirmado"),IF(K84="",0,COUNTIFS($F$2:$F$501,F84,$G$2:$G$501,"&lt;"&amp;N84,$N$2:$N$501,"&gt;"&amp;G84,$I$2:$I$501,"pendente",$K$2:$K$501,K84)+COUNTIFS($F$2:$F$501,F84,$G$2:$G$501,"&lt;"&amp;N84,$N$2:$N$501,"&gt;"&amp;G84,$I$2:$I$501,"confirmado",$K$2:$K$501,K84)-1),0)))</x:f>
      </x:c>
      <x:c r="P84" s="2" t="str">
        <x:f>IF(A84="","",IF(OR(N84="",F84=""),"Dados incompletos",IF(OR(I84="pendente",I84="confirmado"),COUNTIFS($F$2:$F$501,F84,$G$2:$G$501,"&lt;"&amp;N84,$N$2:$N$501,"&gt;"&amp;G84,$I$2:$I$501,"pendente",$E$2:$E$501,E84)+COUNTIFS($F$2:$F$501,F84,$G$2:$G$501,"&lt;"&amp;N84,$N$2:$N$501,"&gt;"&amp;G84,$I$2:$I$501,"confirmado",$E$2:$E$501,E84)-1,0)))</x:f>
      </x:c>
    </x:row>
    <x:row r="85" ht="24" customHeight="1">
      <x:c r="A85" s="17"/>
      <x:c r="B85" s="16"/>
      <x:c r="C85" s="2"/>
      <x:c r="D85" s="17"/>
      <x:c r="E85" s="2"/>
      <x:c r="F85" s="10"/>
      <x:c r="G85" s="11"/>
      <x:c r="H85" s="2"/>
      <x:c r="I85" s="7"/>
      <x:c r="J85" s="2"/>
      <x:c r="K85" s="2"/>
      <x:c r="L85" s="2"/>
      <x:c r="M85" s="2"/>
      <x:c r="N85" s="11" t="str">
        <x:f>IF(A85="","",IF(AND(ISNUMBER(G85),ISNUMBER(L85),ISNUMBER(M85)),G85+(L85+M85)/1440,""))</x:f>
      </x:c>
      <x:c r="O85" s="2" t="str">
        <x:f>IF(A85="","",IF(OR(N85="",F85=""),"Dados incompletos",IF(OR(I85="pendente",I85="confirmado"),IF(K85="",0,COUNTIFS($F$2:$F$501,F85,$G$2:$G$501,"&lt;"&amp;N85,$N$2:$N$501,"&gt;"&amp;G85,$I$2:$I$501,"pendente",$K$2:$K$501,K85)+COUNTIFS($F$2:$F$501,F85,$G$2:$G$501,"&lt;"&amp;N85,$N$2:$N$501,"&gt;"&amp;G85,$I$2:$I$501,"confirmado",$K$2:$K$501,K85)-1),0)))</x:f>
      </x:c>
      <x:c r="P85" s="2" t="str">
        <x:f>IF(A85="","",IF(OR(N85="",F85=""),"Dados incompletos",IF(OR(I85="pendente",I85="confirmado"),COUNTIFS($F$2:$F$501,F85,$G$2:$G$501,"&lt;"&amp;N85,$N$2:$N$501,"&gt;"&amp;G85,$I$2:$I$501,"pendente",$E$2:$E$501,E85)+COUNTIFS($F$2:$F$501,F85,$G$2:$G$501,"&lt;"&amp;N85,$N$2:$N$501,"&gt;"&amp;G85,$I$2:$I$501,"confirmado",$E$2:$E$501,E85)-1,0)))</x:f>
      </x:c>
    </x:row>
    <x:row r="86" ht="24" customHeight="1">
      <x:c r="A86" s="17"/>
      <x:c r="B86" s="16"/>
      <x:c r="C86" s="2"/>
      <x:c r="D86" s="17"/>
      <x:c r="E86" s="2"/>
      <x:c r="F86" s="10"/>
      <x:c r="G86" s="11"/>
      <x:c r="H86" s="2"/>
      <x:c r="I86" s="7"/>
      <x:c r="J86" s="2"/>
      <x:c r="K86" s="2"/>
      <x:c r="L86" s="2"/>
      <x:c r="M86" s="2"/>
      <x:c r="N86" s="11" t="str">
        <x:f>IF(A86="","",IF(AND(ISNUMBER(G86),ISNUMBER(L86),ISNUMBER(M86)),G86+(L86+M86)/1440,""))</x:f>
      </x:c>
      <x:c r="O86" s="2" t="str">
        <x:f>IF(A86="","",IF(OR(N86="",F86=""),"Dados incompletos",IF(OR(I86="pendente",I86="confirmado"),IF(K86="",0,COUNTIFS($F$2:$F$501,F86,$G$2:$G$501,"&lt;"&amp;N86,$N$2:$N$501,"&gt;"&amp;G86,$I$2:$I$501,"pendente",$K$2:$K$501,K86)+COUNTIFS($F$2:$F$501,F86,$G$2:$G$501,"&lt;"&amp;N86,$N$2:$N$501,"&gt;"&amp;G86,$I$2:$I$501,"confirmado",$K$2:$K$501,K86)-1),0)))</x:f>
      </x:c>
      <x:c r="P86" s="2" t="str">
        <x:f>IF(A86="","",IF(OR(N86="",F86=""),"Dados incompletos",IF(OR(I86="pendente",I86="confirmado"),COUNTIFS($F$2:$F$501,F86,$G$2:$G$501,"&lt;"&amp;N86,$N$2:$N$501,"&gt;"&amp;G86,$I$2:$I$501,"pendente",$E$2:$E$501,E86)+COUNTIFS($F$2:$F$501,F86,$G$2:$G$501,"&lt;"&amp;N86,$N$2:$N$501,"&gt;"&amp;G86,$I$2:$I$501,"confirmado",$E$2:$E$501,E86)-1,0)))</x:f>
      </x:c>
    </x:row>
    <x:row r="87" ht="24" customHeight="1">
      <x:c r="A87" s="17"/>
      <x:c r="B87" s="16"/>
      <x:c r="C87" s="2"/>
      <x:c r="D87" s="17"/>
      <x:c r="E87" s="2"/>
      <x:c r="F87" s="10"/>
      <x:c r="G87" s="11"/>
      <x:c r="H87" s="2"/>
      <x:c r="I87" s="7"/>
      <x:c r="J87" s="2"/>
      <x:c r="K87" s="2"/>
      <x:c r="L87" s="2"/>
      <x:c r="M87" s="2"/>
      <x:c r="N87" s="11" t="str">
        <x:f>IF(A87="","",IF(AND(ISNUMBER(G87),ISNUMBER(L87),ISNUMBER(M87)),G87+(L87+M87)/1440,""))</x:f>
      </x:c>
      <x:c r="O87" s="2" t="str">
        <x:f>IF(A87="","",IF(OR(N87="",F87=""),"Dados incompletos",IF(OR(I87="pendente",I87="confirmado"),IF(K87="",0,COUNTIFS($F$2:$F$501,F87,$G$2:$G$501,"&lt;"&amp;N87,$N$2:$N$501,"&gt;"&amp;G87,$I$2:$I$501,"pendente",$K$2:$K$501,K87)+COUNTIFS($F$2:$F$501,F87,$G$2:$G$501,"&lt;"&amp;N87,$N$2:$N$501,"&gt;"&amp;G87,$I$2:$I$501,"confirmado",$K$2:$K$501,K87)-1),0)))</x:f>
      </x:c>
      <x:c r="P87" s="2" t="str">
        <x:f>IF(A87="","",IF(OR(N87="",F87=""),"Dados incompletos",IF(OR(I87="pendente",I87="confirmado"),COUNTIFS($F$2:$F$501,F87,$G$2:$G$501,"&lt;"&amp;N87,$N$2:$N$501,"&gt;"&amp;G87,$I$2:$I$501,"pendente",$E$2:$E$501,E87)+COUNTIFS($F$2:$F$501,F87,$G$2:$G$501,"&lt;"&amp;N87,$N$2:$N$501,"&gt;"&amp;G87,$I$2:$I$501,"confirmado",$E$2:$E$501,E87)-1,0)))</x:f>
      </x:c>
    </x:row>
    <x:row r="88" ht="24" customHeight="1">
      <x:c r="A88" s="17"/>
      <x:c r="B88" s="16"/>
      <x:c r="C88" s="2"/>
      <x:c r="D88" s="17"/>
      <x:c r="E88" s="2"/>
      <x:c r="F88" s="10"/>
      <x:c r="G88" s="11"/>
      <x:c r="H88" s="2"/>
      <x:c r="I88" s="7"/>
      <x:c r="J88" s="2"/>
      <x:c r="K88" s="2"/>
      <x:c r="L88" s="2"/>
      <x:c r="M88" s="2"/>
      <x:c r="N88" s="11" t="str">
        <x:f>IF(A88="","",IF(AND(ISNUMBER(G88),ISNUMBER(L88),ISNUMBER(M88)),G88+(L88+M88)/1440,""))</x:f>
      </x:c>
      <x:c r="O88" s="2" t="str">
        <x:f>IF(A88="","",IF(OR(N88="",F88=""),"Dados incompletos",IF(OR(I88="pendente",I88="confirmado"),IF(K88="",0,COUNTIFS($F$2:$F$501,F88,$G$2:$G$501,"&lt;"&amp;N88,$N$2:$N$501,"&gt;"&amp;G88,$I$2:$I$501,"pendente",$K$2:$K$501,K88)+COUNTIFS($F$2:$F$501,F88,$G$2:$G$501,"&lt;"&amp;N88,$N$2:$N$501,"&gt;"&amp;G88,$I$2:$I$501,"confirmado",$K$2:$K$501,K88)-1),0)))</x:f>
      </x:c>
      <x:c r="P88" s="2" t="str">
        <x:f>IF(A88="","",IF(OR(N88="",F88=""),"Dados incompletos",IF(OR(I88="pendente",I88="confirmado"),COUNTIFS($F$2:$F$501,F88,$G$2:$G$501,"&lt;"&amp;N88,$N$2:$N$501,"&gt;"&amp;G88,$I$2:$I$501,"pendente",$E$2:$E$501,E88)+COUNTIFS($F$2:$F$501,F88,$G$2:$G$501,"&lt;"&amp;N88,$N$2:$N$501,"&gt;"&amp;G88,$I$2:$I$501,"confirmado",$E$2:$E$501,E88)-1,0)))</x:f>
      </x:c>
    </x:row>
    <x:row r="89" ht="24" customHeight="1">
      <x:c r="A89" s="17"/>
      <x:c r="B89" s="16"/>
      <x:c r="C89" s="2"/>
      <x:c r="D89" s="17"/>
      <x:c r="E89" s="2"/>
      <x:c r="F89" s="10"/>
      <x:c r="G89" s="11"/>
      <x:c r="H89" s="2"/>
      <x:c r="I89" s="7"/>
      <x:c r="J89" s="2"/>
      <x:c r="K89" s="2"/>
      <x:c r="L89" s="2"/>
      <x:c r="M89" s="2"/>
      <x:c r="N89" s="11" t="str">
        <x:f>IF(A89="","",IF(AND(ISNUMBER(G89),ISNUMBER(L89),ISNUMBER(M89)),G89+(L89+M89)/1440,""))</x:f>
      </x:c>
      <x:c r="O89" s="2" t="str">
        <x:f>IF(A89="","",IF(OR(N89="",F89=""),"Dados incompletos",IF(OR(I89="pendente",I89="confirmado"),IF(K89="",0,COUNTIFS($F$2:$F$501,F89,$G$2:$G$501,"&lt;"&amp;N89,$N$2:$N$501,"&gt;"&amp;G89,$I$2:$I$501,"pendente",$K$2:$K$501,K89)+COUNTIFS($F$2:$F$501,F89,$G$2:$G$501,"&lt;"&amp;N89,$N$2:$N$501,"&gt;"&amp;G89,$I$2:$I$501,"confirmado",$K$2:$K$501,K89)-1),0)))</x:f>
      </x:c>
      <x:c r="P89" s="2" t="str">
        <x:f>IF(A89="","",IF(OR(N89="",F89=""),"Dados incompletos",IF(OR(I89="pendente",I89="confirmado"),COUNTIFS($F$2:$F$501,F89,$G$2:$G$501,"&lt;"&amp;N89,$N$2:$N$501,"&gt;"&amp;G89,$I$2:$I$501,"pendente",$E$2:$E$501,E89)+COUNTIFS($F$2:$F$501,F89,$G$2:$G$501,"&lt;"&amp;N89,$N$2:$N$501,"&gt;"&amp;G89,$I$2:$I$501,"confirmado",$E$2:$E$501,E89)-1,0)))</x:f>
      </x:c>
    </x:row>
    <x:row r="90" ht="24" customHeight="1">
      <x:c r="A90" s="17"/>
      <x:c r="B90" s="16"/>
      <x:c r="C90" s="2"/>
      <x:c r="D90" s="17"/>
      <x:c r="E90" s="2"/>
      <x:c r="F90" s="10"/>
      <x:c r="G90" s="11"/>
      <x:c r="H90" s="2"/>
      <x:c r="I90" s="7"/>
      <x:c r="J90" s="2"/>
      <x:c r="K90" s="2"/>
      <x:c r="L90" s="2"/>
      <x:c r="M90" s="2"/>
      <x:c r="N90" s="11" t="str">
        <x:f>IF(A90="","",IF(AND(ISNUMBER(G90),ISNUMBER(L90),ISNUMBER(M90)),G90+(L90+M90)/1440,""))</x:f>
      </x:c>
      <x:c r="O90" s="2" t="str">
        <x:f>IF(A90="","",IF(OR(N90="",F90=""),"Dados incompletos",IF(OR(I90="pendente",I90="confirmado"),IF(K90="",0,COUNTIFS($F$2:$F$501,F90,$G$2:$G$501,"&lt;"&amp;N90,$N$2:$N$501,"&gt;"&amp;G90,$I$2:$I$501,"pendente",$K$2:$K$501,K90)+COUNTIFS($F$2:$F$501,F90,$G$2:$G$501,"&lt;"&amp;N90,$N$2:$N$501,"&gt;"&amp;G90,$I$2:$I$501,"confirmado",$K$2:$K$501,K90)-1),0)))</x:f>
      </x:c>
      <x:c r="P90" s="2" t="str">
        <x:f>IF(A90="","",IF(OR(N90="",F90=""),"Dados incompletos",IF(OR(I90="pendente",I90="confirmado"),COUNTIFS($F$2:$F$501,F90,$G$2:$G$501,"&lt;"&amp;N90,$N$2:$N$501,"&gt;"&amp;G90,$I$2:$I$501,"pendente",$E$2:$E$501,E90)+COUNTIFS($F$2:$F$501,F90,$G$2:$G$501,"&lt;"&amp;N90,$N$2:$N$501,"&gt;"&amp;G90,$I$2:$I$501,"confirmado",$E$2:$E$501,E90)-1,0)))</x:f>
      </x:c>
    </x:row>
    <x:row r="91" ht="24" customHeight="1">
      <x:c r="A91" s="17"/>
      <x:c r="B91" s="16"/>
      <x:c r="C91" s="2"/>
      <x:c r="D91" s="17"/>
      <x:c r="E91" s="2"/>
      <x:c r="F91" s="10"/>
      <x:c r="G91" s="11"/>
      <x:c r="H91" s="2"/>
      <x:c r="I91" s="7"/>
      <x:c r="J91" s="2"/>
      <x:c r="K91" s="2"/>
      <x:c r="L91" s="2"/>
      <x:c r="M91" s="2"/>
      <x:c r="N91" s="11" t="str">
        <x:f>IF(A91="","",IF(AND(ISNUMBER(G91),ISNUMBER(L91),ISNUMBER(M91)),G91+(L91+M91)/1440,""))</x:f>
      </x:c>
      <x:c r="O91" s="2" t="str">
        <x:f>IF(A91="","",IF(OR(N91="",F91=""),"Dados incompletos",IF(OR(I91="pendente",I91="confirmado"),IF(K91="",0,COUNTIFS($F$2:$F$501,F91,$G$2:$G$501,"&lt;"&amp;N91,$N$2:$N$501,"&gt;"&amp;G91,$I$2:$I$501,"pendente",$K$2:$K$501,K91)+COUNTIFS($F$2:$F$501,F91,$G$2:$G$501,"&lt;"&amp;N91,$N$2:$N$501,"&gt;"&amp;G91,$I$2:$I$501,"confirmado",$K$2:$K$501,K91)-1),0)))</x:f>
      </x:c>
      <x:c r="P91" s="2" t="str">
        <x:f>IF(A91="","",IF(OR(N91="",F91=""),"Dados incompletos",IF(OR(I91="pendente",I91="confirmado"),COUNTIFS($F$2:$F$501,F91,$G$2:$G$501,"&lt;"&amp;N91,$N$2:$N$501,"&gt;"&amp;G91,$I$2:$I$501,"pendente",$E$2:$E$501,E91)+COUNTIFS($F$2:$F$501,F91,$G$2:$G$501,"&lt;"&amp;N91,$N$2:$N$501,"&gt;"&amp;G91,$I$2:$I$501,"confirmado",$E$2:$E$501,E91)-1,0)))</x:f>
      </x:c>
    </x:row>
    <x:row r="92" ht="24" customHeight="1">
      <x:c r="A92" s="17"/>
      <x:c r="B92" s="16"/>
      <x:c r="C92" s="2"/>
      <x:c r="D92" s="17"/>
      <x:c r="E92" s="2"/>
      <x:c r="F92" s="10"/>
      <x:c r="G92" s="11"/>
      <x:c r="H92" s="2"/>
      <x:c r="I92" s="7"/>
      <x:c r="J92" s="2"/>
      <x:c r="K92" s="2"/>
      <x:c r="L92" s="2"/>
      <x:c r="M92" s="2"/>
      <x:c r="N92" s="11" t="str">
        <x:f>IF(A92="","",IF(AND(ISNUMBER(G92),ISNUMBER(L92),ISNUMBER(M92)),G92+(L92+M92)/1440,""))</x:f>
      </x:c>
      <x:c r="O92" s="2" t="str">
        <x:f>IF(A92="","",IF(OR(N92="",F92=""),"Dados incompletos",IF(OR(I92="pendente",I92="confirmado"),IF(K92="",0,COUNTIFS($F$2:$F$501,F92,$G$2:$G$501,"&lt;"&amp;N92,$N$2:$N$501,"&gt;"&amp;G92,$I$2:$I$501,"pendente",$K$2:$K$501,K92)+COUNTIFS($F$2:$F$501,F92,$G$2:$G$501,"&lt;"&amp;N92,$N$2:$N$501,"&gt;"&amp;G92,$I$2:$I$501,"confirmado",$K$2:$K$501,K92)-1),0)))</x:f>
      </x:c>
      <x:c r="P92" s="2" t="str">
        <x:f>IF(A92="","",IF(OR(N92="",F92=""),"Dados incompletos",IF(OR(I92="pendente",I92="confirmado"),COUNTIFS($F$2:$F$501,F92,$G$2:$G$501,"&lt;"&amp;N92,$N$2:$N$501,"&gt;"&amp;G92,$I$2:$I$501,"pendente",$E$2:$E$501,E92)+COUNTIFS($F$2:$F$501,F92,$G$2:$G$501,"&lt;"&amp;N92,$N$2:$N$501,"&gt;"&amp;G92,$I$2:$I$501,"confirmado",$E$2:$E$501,E92)-1,0)))</x:f>
      </x:c>
    </x:row>
    <x:row r="93" ht="24" customHeight="1">
      <x:c r="A93" s="17"/>
      <x:c r="B93" s="16"/>
      <x:c r="C93" s="2"/>
      <x:c r="D93" s="17"/>
      <x:c r="E93" s="2"/>
      <x:c r="F93" s="10"/>
      <x:c r="G93" s="11"/>
      <x:c r="H93" s="2"/>
      <x:c r="I93" s="7"/>
      <x:c r="J93" s="2"/>
      <x:c r="K93" s="2"/>
      <x:c r="L93" s="2"/>
      <x:c r="M93" s="2"/>
      <x:c r="N93" s="11" t="str">
        <x:f>IF(A93="","",IF(AND(ISNUMBER(G93),ISNUMBER(L93),ISNUMBER(M93)),G93+(L93+M93)/1440,""))</x:f>
      </x:c>
      <x:c r="O93" s="2" t="str">
        <x:f>IF(A93="","",IF(OR(N93="",F93=""),"Dados incompletos",IF(OR(I93="pendente",I93="confirmado"),IF(K93="",0,COUNTIFS($F$2:$F$501,F93,$G$2:$G$501,"&lt;"&amp;N93,$N$2:$N$501,"&gt;"&amp;G93,$I$2:$I$501,"pendente",$K$2:$K$501,K93)+COUNTIFS($F$2:$F$501,F93,$G$2:$G$501,"&lt;"&amp;N93,$N$2:$N$501,"&gt;"&amp;G93,$I$2:$I$501,"confirmado",$K$2:$K$501,K93)-1),0)))</x:f>
      </x:c>
      <x:c r="P93" s="2" t="str">
        <x:f>IF(A93="","",IF(OR(N93="",F93=""),"Dados incompletos",IF(OR(I93="pendente",I93="confirmado"),COUNTIFS($F$2:$F$501,F93,$G$2:$G$501,"&lt;"&amp;N93,$N$2:$N$501,"&gt;"&amp;G93,$I$2:$I$501,"pendente",$E$2:$E$501,E93)+COUNTIFS($F$2:$F$501,F93,$G$2:$G$501,"&lt;"&amp;N93,$N$2:$N$501,"&gt;"&amp;G93,$I$2:$I$501,"confirmado",$E$2:$E$501,E93)-1,0)))</x:f>
      </x:c>
    </x:row>
    <x:row r="94" ht="24" customHeight="1">
      <x:c r="A94" s="17"/>
      <x:c r="B94" s="16"/>
      <x:c r="C94" s="2"/>
      <x:c r="D94" s="17"/>
      <x:c r="E94" s="2"/>
      <x:c r="F94" s="10"/>
      <x:c r="G94" s="11"/>
      <x:c r="H94" s="2"/>
      <x:c r="I94" s="7"/>
      <x:c r="J94" s="2"/>
      <x:c r="K94" s="2"/>
      <x:c r="L94" s="2"/>
      <x:c r="M94" s="2"/>
      <x:c r="N94" s="11" t="str">
        <x:f>IF(A94="","",IF(AND(ISNUMBER(G94),ISNUMBER(L94),ISNUMBER(M94)),G94+(L94+M94)/1440,""))</x:f>
      </x:c>
      <x:c r="O94" s="2" t="str">
        <x:f>IF(A94="","",IF(OR(N94="",F94=""),"Dados incompletos",IF(OR(I94="pendente",I94="confirmado"),IF(K94="",0,COUNTIFS($F$2:$F$501,F94,$G$2:$G$501,"&lt;"&amp;N94,$N$2:$N$501,"&gt;"&amp;G94,$I$2:$I$501,"pendente",$K$2:$K$501,K94)+COUNTIFS($F$2:$F$501,F94,$G$2:$G$501,"&lt;"&amp;N94,$N$2:$N$501,"&gt;"&amp;G94,$I$2:$I$501,"confirmado",$K$2:$K$501,K94)-1),0)))</x:f>
      </x:c>
      <x:c r="P94" s="2" t="str">
        <x:f>IF(A94="","",IF(OR(N94="",F94=""),"Dados incompletos",IF(OR(I94="pendente",I94="confirmado"),COUNTIFS($F$2:$F$501,F94,$G$2:$G$501,"&lt;"&amp;N94,$N$2:$N$501,"&gt;"&amp;G94,$I$2:$I$501,"pendente",$E$2:$E$501,E94)+COUNTIFS($F$2:$F$501,F94,$G$2:$G$501,"&lt;"&amp;N94,$N$2:$N$501,"&gt;"&amp;G94,$I$2:$I$501,"confirmado",$E$2:$E$501,E94)-1,0)))</x:f>
      </x:c>
    </x:row>
    <x:row r="95" ht="24" customHeight="1">
      <x:c r="A95" s="17"/>
      <x:c r="B95" s="16"/>
      <x:c r="C95" s="2"/>
      <x:c r="D95" s="17"/>
      <x:c r="E95" s="2"/>
      <x:c r="F95" s="10"/>
      <x:c r="G95" s="11"/>
      <x:c r="H95" s="2"/>
      <x:c r="I95" s="7"/>
      <x:c r="J95" s="2"/>
      <x:c r="K95" s="2"/>
      <x:c r="L95" s="2"/>
      <x:c r="M95" s="2"/>
      <x:c r="N95" s="11" t="str">
        <x:f>IF(A95="","",IF(AND(ISNUMBER(G95),ISNUMBER(L95),ISNUMBER(M95)),G95+(L95+M95)/1440,""))</x:f>
      </x:c>
      <x:c r="O95" s="2" t="str">
        <x:f>IF(A95="","",IF(OR(N95="",F95=""),"Dados incompletos",IF(OR(I95="pendente",I95="confirmado"),IF(K95="",0,COUNTIFS($F$2:$F$501,F95,$G$2:$G$501,"&lt;"&amp;N95,$N$2:$N$501,"&gt;"&amp;G95,$I$2:$I$501,"pendente",$K$2:$K$501,K95)+COUNTIFS($F$2:$F$501,F95,$G$2:$G$501,"&lt;"&amp;N95,$N$2:$N$501,"&gt;"&amp;G95,$I$2:$I$501,"confirmado",$K$2:$K$501,K95)-1),0)))</x:f>
      </x:c>
      <x:c r="P95" s="2" t="str">
        <x:f>IF(A95="","",IF(OR(N95="",F95=""),"Dados incompletos",IF(OR(I95="pendente",I95="confirmado"),COUNTIFS($F$2:$F$501,F95,$G$2:$G$501,"&lt;"&amp;N95,$N$2:$N$501,"&gt;"&amp;G95,$I$2:$I$501,"pendente",$E$2:$E$501,E95)+COUNTIFS($F$2:$F$501,F95,$G$2:$G$501,"&lt;"&amp;N95,$N$2:$N$501,"&gt;"&amp;G95,$I$2:$I$501,"confirmado",$E$2:$E$501,E95)-1,0)))</x:f>
      </x:c>
    </x:row>
    <x:row r="96" ht="24" customHeight="1">
      <x:c r="A96" s="17"/>
      <x:c r="B96" s="16"/>
      <x:c r="C96" s="2"/>
      <x:c r="D96" s="17"/>
      <x:c r="E96" s="2"/>
      <x:c r="F96" s="10"/>
      <x:c r="G96" s="11"/>
      <x:c r="H96" s="2"/>
      <x:c r="I96" s="7"/>
      <x:c r="J96" s="2"/>
      <x:c r="K96" s="2"/>
      <x:c r="L96" s="2"/>
      <x:c r="M96" s="2"/>
      <x:c r="N96" s="11" t="str">
        <x:f>IF(A96="","",IF(AND(ISNUMBER(G96),ISNUMBER(L96),ISNUMBER(M96)),G96+(L96+M96)/1440,""))</x:f>
      </x:c>
      <x:c r="O96" s="2" t="str">
        <x:f>IF(A96="","",IF(OR(N96="",F96=""),"Dados incompletos",IF(OR(I96="pendente",I96="confirmado"),IF(K96="",0,COUNTIFS($F$2:$F$501,F96,$G$2:$G$501,"&lt;"&amp;N96,$N$2:$N$501,"&gt;"&amp;G96,$I$2:$I$501,"pendente",$K$2:$K$501,K96)+COUNTIFS($F$2:$F$501,F96,$G$2:$G$501,"&lt;"&amp;N96,$N$2:$N$501,"&gt;"&amp;G96,$I$2:$I$501,"confirmado",$K$2:$K$501,K96)-1),0)))</x:f>
      </x:c>
      <x:c r="P96" s="2" t="str">
        <x:f>IF(A96="","",IF(OR(N96="",F96=""),"Dados incompletos",IF(OR(I96="pendente",I96="confirmado"),COUNTIFS($F$2:$F$501,F96,$G$2:$G$501,"&lt;"&amp;N96,$N$2:$N$501,"&gt;"&amp;G96,$I$2:$I$501,"pendente",$E$2:$E$501,E96)+COUNTIFS($F$2:$F$501,F96,$G$2:$G$501,"&lt;"&amp;N96,$N$2:$N$501,"&gt;"&amp;G96,$I$2:$I$501,"confirmado",$E$2:$E$501,E96)-1,0)))</x:f>
      </x:c>
    </x:row>
    <x:row r="97" ht="24" customHeight="1">
      <x:c r="A97" s="17"/>
      <x:c r="B97" s="16"/>
      <x:c r="C97" s="2"/>
      <x:c r="D97" s="17"/>
      <x:c r="E97" s="2"/>
      <x:c r="F97" s="10"/>
      <x:c r="G97" s="11"/>
      <x:c r="H97" s="2"/>
      <x:c r="I97" s="7"/>
      <x:c r="J97" s="2"/>
      <x:c r="K97" s="2"/>
      <x:c r="L97" s="2"/>
      <x:c r="M97" s="2"/>
      <x:c r="N97" s="11" t="str">
        <x:f>IF(A97="","",IF(AND(ISNUMBER(G97),ISNUMBER(L97),ISNUMBER(M97)),G97+(L97+M97)/1440,""))</x:f>
      </x:c>
      <x:c r="O97" s="2" t="str">
        <x:f>IF(A97="","",IF(OR(N97="",F97=""),"Dados incompletos",IF(OR(I97="pendente",I97="confirmado"),IF(K97="",0,COUNTIFS($F$2:$F$501,F97,$G$2:$G$501,"&lt;"&amp;N97,$N$2:$N$501,"&gt;"&amp;G97,$I$2:$I$501,"pendente",$K$2:$K$501,K97)+COUNTIFS($F$2:$F$501,F97,$G$2:$G$501,"&lt;"&amp;N97,$N$2:$N$501,"&gt;"&amp;G97,$I$2:$I$501,"confirmado",$K$2:$K$501,K97)-1),0)))</x:f>
      </x:c>
      <x:c r="P97" s="2" t="str">
        <x:f>IF(A97="","",IF(OR(N97="",F97=""),"Dados incompletos",IF(OR(I97="pendente",I97="confirmado"),COUNTIFS($F$2:$F$501,F97,$G$2:$G$501,"&lt;"&amp;N97,$N$2:$N$501,"&gt;"&amp;G97,$I$2:$I$501,"pendente",$E$2:$E$501,E97)+COUNTIFS($F$2:$F$501,F97,$G$2:$G$501,"&lt;"&amp;N97,$N$2:$N$501,"&gt;"&amp;G97,$I$2:$I$501,"confirmado",$E$2:$E$501,E97)-1,0)))</x:f>
      </x:c>
    </x:row>
    <x:row r="98" ht="24" customHeight="1">
      <x:c r="A98" s="17"/>
      <x:c r="B98" s="16"/>
      <x:c r="C98" s="2"/>
      <x:c r="D98" s="17"/>
      <x:c r="E98" s="2"/>
      <x:c r="F98" s="10"/>
      <x:c r="G98" s="11"/>
      <x:c r="H98" s="2"/>
      <x:c r="I98" s="7"/>
      <x:c r="J98" s="2"/>
      <x:c r="K98" s="2"/>
      <x:c r="L98" s="2"/>
      <x:c r="M98" s="2"/>
      <x:c r="N98" s="11" t="str">
        <x:f>IF(A98="","",IF(AND(ISNUMBER(G98),ISNUMBER(L98),ISNUMBER(M98)),G98+(L98+M98)/1440,""))</x:f>
      </x:c>
      <x:c r="O98" s="2" t="str">
        <x:f>IF(A98="","",IF(OR(N98="",F98=""),"Dados incompletos",IF(OR(I98="pendente",I98="confirmado"),IF(K98="",0,COUNTIFS($F$2:$F$501,F98,$G$2:$G$501,"&lt;"&amp;N98,$N$2:$N$501,"&gt;"&amp;G98,$I$2:$I$501,"pendente",$K$2:$K$501,K98)+COUNTIFS($F$2:$F$501,F98,$G$2:$G$501,"&lt;"&amp;N98,$N$2:$N$501,"&gt;"&amp;G98,$I$2:$I$501,"confirmado",$K$2:$K$501,K98)-1),0)))</x:f>
      </x:c>
      <x:c r="P98" s="2" t="str">
        <x:f>IF(A98="","",IF(OR(N98="",F98=""),"Dados incompletos",IF(OR(I98="pendente",I98="confirmado"),COUNTIFS($F$2:$F$501,F98,$G$2:$G$501,"&lt;"&amp;N98,$N$2:$N$501,"&gt;"&amp;G98,$I$2:$I$501,"pendente",$E$2:$E$501,E98)+COUNTIFS($F$2:$F$501,F98,$G$2:$G$501,"&lt;"&amp;N98,$N$2:$N$501,"&gt;"&amp;G98,$I$2:$I$501,"confirmado",$E$2:$E$501,E98)-1,0)))</x:f>
      </x:c>
    </x:row>
    <x:row r="99" ht="24" customHeight="1">
      <x:c r="A99" s="17"/>
      <x:c r="B99" s="16"/>
      <x:c r="C99" s="2"/>
      <x:c r="D99" s="17"/>
      <x:c r="E99" s="2"/>
      <x:c r="F99" s="10"/>
      <x:c r="G99" s="11"/>
      <x:c r="H99" s="2"/>
      <x:c r="I99" s="7"/>
      <x:c r="J99" s="2"/>
      <x:c r="K99" s="2"/>
      <x:c r="L99" s="2"/>
      <x:c r="M99" s="2"/>
      <x:c r="N99" s="11" t="str">
        <x:f>IF(A99="","",IF(AND(ISNUMBER(G99),ISNUMBER(L99),ISNUMBER(M99)),G99+(L99+M99)/1440,""))</x:f>
      </x:c>
      <x:c r="O99" s="2" t="str">
        <x:f>IF(A99="","",IF(OR(N99="",F99=""),"Dados incompletos",IF(OR(I99="pendente",I99="confirmado"),IF(K99="",0,COUNTIFS($F$2:$F$501,F99,$G$2:$G$501,"&lt;"&amp;N99,$N$2:$N$501,"&gt;"&amp;G99,$I$2:$I$501,"pendente",$K$2:$K$501,K99)+COUNTIFS($F$2:$F$501,F99,$G$2:$G$501,"&lt;"&amp;N99,$N$2:$N$501,"&gt;"&amp;G99,$I$2:$I$501,"confirmado",$K$2:$K$501,K99)-1),0)))</x:f>
      </x:c>
      <x:c r="P99" s="2" t="str">
        <x:f>IF(A99="","",IF(OR(N99="",F99=""),"Dados incompletos",IF(OR(I99="pendente",I99="confirmado"),COUNTIFS($F$2:$F$501,F99,$G$2:$G$501,"&lt;"&amp;N99,$N$2:$N$501,"&gt;"&amp;G99,$I$2:$I$501,"pendente",$E$2:$E$501,E99)+COUNTIFS($F$2:$F$501,F99,$G$2:$G$501,"&lt;"&amp;N99,$N$2:$N$501,"&gt;"&amp;G99,$I$2:$I$501,"confirmado",$E$2:$E$501,E99)-1,0)))</x:f>
      </x:c>
    </x:row>
    <x:row r="100" ht="24" customHeight="1">
      <x:c r="A100" s="17"/>
      <x:c r="B100" s="16"/>
      <x:c r="C100" s="2"/>
      <x:c r="D100" s="17"/>
      <x:c r="E100" s="2"/>
      <x:c r="F100" s="10"/>
      <x:c r="G100" s="11"/>
      <x:c r="H100" s="2"/>
      <x:c r="I100" s="7"/>
      <x:c r="J100" s="2"/>
      <x:c r="K100" s="2"/>
      <x:c r="L100" s="2"/>
      <x:c r="M100" s="2"/>
      <x:c r="N100" s="11" t="str">
        <x:f>IF(A100="","",IF(AND(ISNUMBER(G100),ISNUMBER(L100),ISNUMBER(M100)),G100+(L100+M100)/1440,""))</x:f>
      </x:c>
      <x:c r="O100" s="2" t="str">
        <x:f>IF(A100="","",IF(OR(N100="",F100=""),"Dados incompletos",IF(OR(I100="pendente",I100="confirmado"),IF(K100="",0,COUNTIFS($F$2:$F$501,F100,$G$2:$G$501,"&lt;"&amp;N100,$N$2:$N$501,"&gt;"&amp;G100,$I$2:$I$501,"pendente",$K$2:$K$501,K100)+COUNTIFS($F$2:$F$501,F100,$G$2:$G$501,"&lt;"&amp;N100,$N$2:$N$501,"&gt;"&amp;G100,$I$2:$I$501,"confirmado",$K$2:$K$501,K100)-1),0)))</x:f>
      </x:c>
      <x:c r="P100" s="2" t="str">
        <x:f>IF(A100="","",IF(OR(N100="",F100=""),"Dados incompletos",IF(OR(I100="pendente",I100="confirmado"),COUNTIFS($F$2:$F$501,F100,$G$2:$G$501,"&lt;"&amp;N100,$N$2:$N$501,"&gt;"&amp;G100,$I$2:$I$501,"pendente",$E$2:$E$501,E100)+COUNTIFS($F$2:$F$501,F100,$G$2:$G$501,"&lt;"&amp;N100,$N$2:$N$501,"&gt;"&amp;G100,$I$2:$I$501,"confirmado",$E$2:$E$501,E100)-1,0)))</x:f>
      </x:c>
    </x:row>
    <x:row r="101" ht="24" customHeight="1">
      <x:c r="A101" s="17"/>
      <x:c r="B101" s="16"/>
      <x:c r="C101" s="2"/>
      <x:c r="D101" s="17"/>
      <x:c r="E101" s="2"/>
      <x:c r="F101" s="10"/>
      <x:c r="G101" s="11"/>
      <x:c r="H101" s="2"/>
      <x:c r="I101" s="7"/>
      <x:c r="J101" s="2"/>
      <x:c r="K101" s="2"/>
      <x:c r="L101" s="2"/>
      <x:c r="M101" s="2"/>
      <x:c r="N101" s="11" t="str">
        <x:f>IF(A101="","",IF(AND(ISNUMBER(G101),ISNUMBER(L101),ISNUMBER(M101)),G101+(L101+M101)/1440,""))</x:f>
      </x:c>
      <x:c r="O101" s="2" t="str">
        <x:f>IF(A101="","",IF(OR(N101="",F101=""),"Dados incompletos",IF(OR(I101="pendente",I101="confirmado"),IF(K101="",0,COUNTIFS($F$2:$F$501,F101,$G$2:$G$501,"&lt;"&amp;N101,$N$2:$N$501,"&gt;"&amp;G101,$I$2:$I$501,"pendente",$K$2:$K$501,K101)+COUNTIFS($F$2:$F$501,F101,$G$2:$G$501,"&lt;"&amp;N101,$N$2:$N$501,"&gt;"&amp;G101,$I$2:$I$501,"confirmado",$K$2:$K$501,K101)-1),0)))</x:f>
      </x:c>
      <x:c r="P101" s="2" t="str">
        <x:f>IF(A101="","",IF(OR(N101="",F101=""),"Dados incompletos",IF(OR(I101="pendente",I101="confirmado"),COUNTIFS($F$2:$F$501,F101,$G$2:$G$501,"&lt;"&amp;N101,$N$2:$N$501,"&gt;"&amp;G101,$I$2:$I$501,"pendente",$E$2:$E$501,E101)+COUNTIFS($F$2:$F$501,F101,$G$2:$G$501,"&lt;"&amp;N101,$N$2:$N$501,"&gt;"&amp;G101,$I$2:$I$501,"confirmado",$E$2:$E$501,E101)-1,0)))</x:f>
      </x:c>
    </x:row>
    <x:row r="102" ht="24" customHeight="1">
      <x:c r="A102" s="17"/>
      <x:c r="B102" s="16"/>
      <x:c r="C102" s="2"/>
      <x:c r="D102" s="17"/>
      <x:c r="E102" s="2"/>
      <x:c r="F102" s="10"/>
      <x:c r="G102" s="11"/>
      <x:c r="H102" s="2"/>
      <x:c r="I102" s="7"/>
      <x:c r="J102" s="2"/>
      <x:c r="K102" s="2"/>
      <x:c r="L102" s="2"/>
      <x:c r="M102" s="2"/>
      <x:c r="N102" s="11" t="str">
        <x:f>IF(A102="","",IF(AND(ISNUMBER(G102),ISNUMBER(L102),ISNUMBER(M102)),G102+(L102+M102)/1440,""))</x:f>
      </x:c>
      <x:c r="O102" s="2" t="str">
        <x:f>IF(A102="","",IF(OR(N102="",F102=""),"Dados incompletos",IF(OR(I102="pendente",I102="confirmado"),IF(K102="",0,COUNTIFS($F$2:$F$501,F102,$G$2:$G$501,"&lt;"&amp;N102,$N$2:$N$501,"&gt;"&amp;G102,$I$2:$I$501,"pendente",$K$2:$K$501,K102)+COUNTIFS($F$2:$F$501,F102,$G$2:$G$501,"&lt;"&amp;N102,$N$2:$N$501,"&gt;"&amp;G102,$I$2:$I$501,"confirmado",$K$2:$K$501,K102)-1),0)))</x:f>
      </x:c>
      <x:c r="P102" s="2" t="str">
        <x:f>IF(A102="","",IF(OR(N102="",F102=""),"Dados incompletos",IF(OR(I102="pendente",I102="confirmado"),COUNTIFS($F$2:$F$501,F102,$G$2:$G$501,"&lt;"&amp;N102,$N$2:$N$501,"&gt;"&amp;G102,$I$2:$I$501,"pendente",$E$2:$E$501,E102)+COUNTIFS($F$2:$F$501,F102,$G$2:$G$501,"&lt;"&amp;N102,$N$2:$N$501,"&gt;"&amp;G102,$I$2:$I$501,"confirmado",$E$2:$E$501,E102)-1,0)))</x:f>
      </x:c>
    </x:row>
    <x:row r="103" ht="24" customHeight="1">
      <x:c r="A103" s="17"/>
      <x:c r="B103" s="16"/>
      <x:c r="C103" s="2"/>
      <x:c r="D103" s="17"/>
      <x:c r="E103" s="2"/>
      <x:c r="F103" s="10"/>
      <x:c r="G103" s="11"/>
      <x:c r="H103" s="2"/>
      <x:c r="I103" s="7"/>
      <x:c r="J103" s="2"/>
      <x:c r="K103" s="2"/>
      <x:c r="L103" s="2"/>
      <x:c r="M103" s="2"/>
      <x:c r="N103" s="11" t="str">
        <x:f>IF(A103="","",IF(AND(ISNUMBER(G103),ISNUMBER(L103),ISNUMBER(M103)),G103+(L103+M103)/1440,""))</x:f>
      </x:c>
      <x:c r="O103" s="2" t="str">
        <x:f>IF(A103="","",IF(OR(N103="",F103=""),"Dados incompletos",IF(OR(I103="pendente",I103="confirmado"),IF(K103="",0,COUNTIFS($F$2:$F$501,F103,$G$2:$G$501,"&lt;"&amp;N103,$N$2:$N$501,"&gt;"&amp;G103,$I$2:$I$501,"pendente",$K$2:$K$501,K103)+COUNTIFS($F$2:$F$501,F103,$G$2:$G$501,"&lt;"&amp;N103,$N$2:$N$501,"&gt;"&amp;G103,$I$2:$I$501,"confirmado",$K$2:$K$501,K103)-1),0)))</x:f>
      </x:c>
      <x:c r="P103" s="2" t="str">
        <x:f>IF(A103="","",IF(OR(N103="",F103=""),"Dados incompletos",IF(OR(I103="pendente",I103="confirmado"),COUNTIFS($F$2:$F$501,F103,$G$2:$G$501,"&lt;"&amp;N103,$N$2:$N$501,"&gt;"&amp;G103,$I$2:$I$501,"pendente",$E$2:$E$501,E103)+COUNTIFS($F$2:$F$501,F103,$G$2:$G$501,"&lt;"&amp;N103,$N$2:$N$501,"&gt;"&amp;G103,$I$2:$I$501,"confirmado",$E$2:$E$501,E103)-1,0)))</x:f>
      </x:c>
    </x:row>
    <x:row r="104" ht="24" customHeight="1">
      <x:c r="A104" s="17"/>
      <x:c r="B104" s="16"/>
      <x:c r="C104" s="2"/>
      <x:c r="D104" s="17"/>
      <x:c r="E104" s="2"/>
      <x:c r="F104" s="10"/>
      <x:c r="G104" s="11"/>
      <x:c r="H104" s="2"/>
      <x:c r="I104" s="7"/>
      <x:c r="J104" s="2"/>
      <x:c r="K104" s="2"/>
      <x:c r="L104" s="2"/>
      <x:c r="M104" s="2"/>
      <x:c r="N104" s="11" t="str">
        <x:f>IF(A104="","",IF(AND(ISNUMBER(G104),ISNUMBER(L104),ISNUMBER(M104)),G104+(L104+M104)/1440,""))</x:f>
      </x:c>
      <x:c r="O104" s="2" t="str">
        <x:f>IF(A104="","",IF(OR(N104="",F104=""),"Dados incompletos",IF(OR(I104="pendente",I104="confirmado"),IF(K104="",0,COUNTIFS($F$2:$F$501,F104,$G$2:$G$501,"&lt;"&amp;N104,$N$2:$N$501,"&gt;"&amp;G104,$I$2:$I$501,"pendente",$K$2:$K$501,K104)+COUNTIFS($F$2:$F$501,F104,$G$2:$G$501,"&lt;"&amp;N104,$N$2:$N$501,"&gt;"&amp;G104,$I$2:$I$501,"confirmado",$K$2:$K$501,K104)-1),0)))</x:f>
      </x:c>
      <x:c r="P104" s="2" t="str">
        <x:f>IF(A104="","",IF(OR(N104="",F104=""),"Dados incompletos",IF(OR(I104="pendente",I104="confirmado"),COUNTIFS($F$2:$F$501,F104,$G$2:$G$501,"&lt;"&amp;N104,$N$2:$N$501,"&gt;"&amp;G104,$I$2:$I$501,"pendente",$E$2:$E$501,E104)+COUNTIFS($F$2:$F$501,F104,$G$2:$G$501,"&lt;"&amp;N104,$N$2:$N$501,"&gt;"&amp;G104,$I$2:$I$501,"confirmado",$E$2:$E$501,E104)-1,0)))</x:f>
      </x:c>
    </x:row>
    <x:row r="105" ht="24" customHeight="1">
      <x:c r="A105" s="17"/>
      <x:c r="B105" s="16"/>
      <x:c r="C105" s="2"/>
      <x:c r="D105" s="17"/>
      <x:c r="E105" s="2"/>
      <x:c r="F105" s="10"/>
      <x:c r="G105" s="11"/>
      <x:c r="H105" s="2"/>
      <x:c r="I105" s="7"/>
      <x:c r="J105" s="2"/>
      <x:c r="K105" s="2"/>
      <x:c r="L105" s="2"/>
      <x:c r="M105" s="2"/>
      <x:c r="N105" s="11" t="str">
        <x:f>IF(A105="","",IF(AND(ISNUMBER(G105),ISNUMBER(L105),ISNUMBER(M105)),G105+(L105+M105)/1440,""))</x:f>
      </x:c>
      <x:c r="O105" s="2" t="str">
        <x:f>IF(A105="","",IF(OR(N105="",F105=""),"Dados incompletos",IF(OR(I105="pendente",I105="confirmado"),IF(K105="",0,COUNTIFS($F$2:$F$501,F105,$G$2:$G$501,"&lt;"&amp;N105,$N$2:$N$501,"&gt;"&amp;G105,$I$2:$I$501,"pendente",$K$2:$K$501,K105)+COUNTIFS($F$2:$F$501,F105,$G$2:$G$501,"&lt;"&amp;N105,$N$2:$N$501,"&gt;"&amp;G105,$I$2:$I$501,"confirmado",$K$2:$K$501,K105)-1),0)))</x:f>
      </x:c>
      <x:c r="P105" s="2" t="str">
        <x:f>IF(A105="","",IF(OR(N105="",F105=""),"Dados incompletos",IF(OR(I105="pendente",I105="confirmado"),COUNTIFS($F$2:$F$501,F105,$G$2:$G$501,"&lt;"&amp;N105,$N$2:$N$501,"&gt;"&amp;G105,$I$2:$I$501,"pendente",$E$2:$E$501,E105)+COUNTIFS($F$2:$F$501,F105,$G$2:$G$501,"&lt;"&amp;N105,$N$2:$N$501,"&gt;"&amp;G105,$I$2:$I$501,"confirmado",$E$2:$E$501,E105)-1,0)))</x:f>
      </x:c>
    </x:row>
    <x:row r="106" ht="24" customHeight="1">
      <x:c r="A106" s="17"/>
      <x:c r="B106" s="16"/>
      <x:c r="C106" s="2"/>
      <x:c r="D106" s="17"/>
      <x:c r="E106" s="2"/>
      <x:c r="F106" s="10"/>
      <x:c r="G106" s="11"/>
      <x:c r="H106" s="2"/>
      <x:c r="I106" s="7"/>
      <x:c r="J106" s="2"/>
      <x:c r="K106" s="2"/>
      <x:c r="L106" s="2"/>
      <x:c r="M106" s="2"/>
      <x:c r="N106" s="11" t="str">
        <x:f>IF(A106="","",IF(AND(ISNUMBER(G106),ISNUMBER(L106),ISNUMBER(M106)),G106+(L106+M106)/1440,""))</x:f>
      </x:c>
      <x:c r="O106" s="2" t="str">
        <x:f>IF(A106="","",IF(OR(N106="",F106=""),"Dados incompletos",IF(OR(I106="pendente",I106="confirmado"),IF(K106="",0,COUNTIFS($F$2:$F$501,F106,$G$2:$G$501,"&lt;"&amp;N106,$N$2:$N$501,"&gt;"&amp;G106,$I$2:$I$501,"pendente",$K$2:$K$501,K106)+COUNTIFS($F$2:$F$501,F106,$G$2:$G$501,"&lt;"&amp;N106,$N$2:$N$501,"&gt;"&amp;G106,$I$2:$I$501,"confirmado",$K$2:$K$501,K106)-1),0)))</x:f>
      </x:c>
      <x:c r="P106" s="2" t="str">
        <x:f>IF(A106="","",IF(OR(N106="",F106=""),"Dados incompletos",IF(OR(I106="pendente",I106="confirmado"),COUNTIFS($F$2:$F$501,F106,$G$2:$G$501,"&lt;"&amp;N106,$N$2:$N$501,"&gt;"&amp;G106,$I$2:$I$501,"pendente",$E$2:$E$501,E106)+COUNTIFS($F$2:$F$501,F106,$G$2:$G$501,"&lt;"&amp;N106,$N$2:$N$501,"&gt;"&amp;G106,$I$2:$I$501,"confirmado",$E$2:$E$501,E106)-1,0)))</x:f>
      </x:c>
    </x:row>
    <x:row r="107" ht="24" customHeight="1">
      <x:c r="A107" s="17"/>
      <x:c r="B107" s="16"/>
      <x:c r="C107" s="2"/>
      <x:c r="D107" s="17"/>
      <x:c r="E107" s="2"/>
      <x:c r="F107" s="10"/>
      <x:c r="G107" s="11"/>
      <x:c r="H107" s="2"/>
      <x:c r="I107" s="7"/>
      <x:c r="J107" s="2"/>
      <x:c r="K107" s="2"/>
      <x:c r="L107" s="2"/>
      <x:c r="M107" s="2"/>
      <x:c r="N107" s="11" t="str">
        <x:f>IF(A107="","",IF(AND(ISNUMBER(G107),ISNUMBER(L107),ISNUMBER(M107)),G107+(L107+M107)/1440,""))</x:f>
      </x:c>
      <x:c r="O107" s="2" t="str">
        <x:f>IF(A107="","",IF(OR(N107="",F107=""),"Dados incompletos",IF(OR(I107="pendente",I107="confirmado"),IF(K107="",0,COUNTIFS($F$2:$F$501,F107,$G$2:$G$501,"&lt;"&amp;N107,$N$2:$N$501,"&gt;"&amp;G107,$I$2:$I$501,"pendente",$K$2:$K$501,K107)+COUNTIFS($F$2:$F$501,F107,$G$2:$G$501,"&lt;"&amp;N107,$N$2:$N$501,"&gt;"&amp;G107,$I$2:$I$501,"confirmado",$K$2:$K$501,K107)-1),0)))</x:f>
      </x:c>
      <x:c r="P107" s="2" t="str">
        <x:f>IF(A107="","",IF(OR(N107="",F107=""),"Dados incompletos",IF(OR(I107="pendente",I107="confirmado"),COUNTIFS($F$2:$F$501,F107,$G$2:$G$501,"&lt;"&amp;N107,$N$2:$N$501,"&gt;"&amp;G107,$I$2:$I$501,"pendente",$E$2:$E$501,E107)+COUNTIFS($F$2:$F$501,F107,$G$2:$G$501,"&lt;"&amp;N107,$N$2:$N$501,"&gt;"&amp;G107,$I$2:$I$501,"confirmado",$E$2:$E$501,E107)-1,0)))</x:f>
      </x:c>
    </x:row>
    <x:row r="108" ht="24" customHeight="1">
      <x:c r="A108" s="17"/>
      <x:c r="B108" s="16"/>
      <x:c r="C108" s="2"/>
      <x:c r="D108" s="17"/>
      <x:c r="E108" s="2"/>
      <x:c r="F108" s="10"/>
      <x:c r="G108" s="11"/>
      <x:c r="H108" s="2"/>
      <x:c r="I108" s="7"/>
      <x:c r="J108" s="2"/>
      <x:c r="K108" s="2"/>
      <x:c r="L108" s="2"/>
      <x:c r="M108" s="2"/>
      <x:c r="N108" s="11" t="str">
        <x:f>IF(A108="","",IF(AND(ISNUMBER(G108),ISNUMBER(L108),ISNUMBER(M108)),G108+(L108+M108)/1440,""))</x:f>
      </x:c>
      <x:c r="O108" s="2" t="str">
        <x:f>IF(A108="","",IF(OR(N108="",F108=""),"Dados incompletos",IF(OR(I108="pendente",I108="confirmado"),IF(K108="",0,COUNTIFS($F$2:$F$501,F108,$G$2:$G$501,"&lt;"&amp;N108,$N$2:$N$501,"&gt;"&amp;G108,$I$2:$I$501,"pendente",$K$2:$K$501,K108)+COUNTIFS($F$2:$F$501,F108,$G$2:$G$501,"&lt;"&amp;N108,$N$2:$N$501,"&gt;"&amp;G108,$I$2:$I$501,"confirmado",$K$2:$K$501,K108)-1),0)))</x:f>
      </x:c>
      <x:c r="P108" s="2" t="str">
        <x:f>IF(A108="","",IF(OR(N108="",F108=""),"Dados incompletos",IF(OR(I108="pendente",I108="confirmado"),COUNTIFS($F$2:$F$501,F108,$G$2:$G$501,"&lt;"&amp;N108,$N$2:$N$501,"&gt;"&amp;G108,$I$2:$I$501,"pendente",$E$2:$E$501,E108)+COUNTIFS($F$2:$F$501,F108,$G$2:$G$501,"&lt;"&amp;N108,$N$2:$N$501,"&gt;"&amp;G108,$I$2:$I$501,"confirmado",$E$2:$E$501,E108)-1,0)))</x:f>
      </x:c>
    </x:row>
    <x:row r="109" ht="24" customHeight="1">
      <x:c r="A109" s="17"/>
      <x:c r="B109" s="16"/>
      <x:c r="C109" s="2"/>
      <x:c r="D109" s="17"/>
      <x:c r="E109" s="2"/>
      <x:c r="F109" s="10"/>
      <x:c r="G109" s="11"/>
      <x:c r="H109" s="2"/>
      <x:c r="I109" s="7"/>
      <x:c r="J109" s="2"/>
      <x:c r="K109" s="2"/>
      <x:c r="L109" s="2"/>
      <x:c r="M109" s="2"/>
      <x:c r="N109" s="11" t="str">
        <x:f>IF(A109="","",IF(AND(ISNUMBER(G109),ISNUMBER(L109),ISNUMBER(M109)),G109+(L109+M109)/1440,""))</x:f>
      </x:c>
      <x:c r="O109" s="2" t="str">
        <x:f>IF(A109="","",IF(OR(N109="",F109=""),"Dados incompletos",IF(OR(I109="pendente",I109="confirmado"),IF(K109="",0,COUNTIFS($F$2:$F$501,F109,$G$2:$G$501,"&lt;"&amp;N109,$N$2:$N$501,"&gt;"&amp;G109,$I$2:$I$501,"pendente",$K$2:$K$501,K109)+COUNTIFS($F$2:$F$501,F109,$G$2:$G$501,"&lt;"&amp;N109,$N$2:$N$501,"&gt;"&amp;G109,$I$2:$I$501,"confirmado",$K$2:$K$501,K109)-1),0)))</x:f>
      </x:c>
      <x:c r="P109" s="2" t="str">
        <x:f>IF(A109="","",IF(OR(N109="",F109=""),"Dados incompletos",IF(OR(I109="pendente",I109="confirmado"),COUNTIFS($F$2:$F$501,F109,$G$2:$G$501,"&lt;"&amp;N109,$N$2:$N$501,"&gt;"&amp;G109,$I$2:$I$501,"pendente",$E$2:$E$501,E109)+COUNTIFS($F$2:$F$501,F109,$G$2:$G$501,"&lt;"&amp;N109,$N$2:$N$501,"&gt;"&amp;G109,$I$2:$I$501,"confirmado",$E$2:$E$501,E109)-1,0)))</x:f>
      </x:c>
    </x:row>
    <x:row r="110" ht="24" customHeight="1">
      <x:c r="A110" s="17"/>
      <x:c r="B110" s="16"/>
      <x:c r="C110" s="2"/>
      <x:c r="D110" s="17"/>
      <x:c r="E110" s="2"/>
      <x:c r="F110" s="10"/>
      <x:c r="G110" s="11"/>
      <x:c r="H110" s="2"/>
      <x:c r="I110" s="7"/>
      <x:c r="J110" s="2"/>
      <x:c r="K110" s="2"/>
      <x:c r="L110" s="2"/>
      <x:c r="M110" s="2"/>
      <x:c r="N110" s="11" t="str">
        <x:f>IF(A110="","",IF(AND(ISNUMBER(G110),ISNUMBER(L110),ISNUMBER(M110)),G110+(L110+M110)/1440,""))</x:f>
      </x:c>
      <x:c r="O110" s="2" t="str">
        <x:f>IF(A110="","",IF(OR(N110="",F110=""),"Dados incompletos",IF(OR(I110="pendente",I110="confirmado"),IF(K110="",0,COUNTIFS($F$2:$F$501,F110,$G$2:$G$501,"&lt;"&amp;N110,$N$2:$N$501,"&gt;"&amp;G110,$I$2:$I$501,"pendente",$K$2:$K$501,K110)+COUNTIFS($F$2:$F$501,F110,$G$2:$G$501,"&lt;"&amp;N110,$N$2:$N$501,"&gt;"&amp;G110,$I$2:$I$501,"confirmado",$K$2:$K$501,K110)-1),0)))</x:f>
      </x:c>
      <x:c r="P110" s="2" t="str">
        <x:f>IF(A110="","",IF(OR(N110="",F110=""),"Dados incompletos",IF(OR(I110="pendente",I110="confirmado"),COUNTIFS($F$2:$F$501,F110,$G$2:$G$501,"&lt;"&amp;N110,$N$2:$N$501,"&gt;"&amp;G110,$I$2:$I$501,"pendente",$E$2:$E$501,E110)+COUNTIFS($F$2:$F$501,F110,$G$2:$G$501,"&lt;"&amp;N110,$N$2:$N$501,"&gt;"&amp;G110,$I$2:$I$501,"confirmado",$E$2:$E$501,E110)-1,0)))</x:f>
      </x:c>
    </x:row>
    <x:row r="111" ht="24" customHeight="1">
      <x:c r="A111" s="17"/>
      <x:c r="B111" s="16"/>
      <x:c r="C111" s="2"/>
      <x:c r="D111" s="17"/>
      <x:c r="E111" s="2"/>
      <x:c r="F111" s="10"/>
      <x:c r="G111" s="11"/>
      <x:c r="H111" s="2"/>
      <x:c r="I111" s="7"/>
      <x:c r="J111" s="2"/>
      <x:c r="K111" s="2"/>
      <x:c r="L111" s="2"/>
      <x:c r="M111" s="2"/>
      <x:c r="N111" s="11" t="str">
        <x:f>IF(A111="","",IF(AND(ISNUMBER(G111),ISNUMBER(L111),ISNUMBER(M111)),G111+(L111+M111)/1440,""))</x:f>
      </x:c>
      <x:c r="O111" s="2" t="str">
        <x:f>IF(A111="","",IF(OR(N111="",F111=""),"Dados incompletos",IF(OR(I111="pendente",I111="confirmado"),IF(K111="",0,COUNTIFS($F$2:$F$501,F111,$G$2:$G$501,"&lt;"&amp;N111,$N$2:$N$501,"&gt;"&amp;G111,$I$2:$I$501,"pendente",$K$2:$K$501,K111)+COUNTIFS($F$2:$F$501,F111,$G$2:$G$501,"&lt;"&amp;N111,$N$2:$N$501,"&gt;"&amp;G111,$I$2:$I$501,"confirmado",$K$2:$K$501,K111)-1),0)))</x:f>
      </x:c>
      <x:c r="P111" s="2" t="str">
        <x:f>IF(A111="","",IF(OR(N111="",F111=""),"Dados incompletos",IF(OR(I111="pendente",I111="confirmado"),COUNTIFS($F$2:$F$501,F111,$G$2:$G$501,"&lt;"&amp;N111,$N$2:$N$501,"&gt;"&amp;G111,$I$2:$I$501,"pendente",$E$2:$E$501,E111)+COUNTIFS($F$2:$F$501,F111,$G$2:$G$501,"&lt;"&amp;N111,$N$2:$N$501,"&gt;"&amp;G111,$I$2:$I$501,"confirmado",$E$2:$E$501,E111)-1,0)))</x:f>
      </x:c>
    </x:row>
    <x:row r="112" ht="24" customHeight="1">
      <x:c r="A112" s="17"/>
      <x:c r="B112" s="16"/>
      <x:c r="C112" s="2"/>
      <x:c r="D112" s="17"/>
      <x:c r="E112" s="2"/>
      <x:c r="F112" s="10"/>
      <x:c r="G112" s="11"/>
      <x:c r="H112" s="2"/>
      <x:c r="I112" s="7"/>
      <x:c r="J112" s="2"/>
      <x:c r="K112" s="2"/>
      <x:c r="L112" s="2"/>
      <x:c r="M112" s="2"/>
      <x:c r="N112" s="11" t="str">
        <x:f>IF(A112="","",IF(AND(ISNUMBER(G112),ISNUMBER(L112),ISNUMBER(M112)),G112+(L112+M112)/1440,""))</x:f>
      </x:c>
      <x:c r="O112" s="2" t="str">
        <x:f>IF(A112="","",IF(OR(N112="",F112=""),"Dados incompletos",IF(OR(I112="pendente",I112="confirmado"),IF(K112="",0,COUNTIFS($F$2:$F$501,F112,$G$2:$G$501,"&lt;"&amp;N112,$N$2:$N$501,"&gt;"&amp;G112,$I$2:$I$501,"pendente",$K$2:$K$501,K112)+COUNTIFS($F$2:$F$501,F112,$G$2:$G$501,"&lt;"&amp;N112,$N$2:$N$501,"&gt;"&amp;G112,$I$2:$I$501,"confirmado",$K$2:$K$501,K112)-1),0)))</x:f>
      </x:c>
      <x:c r="P112" s="2" t="str">
        <x:f>IF(A112="","",IF(OR(N112="",F112=""),"Dados incompletos",IF(OR(I112="pendente",I112="confirmado"),COUNTIFS($F$2:$F$501,F112,$G$2:$G$501,"&lt;"&amp;N112,$N$2:$N$501,"&gt;"&amp;G112,$I$2:$I$501,"pendente",$E$2:$E$501,E112)+COUNTIFS($F$2:$F$501,F112,$G$2:$G$501,"&lt;"&amp;N112,$N$2:$N$501,"&gt;"&amp;G112,$I$2:$I$501,"confirmado",$E$2:$E$501,E112)-1,0)))</x:f>
      </x:c>
    </x:row>
    <x:row r="113" ht="24" customHeight="1">
      <x:c r="A113" s="17"/>
      <x:c r="B113" s="16"/>
      <x:c r="C113" s="2"/>
      <x:c r="D113" s="17"/>
      <x:c r="E113" s="2"/>
      <x:c r="F113" s="10"/>
      <x:c r="G113" s="11"/>
      <x:c r="H113" s="2"/>
      <x:c r="I113" s="7"/>
      <x:c r="J113" s="2"/>
      <x:c r="K113" s="2"/>
      <x:c r="L113" s="2"/>
      <x:c r="M113" s="2"/>
      <x:c r="N113" s="11" t="str">
        <x:f>IF(A113="","",IF(AND(ISNUMBER(G113),ISNUMBER(L113),ISNUMBER(M113)),G113+(L113+M113)/1440,""))</x:f>
      </x:c>
      <x:c r="O113" s="2" t="str">
        <x:f>IF(A113="","",IF(OR(N113="",F113=""),"Dados incompletos",IF(OR(I113="pendente",I113="confirmado"),IF(K113="",0,COUNTIFS($F$2:$F$501,F113,$G$2:$G$501,"&lt;"&amp;N113,$N$2:$N$501,"&gt;"&amp;G113,$I$2:$I$501,"pendente",$K$2:$K$501,K113)+COUNTIFS($F$2:$F$501,F113,$G$2:$G$501,"&lt;"&amp;N113,$N$2:$N$501,"&gt;"&amp;G113,$I$2:$I$501,"confirmado",$K$2:$K$501,K113)-1),0)))</x:f>
      </x:c>
      <x:c r="P113" s="2" t="str">
        <x:f>IF(A113="","",IF(OR(N113="",F113=""),"Dados incompletos",IF(OR(I113="pendente",I113="confirmado"),COUNTIFS($F$2:$F$501,F113,$G$2:$G$501,"&lt;"&amp;N113,$N$2:$N$501,"&gt;"&amp;G113,$I$2:$I$501,"pendente",$E$2:$E$501,E113)+COUNTIFS($F$2:$F$501,F113,$G$2:$G$501,"&lt;"&amp;N113,$N$2:$N$501,"&gt;"&amp;G113,$I$2:$I$501,"confirmado",$E$2:$E$501,E113)-1,0)))</x:f>
      </x:c>
    </x:row>
    <x:row r="114" ht="24" customHeight="1">
      <x:c r="A114" s="17"/>
      <x:c r="B114" s="16"/>
      <x:c r="C114" s="2"/>
      <x:c r="D114" s="17"/>
      <x:c r="E114" s="2"/>
      <x:c r="F114" s="10"/>
      <x:c r="G114" s="11"/>
      <x:c r="H114" s="2"/>
      <x:c r="I114" s="7"/>
      <x:c r="J114" s="2"/>
      <x:c r="K114" s="2"/>
      <x:c r="L114" s="2"/>
      <x:c r="M114" s="2"/>
      <x:c r="N114" s="11" t="str">
        <x:f>IF(A114="","",IF(AND(ISNUMBER(G114),ISNUMBER(L114),ISNUMBER(M114)),G114+(L114+M114)/1440,""))</x:f>
      </x:c>
      <x:c r="O114" s="2" t="str">
        <x:f>IF(A114="","",IF(OR(N114="",F114=""),"Dados incompletos",IF(OR(I114="pendente",I114="confirmado"),IF(K114="",0,COUNTIFS($F$2:$F$501,F114,$G$2:$G$501,"&lt;"&amp;N114,$N$2:$N$501,"&gt;"&amp;G114,$I$2:$I$501,"pendente",$K$2:$K$501,K114)+COUNTIFS($F$2:$F$501,F114,$G$2:$G$501,"&lt;"&amp;N114,$N$2:$N$501,"&gt;"&amp;G114,$I$2:$I$501,"confirmado",$K$2:$K$501,K114)-1),0)))</x:f>
      </x:c>
      <x:c r="P114" s="2" t="str">
        <x:f>IF(A114="","",IF(OR(N114="",F114=""),"Dados incompletos",IF(OR(I114="pendente",I114="confirmado"),COUNTIFS($F$2:$F$501,F114,$G$2:$G$501,"&lt;"&amp;N114,$N$2:$N$501,"&gt;"&amp;G114,$I$2:$I$501,"pendente",$E$2:$E$501,E114)+COUNTIFS($F$2:$F$501,F114,$G$2:$G$501,"&lt;"&amp;N114,$N$2:$N$501,"&gt;"&amp;G114,$I$2:$I$501,"confirmado",$E$2:$E$501,E114)-1,0)))</x:f>
      </x:c>
    </x:row>
    <x:row r="115" ht="24" customHeight="1">
      <x:c r="A115" s="17"/>
      <x:c r="B115" s="16"/>
      <x:c r="C115" s="2"/>
      <x:c r="D115" s="17"/>
      <x:c r="E115" s="2"/>
      <x:c r="F115" s="10"/>
      <x:c r="G115" s="11"/>
      <x:c r="H115" s="2"/>
      <x:c r="I115" s="7"/>
      <x:c r="J115" s="2"/>
      <x:c r="K115" s="2"/>
      <x:c r="L115" s="2"/>
      <x:c r="M115" s="2"/>
      <x:c r="N115" s="11" t="str">
        <x:f>IF(A115="","",IF(AND(ISNUMBER(G115),ISNUMBER(L115),ISNUMBER(M115)),G115+(L115+M115)/1440,""))</x:f>
      </x:c>
      <x:c r="O115" s="2" t="str">
        <x:f>IF(A115="","",IF(OR(N115="",F115=""),"Dados incompletos",IF(OR(I115="pendente",I115="confirmado"),IF(K115="",0,COUNTIFS($F$2:$F$501,F115,$G$2:$G$501,"&lt;"&amp;N115,$N$2:$N$501,"&gt;"&amp;G115,$I$2:$I$501,"pendente",$K$2:$K$501,K115)+COUNTIFS($F$2:$F$501,F115,$G$2:$G$501,"&lt;"&amp;N115,$N$2:$N$501,"&gt;"&amp;G115,$I$2:$I$501,"confirmado",$K$2:$K$501,K115)-1),0)))</x:f>
      </x:c>
      <x:c r="P115" s="2" t="str">
        <x:f>IF(A115="","",IF(OR(N115="",F115=""),"Dados incompletos",IF(OR(I115="pendente",I115="confirmado"),COUNTIFS($F$2:$F$501,F115,$G$2:$G$501,"&lt;"&amp;N115,$N$2:$N$501,"&gt;"&amp;G115,$I$2:$I$501,"pendente",$E$2:$E$501,E115)+COUNTIFS($F$2:$F$501,F115,$G$2:$G$501,"&lt;"&amp;N115,$N$2:$N$501,"&gt;"&amp;G115,$I$2:$I$501,"confirmado",$E$2:$E$501,E115)-1,0)))</x:f>
      </x:c>
    </x:row>
    <x:row r="116" ht="24" customHeight="1">
      <x:c r="A116" s="17"/>
      <x:c r="B116" s="16"/>
      <x:c r="C116" s="2"/>
      <x:c r="D116" s="17"/>
      <x:c r="E116" s="2"/>
      <x:c r="F116" s="10"/>
      <x:c r="G116" s="11"/>
      <x:c r="H116" s="2"/>
      <x:c r="I116" s="7"/>
      <x:c r="J116" s="2"/>
      <x:c r="K116" s="2"/>
      <x:c r="L116" s="2"/>
      <x:c r="M116" s="2"/>
      <x:c r="N116" s="11" t="str">
        <x:f>IF(A116="","",IF(AND(ISNUMBER(G116),ISNUMBER(L116),ISNUMBER(M116)),G116+(L116+M116)/1440,""))</x:f>
      </x:c>
      <x:c r="O116" s="2" t="str">
        <x:f>IF(A116="","",IF(OR(N116="",F116=""),"Dados incompletos",IF(OR(I116="pendente",I116="confirmado"),IF(K116="",0,COUNTIFS($F$2:$F$501,F116,$G$2:$G$501,"&lt;"&amp;N116,$N$2:$N$501,"&gt;"&amp;G116,$I$2:$I$501,"pendente",$K$2:$K$501,K116)+COUNTIFS($F$2:$F$501,F116,$G$2:$G$501,"&lt;"&amp;N116,$N$2:$N$501,"&gt;"&amp;G116,$I$2:$I$501,"confirmado",$K$2:$K$501,K116)-1),0)))</x:f>
      </x:c>
      <x:c r="P116" s="2" t="str">
        <x:f>IF(A116="","",IF(OR(N116="",F116=""),"Dados incompletos",IF(OR(I116="pendente",I116="confirmado"),COUNTIFS($F$2:$F$501,F116,$G$2:$G$501,"&lt;"&amp;N116,$N$2:$N$501,"&gt;"&amp;G116,$I$2:$I$501,"pendente",$E$2:$E$501,E116)+COUNTIFS($F$2:$F$501,F116,$G$2:$G$501,"&lt;"&amp;N116,$N$2:$N$501,"&gt;"&amp;G116,$I$2:$I$501,"confirmado",$E$2:$E$501,E116)-1,0)))</x:f>
      </x:c>
    </x:row>
    <x:row r="117" ht="24" customHeight="1">
      <x:c r="A117" s="17"/>
      <x:c r="B117" s="16"/>
      <x:c r="C117" s="2"/>
      <x:c r="D117" s="17"/>
      <x:c r="E117" s="2"/>
      <x:c r="F117" s="10"/>
      <x:c r="G117" s="11"/>
      <x:c r="H117" s="2"/>
      <x:c r="I117" s="7"/>
      <x:c r="J117" s="2"/>
      <x:c r="K117" s="2"/>
      <x:c r="L117" s="2"/>
      <x:c r="M117" s="2"/>
      <x:c r="N117" s="11" t="str">
        <x:f>IF(A117="","",IF(AND(ISNUMBER(G117),ISNUMBER(L117),ISNUMBER(M117)),G117+(L117+M117)/1440,""))</x:f>
      </x:c>
      <x:c r="O117" s="2" t="str">
        <x:f>IF(A117="","",IF(OR(N117="",F117=""),"Dados incompletos",IF(OR(I117="pendente",I117="confirmado"),IF(K117="",0,COUNTIFS($F$2:$F$501,F117,$G$2:$G$501,"&lt;"&amp;N117,$N$2:$N$501,"&gt;"&amp;G117,$I$2:$I$501,"pendente",$K$2:$K$501,K117)+COUNTIFS($F$2:$F$501,F117,$G$2:$G$501,"&lt;"&amp;N117,$N$2:$N$501,"&gt;"&amp;G117,$I$2:$I$501,"confirmado",$K$2:$K$501,K117)-1),0)))</x:f>
      </x:c>
      <x:c r="P117" s="2" t="str">
        <x:f>IF(A117="","",IF(OR(N117="",F117=""),"Dados incompletos",IF(OR(I117="pendente",I117="confirmado"),COUNTIFS($F$2:$F$501,F117,$G$2:$G$501,"&lt;"&amp;N117,$N$2:$N$501,"&gt;"&amp;G117,$I$2:$I$501,"pendente",$E$2:$E$501,E117)+COUNTIFS($F$2:$F$501,F117,$G$2:$G$501,"&lt;"&amp;N117,$N$2:$N$501,"&gt;"&amp;G117,$I$2:$I$501,"confirmado",$E$2:$E$501,E117)-1,0)))</x:f>
      </x:c>
    </x:row>
    <x:row r="118" ht="24" customHeight="1">
      <x:c r="A118" s="17"/>
      <x:c r="B118" s="16"/>
      <x:c r="C118" s="2"/>
      <x:c r="D118" s="17"/>
      <x:c r="E118" s="2"/>
      <x:c r="F118" s="10"/>
      <x:c r="G118" s="11"/>
      <x:c r="H118" s="2"/>
      <x:c r="I118" s="7"/>
      <x:c r="J118" s="2"/>
      <x:c r="K118" s="2"/>
      <x:c r="L118" s="2"/>
      <x:c r="M118" s="2"/>
      <x:c r="N118" s="11" t="str">
        <x:f>IF(A118="","",IF(AND(ISNUMBER(G118),ISNUMBER(L118),ISNUMBER(M118)),G118+(L118+M118)/1440,""))</x:f>
      </x:c>
      <x:c r="O118" s="2" t="str">
        <x:f>IF(A118="","",IF(OR(N118="",F118=""),"Dados incompletos",IF(OR(I118="pendente",I118="confirmado"),IF(K118="",0,COUNTIFS($F$2:$F$501,F118,$G$2:$G$501,"&lt;"&amp;N118,$N$2:$N$501,"&gt;"&amp;G118,$I$2:$I$501,"pendente",$K$2:$K$501,K118)+COUNTIFS($F$2:$F$501,F118,$G$2:$G$501,"&lt;"&amp;N118,$N$2:$N$501,"&gt;"&amp;G118,$I$2:$I$501,"confirmado",$K$2:$K$501,K118)-1),0)))</x:f>
      </x:c>
      <x:c r="P118" s="2" t="str">
        <x:f>IF(A118="","",IF(OR(N118="",F118=""),"Dados incompletos",IF(OR(I118="pendente",I118="confirmado"),COUNTIFS($F$2:$F$501,F118,$G$2:$G$501,"&lt;"&amp;N118,$N$2:$N$501,"&gt;"&amp;G118,$I$2:$I$501,"pendente",$E$2:$E$501,E118)+COUNTIFS($F$2:$F$501,F118,$G$2:$G$501,"&lt;"&amp;N118,$N$2:$N$501,"&gt;"&amp;G118,$I$2:$I$501,"confirmado",$E$2:$E$501,E118)-1,0)))</x:f>
      </x:c>
    </x:row>
    <x:row r="119" ht="24" customHeight="1">
      <x:c r="A119" s="17"/>
      <x:c r="B119" s="16"/>
      <x:c r="C119" s="2"/>
      <x:c r="D119" s="17"/>
      <x:c r="E119" s="2"/>
      <x:c r="F119" s="10"/>
      <x:c r="G119" s="11"/>
      <x:c r="H119" s="2"/>
      <x:c r="I119" s="7"/>
      <x:c r="J119" s="2"/>
      <x:c r="K119" s="2"/>
      <x:c r="L119" s="2"/>
      <x:c r="M119" s="2"/>
      <x:c r="N119" s="11" t="str">
        <x:f>IF(A119="","",IF(AND(ISNUMBER(G119),ISNUMBER(L119),ISNUMBER(M119)),G119+(L119+M119)/1440,""))</x:f>
      </x:c>
      <x:c r="O119" s="2" t="str">
        <x:f>IF(A119="","",IF(OR(N119="",F119=""),"Dados incompletos",IF(OR(I119="pendente",I119="confirmado"),IF(K119="",0,COUNTIFS($F$2:$F$501,F119,$G$2:$G$501,"&lt;"&amp;N119,$N$2:$N$501,"&gt;"&amp;G119,$I$2:$I$501,"pendente",$K$2:$K$501,K119)+COUNTIFS($F$2:$F$501,F119,$G$2:$G$501,"&lt;"&amp;N119,$N$2:$N$501,"&gt;"&amp;G119,$I$2:$I$501,"confirmado",$K$2:$K$501,K119)-1),0)))</x:f>
      </x:c>
      <x:c r="P119" s="2" t="str">
        <x:f>IF(A119="","",IF(OR(N119="",F119=""),"Dados incompletos",IF(OR(I119="pendente",I119="confirmado"),COUNTIFS($F$2:$F$501,F119,$G$2:$G$501,"&lt;"&amp;N119,$N$2:$N$501,"&gt;"&amp;G119,$I$2:$I$501,"pendente",$E$2:$E$501,E119)+COUNTIFS($F$2:$F$501,F119,$G$2:$G$501,"&lt;"&amp;N119,$N$2:$N$501,"&gt;"&amp;G119,$I$2:$I$501,"confirmado",$E$2:$E$501,E119)-1,0)))</x:f>
      </x:c>
    </x:row>
    <x:row r="120" ht="24" customHeight="1">
      <x:c r="A120" s="17"/>
      <x:c r="B120" s="16"/>
      <x:c r="C120" s="2"/>
      <x:c r="D120" s="17"/>
      <x:c r="E120" s="2"/>
      <x:c r="F120" s="10"/>
      <x:c r="G120" s="11"/>
      <x:c r="H120" s="2"/>
      <x:c r="I120" s="7"/>
      <x:c r="J120" s="2"/>
      <x:c r="K120" s="2"/>
      <x:c r="L120" s="2"/>
      <x:c r="M120" s="2"/>
      <x:c r="N120" s="11" t="str">
        <x:f>IF(A120="","",IF(AND(ISNUMBER(G120),ISNUMBER(L120),ISNUMBER(M120)),G120+(L120+M120)/1440,""))</x:f>
      </x:c>
      <x:c r="O120" s="2" t="str">
        <x:f>IF(A120="","",IF(OR(N120="",F120=""),"Dados incompletos",IF(OR(I120="pendente",I120="confirmado"),IF(K120="",0,COUNTIFS($F$2:$F$501,F120,$G$2:$G$501,"&lt;"&amp;N120,$N$2:$N$501,"&gt;"&amp;G120,$I$2:$I$501,"pendente",$K$2:$K$501,K120)+COUNTIFS($F$2:$F$501,F120,$G$2:$G$501,"&lt;"&amp;N120,$N$2:$N$501,"&gt;"&amp;G120,$I$2:$I$501,"confirmado",$K$2:$K$501,K120)-1),0)))</x:f>
      </x:c>
      <x:c r="P120" s="2" t="str">
        <x:f>IF(A120="","",IF(OR(N120="",F120=""),"Dados incompletos",IF(OR(I120="pendente",I120="confirmado"),COUNTIFS($F$2:$F$501,F120,$G$2:$G$501,"&lt;"&amp;N120,$N$2:$N$501,"&gt;"&amp;G120,$I$2:$I$501,"pendente",$E$2:$E$501,E120)+COUNTIFS($F$2:$F$501,F120,$G$2:$G$501,"&lt;"&amp;N120,$N$2:$N$501,"&gt;"&amp;G120,$I$2:$I$501,"confirmado",$E$2:$E$501,E120)-1,0)))</x:f>
      </x:c>
    </x:row>
    <x:row r="121" ht="24" customHeight="1">
      <x:c r="A121" s="17"/>
      <x:c r="B121" s="16"/>
      <x:c r="C121" s="2"/>
      <x:c r="D121" s="17"/>
      <x:c r="E121" s="2"/>
      <x:c r="F121" s="10"/>
      <x:c r="G121" s="11"/>
      <x:c r="H121" s="2"/>
      <x:c r="I121" s="7"/>
      <x:c r="J121" s="2"/>
      <x:c r="K121" s="2"/>
      <x:c r="L121" s="2"/>
      <x:c r="M121" s="2"/>
      <x:c r="N121" s="11" t="str">
        <x:f>IF(A121="","",IF(AND(ISNUMBER(G121),ISNUMBER(L121),ISNUMBER(M121)),G121+(L121+M121)/1440,""))</x:f>
      </x:c>
      <x:c r="O121" s="2" t="str">
        <x:f>IF(A121="","",IF(OR(N121="",F121=""),"Dados incompletos",IF(OR(I121="pendente",I121="confirmado"),IF(K121="",0,COUNTIFS($F$2:$F$501,F121,$G$2:$G$501,"&lt;"&amp;N121,$N$2:$N$501,"&gt;"&amp;G121,$I$2:$I$501,"pendente",$K$2:$K$501,K121)+COUNTIFS($F$2:$F$501,F121,$G$2:$G$501,"&lt;"&amp;N121,$N$2:$N$501,"&gt;"&amp;G121,$I$2:$I$501,"confirmado",$K$2:$K$501,K121)-1),0)))</x:f>
      </x:c>
      <x:c r="P121" s="2" t="str">
        <x:f>IF(A121="","",IF(OR(N121="",F121=""),"Dados incompletos",IF(OR(I121="pendente",I121="confirmado"),COUNTIFS($F$2:$F$501,F121,$G$2:$G$501,"&lt;"&amp;N121,$N$2:$N$501,"&gt;"&amp;G121,$I$2:$I$501,"pendente",$E$2:$E$501,E121)+COUNTIFS($F$2:$F$501,F121,$G$2:$G$501,"&lt;"&amp;N121,$N$2:$N$501,"&gt;"&amp;G121,$I$2:$I$501,"confirmado",$E$2:$E$501,E121)-1,0)))</x:f>
      </x:c>
    </x:row>
    <x:row r="122" ht="24" customHeight="1">
      <x:c r="A122" s="17"/>
      <x:c r="B122" s="16"/>
      <x:c r="C122" s="2"/>
      <x:c r="D122" s="17"/>
      <x:c r="E122" s="2"/>
      <x:c r="F122" s="10"/>
      <x:c r="G122" s="11"/>
      <x:c r="H122" s="2"/>
      <x:c r="I122" s="7"/>
      <x:c r="J122" s="2"/>
      <x:c r="K122" s="2"/>
      <x:c r="L122" s="2"/>
      <x:c r="M122" s="2"/>
      <x:c r="N122" s="11" t="str">
        <x:f>IF(A122="","",IF(AND(ISNUMBER(G122),ISNUMBER(L122),ISNUMBER(M122)),G122+(L122+M122)/1440,""))</x:f>
      </x:c>
      <x:c r="O122" s="2" t="str">
        <x:f>IF(A122="","",IF(OR(N122="",F122=""),"Dados incompletos",IF(OR(I122="pendente",I122="confirmado"),IF(K122="",0,COUNTIFS($F$2:$F$501,F122,$G$2:$G$501,"&lt;"&amp;N122,$N$2:$N$501,"&gt;"&amp;G122,$I$2:$I$501,"pendente",$K$2:$K$501,K122)+COUNTIFS($F$2:$F$501,F122,$G$2:$G$501,"&lt;"&amp;N122,$N$2:$N$501,"&gt;"&amp;G122,$I$2:$I$501,"confirmado",$K$2:$K$501,K122)-1),0)))</x:f>
      </x:c>
      <x:c r="P122" s="2" t="str">
        <x:f>IF(A122="","",IF(OR(N122="",F122=""),"Dados incompletos",IF(OR(I122="pendente",I122="confirmado"),COUNTIFS($F$2:$F$501,F122,$G$2:$G$501,"&lt;"&amp;N122,$N$2:$N$501,"&gt;"&amp;G122,$I$2:$I$501,"pendente",$E$2:$E$501,E122)+COUNTIFS($F$2:$F$501,F122,$G$2:$G$501,"&lt;"&amp;N122,$N$2:$N$501,"&gt;"&amp;G122,$I$2:$I$501,"confirmado",$E$2:$E$501,E122)-1,0)))</x:f>
      </x:c>
    </x:row>
    <x:row r="123" ht="24" customHeight="1">
      <x:c r="A123" s="17"/>
      <x:c r="B123" s="16"/>
      <x:c r="C123" s="2"/>
      <x:c r="D123" s="17"/>
      <x:c r="E123" s="2"/>
      <x:c r="F123" s="10"/>
      <x:c r="G123" s="11"/>
      <x:c r="H123" s="2"/>
      <x:c r="I123" s="7"/>
      <x:c r="J123" s="2"/>
      <x:c r="K123" s="2"/>
      <x:c r="L123" s="2"/>
      <x:c r="M123" s="2"/>
      <x:c r="N123" s="11" t="str">
        <x:f>IF(A123="","",IF(AND(ISNUMBER(G123),ISNUMBER(L123),ISNUMBER(M123)),G123+(L123+M123)/1440,""))</x:f>
      </x:c>
      <x:c r="O123" s="2" t="str">
        <x:f>IF(A123="","",IF(OR(N123="",F123=""),"Dados incompletos",IF(OR(I123="pendente",I123="confirmado"),IF(K123="",0,COUNTIFS($F$2:$F$501,F123,$G$2:$G$501,"&lt;"&amp;N123,$N$2:$N$501,"&gt;"&amp;G123,$I$2:$I$501,"pendente",$K$2:$K$501,K123)+COUNTIFS($F$2:$F$501,F123,$G$2:$G$501,"&lt;"&amp;N123,$N$2:$N$501,"&gt;"&amp;G123,$I$2:$I$501,"confirmado",$K$2:$K$501,K123)-1),0)))</x:f>
      </x:c>
      <x:c r="P123" s="2" t="str">
        <x:f>IF(A123="","",IF(OR(N123="",F123=""),"Dados incompletos",IF(OR(I123="pendente",I123="confirmado"),COUNTIFS($F$2:$F$501,F123,$G$2:$G$501,"&lt;"&amp;N123,$N$2:$N$501,"&gt;"&amp;G123,$I$2:$I$501,"pendente",$E$2:$E$501,E123)+COUNTIFS($F$2:$F$501,F123,$G$2:$G$501,"&lt;"&amp;N123,$N$2:$N$501,"&gt;"&amp;G123,$I$2:$I$501,"confirmado",$E$2:$E$501,E123)-1,0)))</x:f>
      </x:c>
    </x:row>
    <x:row r="124" ht="24" customHeight="1">
      <x:c r="A124" s="17"/>
      <x:c r="B124" s="16"/>
      <x:c r="C124" s="2"/>
      <x:c r="D124" s="17"/>
      <x:c r="E124" s="2"/>
      <x:c r="F124" s="10"/>
      <x:c r="G124" s="11"/>
      <x:c r="H124" s="2"/>
      <x:c r="I124" s="7"/>
      <x:c r="J124" s="2"/>
      <x:c r="K124" s="2"/>
      <x:c r="L124" s="2"/>
      <x:c r="M124" s="2"/>
      <x:c r="N124" s="11" t="str">
        <x:f>IF(A124="","",IF(AND(ISNUMBER(G124),ISNUMBER(L124),ISNUMBER(M124)),G124+(L124+M124)/1440,""))</x:f>
      </x:c>
      <x:c r="O124" s="2" t="str">
        <x:f>IF(A124="","",IF(OR(N124="",F124=""),"Dados incompletos",IF(OR(I124="pendente",I124="confirmado"),IF(K124="",0,COUNTIFS($F$2:$F$501,F124,$G$2:$G$501,"&lt;"&amp;N124,$N$2:$N$501,"&gt;"&amp;G124,$I$2:$I$501,"pendente",$K$2:$K$501,K124)+COUNTIFS($F$2:$F$501,F124,$G$2:$G$501,"&lt;"&amp;N124,$N$2:$N$501,"&gt;"&amp;G124,$I$2:$I$501,"confirmado",$K$2:$K$501,K124)-1),0)))</x:f>
      </x:c>
      <x:c r="P124" s="2" t="str">
        <x:f>IF(A124="","",IF(OR(N124="",F124=""),"Dados incompletos",IF(OR(I124="pendente",I124="confirmado"),COUNTIFS($F$2:$F$501,F124,$G$2:$G$501,"&lt;"&amp;N124,$N$2:$N$501,"&gt;"&amp;G124,$I$2:$I$501,"pendente",$E$2:$E$501,E124)+COUNTIFS($F$2:$F$501,F124,$G$2:$G$501,"&lt;"&amp;N124,$N$2:$N$501,"&gt;"&amp;G124,$I$2:$I$501,"confirmado",$E$2:$E$501,E124)-1,0)))</x:f>
      </x:c>
    </x:row>
    <x:row r="125" ht="24" customHeight="1">
      <x:c r="A125" s="17"/>
      <x:c r="B125" s="16"/>
      <x:c r="C125" s="2"/>
      <x:c r="D125" s="17"/>
      <x:c r="E125" s="2"/>
      <x:c r="F125" s="10"/>
      <x:c r="G125" s="11"/>
      <x:c r="H125" s="2"/>
      <x:c r="I125" s="7"/>
      <x:c r="J125" s="2"/>
      <x:c r="K125" s="2"/>
      <x:c r="L125" s="2"/>
      <x:c r="M125" s="2"/>
      <x:c r="N125" s="11" t="str">
        <x:f>IF(A125="","",IF(AND(ISNUMBER(G125),ISNUMBER(L125),ISNUMBER(M125)),G125+(L125+M125)/1440,""))</x:f>
      </x:c>
      <x:c r="O125" s="2" t="str">
        <x:f>IF(A125="","",IF(OR(N125="",F125=""),"Dados incompletos",IF(OR(I125="pendente",I125="confirmado"),IF(K125="",0,COUNTIFS($F$2:$F$501,F125,$G$2:$G$501,"&lt;"&amp;N125,$N$2:$N$501,"&gt;"&amp;G125,$I$2:$I$501,"pendente",$K$2:$K$501,K125)+COUNTIFS($F$2:$F$501,F125,$G$2:$G$501,"&lt;"&amp;N125,$N$2:$N$501,"&gt;"&amp;G125,$I$2:$I$501,"confirmado",$K$2:$K$501,K125)-1),0)))</x:f>
      </x:c>
      <x:c r="P125" s="2" t="str">
        <x:f>IF(A125="","",IF(OR(N125="",F125=""),"Dados incompletos",IF(OR(I125="pendente",I125="confirmado"),COUNTIFS($F$2:$F$501,F125,$G$2:$G$501,"&lt;"&amp;N125,$N$2:$N$501,"&gt;"&amp;G125,$I$2:$I$501,"pendente",$E$2:$E$501,E125)+COUNTIFS($F$2:$F$501,F125,$G$2:$G$501,"&lt;"&amp;N125,$N$2:$N$501,"&gt;"&amp;G125,$I$2:$I$501,"confirmado",$E$2:$E$501,E125)-1,0)))</x:f>
      </x:c>
    </x:row>
    <x:row r="126" ht="24" customHeight="1">
      <x:c r="A126" s="17"/>
      <x:c r="B126" s="16"/>
      <x:c r="C126" s="2"/>
      <x:c r="D126" s="17"/>
      <x:c r="E126" s="2"/>
      <x:c r="F126" s="10"/>
      <x:c r="G126" s="11"/>
      <x:c r="H126" s="2"/>
      <x:c r="I126" s="7"/>
      <x:c r="J126" s="2"/>
      <x:c r="K126" s="2"/>
      <x:c r="L126" s="2"/>
      <x:c r="M126" s="2"/>
      <x:c r="N126" s="11" t="str">
        <x:f>IF(A126="","",IF(AND(ISNUMBER(G126),ISNUMBER(L126),ISNUMBER(M126)),G126+(L126+M126)/1440,""))</x:f>
      </x:c>
      <x:c r="O126" s="2" t="str">
        <x:f>IF(A126="","",IF(OR(N126="",F126=""),"Dados incompletos",IF(OR(I126="pendente",I126="confirmado"),IF(K126="",0,COUNTIFS($F$2:$F$501,F126,$G$2:$G$501,"&lt;"&amp;N126,$N$2:$N$501,"&gt;"&amp;G126,$I$2:$I$501,"pendente",$K$2:$K$501,K126)+COUNTIFS($F$2:$F$501,F126,$G$2:$G$501,"&lt;"&amp;N126,$N$2:$N$501,"&gt;"&amp;G126,$I$2:$I$501,"confirmado",$K$2:$K$501,K126)-1),0)))</x:f>
      </x:c>
      <x:c r="P126" s="2" t="str">
        <x:f>IF(A126="","",IF(OR(N126="",F126=""),"Dados incompletos",IF(OR(I126="pendente",I126="confirmado"),COUNTIFS($F$2:$F$501,F126,$G$2:$G$501,"&lt;"&amp;N126,$N$2:$N$501,"&gt;"&amp;G126,$I$2:$I$501,"pendente",$E$2:$E$501,E126)+COUNTIFS($F$2:$F$501,F126,$G$2:$G$501,"&lt;"&amp;N126,$N$2:$N$501,"&gt;"&amp;G126,$I$2:$I$501,"confirmado",$E$2:$E$501,E126)-1,0)))</x:f>
      </x:c>
    </x:row>
    <x:row r="127" ht="24" customHeight="1">
      <x:c r="A127" s="17"/>
      <x:c r="B127" s="16"/>
      <x:c r="C127" s="2"/>
      <x:c r="D127" s="17"/>
      <x:c r="E127" s="2"/>
      <x:c r="F127" s="10"/>
      <x:c r="G127" s="11"/>
      <x:c r="H127" s="2"/>
      <x:c r="I127" s="7"/>
      <x:c r="J127" s="2"/>
      <x:c r="K127" s="2"/>
      <x:c r="L127" s="2"/>
      <x:c r="M127" s="2"/>
      <x:c r="N127" s="11" t="str">
        <x:f>IF(A127="","",IF(AND(ISNUMBER(G127),ISNUMBER(L127),ISNUMBER(M127)),G127+(L127+M127)/1440,""))</x:f>
      </x:c>
      <x:c r="O127" s="2" t="str">
        <x:f>IF(A127="","",IF(OR(N127="",F127=""),"Dados incompletos",IF(OR(I127="pendente",I127="confirmado"),IF(K127="",0,COUNTIFS($F$2:$F$501,F127,$G$2:$G$501,"&lt;"&amp;N127,$N$2:$N$501,"&gt;"&amp;G127,$I$2:$I$501,"pendente",$K$2:$K$501,K127)+COUNTIFS($F$2:$F$501,F127,$G$2:$G$501,"&lt;"&amp;N127,$N$2:$N$501,"&gt;"&amp;G127,$I$2:$I$501,"confirmado",$K$2:$K$501,K127)-1),0)))</x:f>
      </x:c>
      <x:c r="P127" s="2" t="str">
        <x:f>IF(A127="","",IF(OR(N127="",F127=""),"Dados incompletos",IF(OR(I127="pendente",I127="confirmado"),COUNTIFS($F$2:$F$501,F127,$G$2:$G$501,"&lt;"&amp;N127,$N$2:$N$501,"&gt;"&amp;G127,$I$2:$I$501,"pendente",$E$2:$E$501,E127)+COUNTIFS($F$2:$F$501,F127,$G$2:$G$501,"&lt;"&amp;N127,$N$2:$N$501,"&gt;"&amp;G127,$I$2:$I$501,"confirmado",$E$2:$E$501,E127)-1,0)))</x:f>
      </x:c>
    </x:row>
    <x:row r="128" ht="24" customHeight="1">
      <x:c r="A128" s="17"/>
      <x:c r="B128" s="16"/>
      <x:c r="C128" s="2"/>
      <x:c r="D128" s="17"/>
      <x:c r="E128" s="2"/>
      <x:c r="F128" s="10"/>
      <x:c r="G128" s="11"/>
      <x:c r="H128" s="2"/>
      <x:c r="I128" s="7"/>
      <x:c r="J128" s="2"/>
      <x:c r="K128" s="2"/>
      <x:c r="L128" s="2"/>
      <x:c r="M128" s="2"/>
      <x:c r="N128" s="11" t="str">
        <x:f>IF(A128="","",IF(AND(ISNUMBER(G128),ISNUMBER(L128),ISNUMBER(M128)),G128+(L128+M128)/1440,""))</x:f>
      </x:c>
      <x:c r="O128" s="2" t="str">
        <x:f>IF(A128="","",IF(OR(N128="",F128=""),"Dados incompletos",IF(OR(I128="pendente",I128="confirmado"),IF(K128="",0,COUNTIFS($F$2:$F$501,F128,$G$2:$G$501,"&lt;"&amp;N128,$N$2:$N$501,"&gt;"&amp;G128,$I$2:$I$501,"pendente",$K$2:$K$501,K128)+COUNTIFS($F$2:$F$501,F128,$G$2:$G$501,"&lt;"&amp;N128,$N$2:$N$501,"&gt;"&amp;G128,$I$2:$I$501,"confirmado",$K$2:$K$501,K128)-1),0)))</x:f>
      </x:c>
      <x:c r="P128" s="2" t="str">
        <x:f>IF(A128="","",IF(OR(N128="",F128=""),"Dados incompletos",IF(OR(I128="pendente",I128="confirmado"),COUNTIFS($F$2:$F$501,F128,$G$2:$G$501,"&lt;"&amp;N128,$N$2:$N$501,"&gt;"&amp;G128,$I$2:$I$501,"pendente",$E$2:$E$501,E128)+COUNTIFS($F$2:$F$501,F128,$G$2:$G$501,"&lt;"&amp;N128,$N$2:$N$501,"&gt;"&amp;G128,$I$2:$I$501,"confirmado",$E$2:$E$501,E128)-1,0)))</x:f>
      </x:c>
    </x:row>
    <x:row r="129" ht="24" customHeight="1">
      <x:c r="A129" s="17"/>
      <x:c r="B129" s="16"/>
      <x:c r="C129" s="2"/>
      <x:c r="D129" s="17"/>
      <x:c r="E129" s="2"/>
      <x:c r="F129" s="10"/>
      <x:c r="G129" s="11"/>
      <x:c r="H129" s="2"/>
      <x:c r="I129" s="7"/>
      <x:c r="J129" s="2"/>
      <x:c r="K129" s="2"/>
      <x:c r="L129" s="2"/>
      <x:c r="M129" s="2"/>
      <x:c r="N129" s="11" t="str">
        <x:f>IF(A129="","",IF(AND(ISNUMBER(G129),ISNUMBER(L129),ISNUMBER(M129)),G129+(L129+M129)/1440,""))</x:f>
      </x:c>
      <x:c r="O129" s="2" t="str">
        <x:f>IF(A129="","",IF(OR(N129="",F129=""),"Dados incompletos",IF(OR(I129="pendente",I129="confirmado"),IF(K129="",0,COUNTIFS($F$2:$F$501,F129,$G$2:$G$501,"&lt;"&amp;N129,$N$2:$N$501,"&gt;"&amp;G129,$I$2:$I$501,"pendente",$K$2:$K$501,K129)+COUNTIFS($F$2:$F$501,F129,$G$2:$G$501,"&lt;"&amp;N129,$N$2:$N$501,"&gt;"&amp;G129,$I$2:$I$501,"confirmado",$K$2:$K$501,K129)-1),0)))</x:f>
      </x:c>
      <x:c r="P129" s="2" t="str">
        <x:f>IF(A129="","",IF(OR(N129="",F129=""),"Dados incompletos",IF(OR(I129="pendente",I129="confirmado"),COUNTIFS($F$2:$F$501,F129,$G$2:$G$501,"&lt;"&amp;N129,$N$2:$N$501,"&gt;"&amp;G129,$I$2:$I$501,"pendente",$E$2:$E$501,E129)+COUNTIFS($F$2:$F$501,F129,$G$2:$G$501,"&lt;"&amp;N129,$N$2:$N$501,"&gt;"&amp;G129,$I$2:$I$501,"confirmado",$E$2:$E$501,E129)-1,0)))</x:f>
      </x:c>
    </x:row>
    <x:row r="130" ht="24" customHeight="1">
      <x:c r="A130" s="17"/>
      <x:c r="B130" s="16"/>
      <x:c r="C130" s="2"/>
      <x:c r="D130" s="17"/>
      <x:c r="E130" s="2"/>
      <x:c r="F130" s="10"/>
      <x:c r="G130" s="11"/>
      <x:c r="H130" s="2"/>
      <x:c r="I130" s="7"/>
      <x:c r="J130" s="2"/>
      <x:c r="K130" s="2"/>
      <x:c r="L130" s="2"/>
      <x:c r="M130" s="2"/>
      <x:c r="N130" s="11" t="str">
        <x:f>IF(A130="","",IF(AND(ISNUMBER(G130),ISNUMBER(L130),ISNUMBER(M130)),G130+(L130+M130)/1440,""))</x:f>
      </x:c>
      <x:c r="O130" s="2" t="str">
        <x:f>IF(A130="","",IF(OR(N130="",F130=""),"Dados incompletos",IF(OR(I130="pendente",I130="confirmado"),IF(K130="",0,COUNTIFS($F$2:$F$501,F130,$G$2:$G$501,"&lt;"&amp;N130,$N$2:$N$501,"&gt;"&amp;G130,$I$2:$I$501,"pendente",$K$2:$K$501,K130)+COUNTIFS($F$2:$F$501,F130,$G$2:$G$501,"&lt;"&amp;N130,$N$2:$N$501,"&gt;"&amp;G130,$I$2:$I$501,"confirmado",$K$2:$K$501,K130)-1),0)))</x:f>
      </x:c>
      <x:c r="P130" s="2" t="str">
        <x:f>IF(A130="","",IF(OR(N130="",F130=""),"Dados incompletos",IF(OR(I130="pendente",I130="confirmado"),COUNTIFS($F$2:$F$501,F130,$G$2:$G$501,"&lt;"&amp;N130,$N$2:$N$501,"&gt;"&amp;G130,$I$2:$I$501,"pendente",$E$2:$E$501,E130)+COUNTIFS($F$2:$F$501,F130,$G$2:$G$501,"&lt;"&amp;N130,$N$2:$N$501,"&gt;"&amp;G130,$I$2:$I$501,"confirmado",$E$2:$E$501,E130)-1,0)))</x:f>
      </x:c>
    </x:row>
    <x:row r="131" ht="24" customHeight="1">
      <x:c r="A131" s="17"/>
      <x:c r="B131" s="16"/>
      <x:c r="C131" s="2"/>
      <x:c r="D131" s="17"/>
      <x:c r="E131" s="2"/>
      <x:c r="F131" s="10"/>
      <x:c r="G131" s="11"/>
      <x:c r="H131" s="2"/>
      <x:c r="I131" s="7"/>
      <x:c r="J131" s="2"/>
      <x:c r="K131" s="2"/>
      <x:c r="L131" s="2"/>
      <x:c r="M131" s="2"/>
      <x:c r="N131" s="11" t="str">
        <x:f>IF(A131="","",IF(AND(ISNUMBER(G131),ISNUMBER(L131),ISNUMBER(M131)),G131+(L131+M131)/1440,""))</x:f>
      </x:c>
      <x:c r="O131" s="2" t="str">
        <x:f>IF(A131="","",IF(OR(N131="",F131=""),"Dados incompletos",IF(OR(I131="pendente",I131="confirmado"),IF(K131="",0,COUNTIFS($F$2:$F$501,F131,$G$2:$G$501,"&lt;"&amp;N131,$N$2:$N$501,"&gt;"&amp;G131,$I$2:$I$501,"pendente",$K$2:$K$501,K131)+COUNTIFS($F$2:$F$501,F131,$G$2:$G$501,"&lt;"&amp;N131,$N$2:$N$501,"&gt;"&amp;G131,$I$2:$I$501,"confirmado",$K$2:$K$501,K131)-1),0)))</x:f>
      </x:c>
      <x:c r="P131" s="2" t="str">
        <x:f>IF(A131="","",IF(OR(N131="",F131=""),"Dados incompletos",IF(OR(I131="pendente",I131="confirmado"),COUNTIFS($F$2:$F$501,F131,$G$2:$G$501,"&lt;"&amp;N131,$N$2:$N$501,"&gt;"&amp;G131,$I$2:$I$501,"pendente",$E$2:$E$501,E131)+COUNTIFS($F$2:$F$501,F131,$G$2:$G$501,"&lt;"&amp;N131,$N$2:$N$501,"&gt;"&amp;G131,$I$2:$I$501,"confirmado",$E$2:$E$501,E131)-1,0)))</x:f>
      </x:c>
    </x:row>
    <x:row r="132" ht="24" customHeight="1">
      <x:c r="A132" s="17"/>
      <x:c r="B132" s="16"/>
      <x:c r="C132" s="2"/>
      <x:c r="D132" s="17"/>
      <x:c r="E132" s="2"/>
      <x:c r="F132" s="10"/>
      <x:c r="G132" s="11"/>
      <x:c r="H132" s="2"/>
      <x:c r="I132" s="7"/>
      <x:c r="J132" s="2"/>
      <x:c r="K132" s="2"/>
      <x:c r="L132" s="2"/>
      <x:c r="M132" s="2"/>
      <x:c r="N132" s="11" t="str">
        <x:f>IF(A132="","",IF(AND(ISNUMBER(G132),ISNUMBER(L132),ISNUMBER(M132)),G132+(L132+M132)/1440,""))</x:f>
      </x:c>
      <x:c r="O132" s="2" t="str">
        <x:f>IF(A132="","",IF(OR(N132="",F132=""),"Dados incompletos",IF(OR(I132="pendente",I132="confirmado"),IF(K132="",0,COUNTIFS($F$2:$F$501,F132,$G$2:$G$501,"&lt;"&amp;N132,$N$2:$N$501,"&gt;"&amp;G132,$I$2:$I$501,"pendente",$K$2:$K$501,K132)+COUNTIFS($F$2:$F$501,F132,$G$2:$G$501,"&lt;"&amp;N132,$N$2:$N$501,"&gt;"&amp;G132,$I$2:$I$501,"confirmado",$K$2:$K$501,K132)-1),0)))</x:f>
      </x:c>
      <x:c r="P132" s="2" t="str">
        <x:f>IF(A132="","",IF(OR(N132="",F132=""),"Dados incompletos",IF(OR(I132="pendente",I132="confirmado"),COUNTIFS($F$2:$F$501,F132,$G$2:$G$501,"&lt;"&amp;N132,$N$2:$N$501,"&gt;"&amp;G132,$I$2:$I$501,"pendente",$E$2:$E$501,E132)+COUNTIFS($F$2:$F$501,F132,$G$2:$G$501,"&lt;"&amp;N132,$N$2:$N$501,"&gt;"&amp;G132,$I$2:$I$501,"confirmado",$E$2:$E$501,E132)-1,0)))</x:f>
      </x:c>
    </x:row>
    <x:row r="133" ht="24" customHeight="1">
      <x:c r="A133" s="17"/>
      <x:c r="B133" s="16"/>
      <x:c r="C133" s="2"/>
      <x:c r="D133" s="17"/>
      <x:c r="E133" s="2"/>
      <x:c r="F133" s="10"/>
      <x:c r="G133" s="11"/>
      <x:c r="H133" s="2"/>
      <x:c r="I133" s="7"/>
      <x:c r="J133" s="2"/>
      <x:c r="K133" s="2"/>
      <x:c r="L133" s="2"/>
      <x:c r="M133" s="2"/>
      <x:c r="N133" s="11" t="str">
        <x:f>IF(A133="","",IF(AND(ISNUMBER(G133),ISNUMBER(L133),ISNUMBER(M133)),G133+(L133+M133)/1440,""))</x:f>
      </x:c>
      <x:c r="O133" s="2" t="str">
        <x:f>IF(A133="","",IF(OR(N133="",F133=""),"Dados incompletos",IF(OR(I133="pendente",I133="confirmado"),IF(K133="",0,COUNTIFS($F$2:$F$501,F133,$G$2:$G$501,"&lt;"&amp;N133,$N$2:$N$501,"&gt;"&amp;G133,$I$2:$I$501,"pendente",$K$2:$K$501,K133)+COUNTIFS($F$2:$F$501,F133,$G$2:$G$501,"&lt;"&amp;N133,$N$2:$N$501,"&gt;"&amp;G133,$I$2:$I$501,"confirmado",$K$2:$K$501,K133)-1),0)))</x:f>
      </x:c>
      <x:c r="P133" s="2" t="str">
        <x:f>IF(A133="","",IF(OR(N133="",F133=""),"Dados incompletos",IF(OR(I133="pendente",I133="confirmado"),COUNTIFS($F$2:$F$501,F133,$G$2:$G$501,"&lt;"&amp;N133,$N$2:$N$501,"&gt;"&amp;G133,$I$2:$I$501,"pendente",$E$2:$E$501,E133)+COUNTIFS($F$2:$F$501,F133,$G$2:$G$501,"&lt;"&amp;N133,$N$2:$N$501,"&gt;"&amp;G133,$I$2:$I$501,"confirmado",$E$2:$E$501,E133)-1,0)))</x:f>
      </x:c>
    </x:row>
    <x:row r="134" ht="24" customHeight="1">
      <x:c r="A134" s="17"/>
      <x:c r="B134" s="16"/>
      <x:c r="C134" s="2"/>
      <x:c r="D134" s="17"/>
      <x:c r="E134" s="2"/>
      <x:c r="F134" s="10"/>
      <x:c r="G134" s="11"/>
      <x:c r="H134" s="2"/>
      <x:c r="I134" s="7"/>
      <x:c r="J134" s="2"/>
      <x:c r="K134" s="2"/>
      <x:c r="L134" s="2"/>
      <x:c r="M134" s="2"/>
      <x:c r="N134" s="11" t="str">
        <x:f>IF(A134="","",IF(AND(ISNUMBER(G134),ISNUMBER(L134),ISNUMBER(M134)),G134+(L134+M134)/1440,""))</x:f>
      </x:c>
      <x:c r="O134" s="2" t="str">
        <x:f>IF(A134="","",IF(OR(N134="",F134=""),"Dados incompletos",IF(OR(I134="pendente",I134="confirmado"),IF(K134="",0,COUNTIFS($F$2:$F$501,F134,$G$2:$G$501,"&lt;"&amp;N134,$N$2:$N$501,"&gt;"&amp;G134,$I$2:$I$501,"pendente",$K$2:$K$501,K134)+COUNTIFS($F$2:$F$501,F134,$G$2:$G$501,"&lt;"&amp;N134,$N$2:$N$501,"&gt;"&amp;G134,$I$2:$I$501,"confirmado",$K$2:$K$501,K134)-1),0)))</x:f>
      </x:c>
      <x:c r="P134" s="2" t="str">
        <x:f>IF(A134="","",IF(OR(N134="",F134=""),"Dados incompletos",IF(OR(I134="pendente",I134="confirmado"),COUNTIFS($F$2:$F$501,F134,$G$2:$G$501,"&lt;"&amp;N134,$N$2:$N$501,"&gt;"&amp;G134,$I$2:$I$501,"pendente",$E$2:$E$501,E134)+COUNTIFS($F$2:$F$501,F134,$G$2:$G$501,"&lt;"&amp;N134,$N$2:$N$501,"&gt;"&amp;G134,$I$2:$I$501,"confirmado",$E$2:$E$501,E134)-1,0)))</x:f>
      </x:c>
    </x:row>
    <x:row r="135" ht="24" customHeight="1">
      <x:c r="A135" s="17"/>
      <x:c r="B135" s="16"/>
      <x:c r="C135" s="2"/>
      <x:c r="D135" s="17"/>
      <x:c r="E135" s="2"/>
      <x:c r="F135" s="10"/>
      <x:c r="G135" s="11"/>
      <x:c r="H135" s="2"/>
      <x:c r="I135" s="7"/>
      <x:c r="J135" s="2"/>
      <x:c r="K135" s="2"/>
      <x:c r="L135" s="2"/>
      <x:c r="M135" s="2"/>
      <x:c r="N135" s="11" t="str">
        <x:f>IF(A135="","",IF(AND(ISNUMBER(G135),ISNUMBER(L135),ISNUMBER(M135)),G135+(L135+M135)/1440,""))</x:f>
      </x:c>
      <x:c r="O135" s="2" t="str">
        <x:f>IF(A135="","",IF(OR(N135="",F135=""),"Dados incompletos",IF(OR(I135="pendente",I135="confirmado"),IF(K135="",0,COUNTIFS($F$2:$F$501,F135,$G$2:$G$501,"&lt;"&amp;N135,$N$2:$N$501,"&gt;"&amp;G135,$I$2:$I$501,"pendente",$K$2:$K$501,K135)+COUNTIFS($F$2:$F$501,F135,$G$2:$G$501,"&lt;"&amp;N135,$N$2:$N$501,"&gt;"&amp;G135,$I$2:$I$501,"confirmado",$K$2:$K$501,K135)-1),0)))</x:f>
      </x:c>
      <x:c r="P135" s="2" t="str">
        <x:f>IF(A135="","",IF(OR(N135="",F135=""),"Dados incompletos",IF(OR(I135="pendente",I135="confirmado"),COUNTIFS($F$2:$F$501,F135,$G$2:$G$501,"&lt;"&amp;N135,$N$2:$N$501,"&gt;"&amp;G135,$I$2:$I$501,"pendente",$E$2:$E$501,E135)+COUNTIFS($F$2:$F$501,F135,$G$2:$G$501,"&lt;"&amp;N135,$N$2:$N$501,"&gt;"&amp;G135,$I$2:$I$501,"confirmado",$E$2:$E$501,E135)-1,0)))</x:f>
      </x:c>
    </x:row>
    <x:row r="136" ht="24" customHeight="1">
      <x:c r="A136" s="17"/>
      <x:c r="B136" s="16"/>
      <x:c r="C136" s="2"/>
      <x:c r="D136" s="17"/>
      <x:c r="E136" s="2"/>
      <x:c r="F136" s="10"/>
      <x:c r="G136" s="11"/>
      <x:c r="H136" s="2"/>
      <x:c r="I136" s="7"/>
      <x:c r="J136" s="2"/>
      <x:c r="K136" s="2"/>
      <x:c r="L136" s="2"/>
      <x:c r="M136" s="2"/>
      <x:c r="N136" s="11" t="str">
        <x:f>IF(A136="","",IF(AND(ISNUMBER(G136),ISNUMBER(L136),ISNUMBER(M136)),G136+(L136+M136)/1440,""))</x:f>
      </x:c>
      <x:c r="O136" s="2" t="str">
        <x:f>IF(A136="","",IF(OR(N136="",F136=""),"Dados incompletos",IF(OR(I136="pendente",I136="confirmado"),IF(K136="",0,COUNTIFS($F$2:$F$501,F136,$G$2:$G$501,"&lt;"&amp;N136,$N$2:$N$501,"&gt;"&amp;G136,$I$2:$I$501,"pendente",$K$2:$K$501,K136)+COUNTIFS($F$2:$F$501,F136,$G$2:$G$501,"&lt;"&amp;N136,$N$2:$N$501,"&gt;"&amp;G136,$I$2:$I$501,"confirmado",$K$2:$K$501,K136)-1),0)))</x:f>
      </x:c>
      <x:c r="P136" s="2" t="str">
        <x:f>IF(A136="","",IF(OR(N136="",F136=""),"Dados incompletos",IF(OR(I136="pendente",I136="confirmado"),COUNTIFS($F$2:$F$501,F136,$G$2:$G$501,"&lt;"&amp;N136,$N$2:$N$501,"&gt;"&amp;G136,$I$2:$I$501,"pendente",$E$2:$E$501,E136)+COUNTIFS($F$2:$F$501,F136,$G$2:$G$501,"&lt;"&amp;N136,$N$2:$N$501,"&gt;"&amp;G136,$I$2:$I$501,"confirmado",$E$2:$E$501,E136)-1,0)))</x:f>
      </x:c>
    </x:row>
    <x:row r="137" ht="24" customHeight="1">
      <x:c r="A137" s="17"/>
      <x:c r="B137" s="16"/>
      <x:c r="C137" s="2"/>
      <x:c r="D137" s="17"/>
      <x:c r="E137" s="2"/>
      <x:c r="F137" s="10"/>
      <x:c r="G137" s="11"/>
      <x:c r="H137" s="2"/>
      <x:c r="I137" s="7"/>
      <x:c r="J137" s="2"/>
      <x:c r="K137" s="2"/>
      <x:c r="L137" s="2"/>
      <x:c r="M137" s="2"/>
      <x:c r="N137" s="11" t="str">
        <x:f>IF(A137="","",IF(AND(ISNUMBER(G137),ISNUMBER(L137),ISNUMBER(M137)),G137+(L137+M137)/1440,""))</x:f>
      </x:c>
      <x:c r="O137" s="2" t="str">
        <x:f>IF(A137="","",IF(OR(N137="",F137=""),"Dados incompletos",IF(OR(I137="pendente",I137="confirmado"),IF(K137="",0,COUNTIFS($F$2:$F$501,F137,$G$2:$G$501,"&lt;"&amp;N137,$N$2:$N$501,"&gt;"&amp;G137,$I$2:$I$501,"pendente",$K$2:$K$501,K137)+COUNTIFS($F$2:$F$501,F137,$G$2:$G$501,"&lt;"&amp;N137,$N$2:$N$501,"&gt;"&amp;G137,$I$2:$I$501,"confirmado",$K$2:$K$501,K137)-1),0)))</x:f>
      </x:c>
      <x:c r="P137" s="2" t="str">
        <x:f>IF(A137="","",IF(OR(N137="",F137=""),"Dados incompletos",IF(OR(I137="pendente",I137="confirmado"),COUNTIFS($F$2:$F$501,F137,$G$2:$G$501,"&lt;"&amp;N137,$N$2:$N$501,"&gt;"&amp;G137,$I$2:$I$501,"pendente",$E$2:$E$501,E137)+COUNTIFS($F$2:$F$501,F137,$G$2:$G$501,"&lt;"&amp;N137,$N$2:$N$501,"&gt;"&amp;G137,$I$2:$I$501,"confirmado",$E$2:$E$501,E137)-1,0)))</x:f>
      </x:c>
    </x:row>
    <x:row r="138" ht="24" customHeight="1">
      <x:c r="A138" s="17"/>
      <x:c r="B138" s="16"/>
      <x:c r="C138" s="2"/>
      <x:c r="D138" s="17"/>
      <x:c r="E138" s="2"/>
      <x:c r="F138" s="10"/>
      <x:c r="G138" s="11"/>
      <x:c r="H138" s="2"/>
      <x:c r="I138" s="7"/>
      <x:c r="J138" s="2"/>
      <x:c r="K138" s="2"/>
      <x:c r="L138" s="2"/>
      <x:c r="M138" s="2"/>
      <x:c r="N138" s="11" t="str">
        <x:f>IF(A138="","",IF(AND(ISNUMBER(G138),ISNUMBER(L138),ISNUMBER(M138)),G138+(L138+M138)/1440,""))</x:f>
      </x:c>
      <x:c r="O138" s="2" t="str">
        <x:f>IF(A138="","",IF(OR(N138="",F138=""),"Dados incompletos",IF(OR(I138="pendente",I138="confirmado"),IF(K138="",0,COUNTIFS($F$2:$F$501,F138,$G$2:$G$501,"&lt;"&amp;N138,$N$2:$N$501,"&gt;"&amp;G138,$I$2:$I$501,"pendente",$K$2:$K$501,K138)+COUNTIFS($F$2:$F$501,F138,$G$2:$G$501,"&lt;"&amp;N138,$N$2:$N$501,"&gt;"&amp;G138,$I$2:$I$501,"confirmado",$K$2:$K$501,K138)-1),0)))</x:f>
      </x:c>
      <x:c r="P138" s="2" t="str">
        <x:f>IF(A138="","",IF(OR(N138="",F138=""),"Dados incompletos",IF(OR(I138="pendente",I138="confirmado"),COUNTIFS($F$2:$F$501,F138,$G$2:$G$501,"&lt;"&amp;N138,$N$2:$N$501,"&gt;"&amp;G138,$I$2:$I$501,"pendente",$E$2:$E$501,E138)+COUNTIFS($F$2:$F$501,F138,$G$2:$G$501,"&lt;"&amp;N138,$N$2:$N$501,"&gt;"&amp;G138,$I$2:$I$501,"confirmado",$E$2:$E$501,E138)-1,0)))</x:f>
      </x:c>
    </x:row>
    <x:row r="139" ht="24" customHeight="1">
      <x:c r="A139" s="17"/>
      <x:c r="B139" s="16"/>
      <x:c r="C139" s="2"/>
      <x:c r="D139" s="17"/>
      <x:c r="E139" s="2"/>
      <x:c r="F139" s="10"/>
      <x:c r="G139" s="11"/>
      <x:c r="H139" s="2"/>
      <x:c r="I139" s="7"/>
      <x:c r="J139" s="2"/>
      <x:c r="K139" s="2"/>
      <x:c r="L139" s="2"/>
      <x:c r="M139" s="2"/>
      <x:c r="N139" s="11" t="str">
        <x:f>IF(A139="","",IF(AND(ISNUMBER(G139),ISNUMBER(L139),ISNUMBER(M139)),G139+(L139+M139)/1440,""))</x:f>
      </x:c>
      <x:c r="O139" s="2" t="str">
        <x:f>IF(A139="","",IF(OR(N139="",F139=""),"Dados incompletos",IF(OR(I139="pendente",I139="confirmado"),IF(K139="",0,COUNTIFS($F$2:$F$501,F139,$G$2:$G$501,"&lt;"&amp;N139,$N$2:$N$501,"&gt;"&amp;G139,$I$2:$I$501,"pendente",$K$2:$K$501,K139)+COUNTIFS($F$2:$F$501,F139,$G$2:$G$501,"&lt;"&amp;N139,$N$2:$N$501,"&gt;"&amp;G139,$I$2:$I$501,"confirmado",$K$2:$K$501,K139)-1),0)))</x:f>
      </x:c>
      <x:c r="P139" s="2" t="str">
        <x:f>IF(A139="","",IF(OR(N139="",F139=""),"Dados incompletos",IF(OR(I139="pendente",I139="confirmado"),COUNTIFS($F$2:$F$501,F139,$G$2:$G$501,"&lt;"&amp;N139,$N$2:$N$501,"&gt;"&amp;G139,$I$2:$I$501,"pendente",$E$2:$E$501,E139)+COUNTIFS($F$2:$F$501,F139,$G$2:$G$501,"&lt;"&amp;N139,$N$2:$N$501,"&gt;"&amp;G139,$I$2:$I$501,"confirmado",$E$2:$E$501,E139)-1,0)))</x:f>
      </x:c>
    </x:row>
    <x:row r="140" ht="24" customHeight="1">
      <x:c r="A140" s="17"/>
      <x:c r="B140" s="16"/>
      <x:c r="C140" s="2"/>
      <x:c r="D140" s="17"/>
      <x:c r="E140" s="2"/>
      <x:c r="F140" s="10"/>
      <x:c r="G140" s="11"/>
      <x:c r="H140" s="2"/>
      <x:c r="I140" s="7"/>
      <x:c r="J140" s="2"/>
      <x:c r="K140" s="2"/>
      <x:c r="L140" s="2"/>
      <x:c r="M140" s="2"/>
      <x:c r="N140" s="11" t="str">
        <x:f>IF(A140="","",IF(AND(ISNUMBER(G140),ISNUMBER(L140),ISNUMBER(M140)),G140+(L140+M140)/1440,""))</x:f>
      </x:c>
      <x:c r="O140" s="2" t="str">
        <x:f>IF(A140="","",IF(OR(N140="",F140=""),"Dados incompletos",IF(OR(I140="pendente",I140="confirmado"),IF(K140="",0,COUNTIFS($F$2:$F$501,F140,$G$2:$G$501,"&lt;"&amp;N140,$N$2:$N$501,"&gt;"&amp;G140,$I$2:$I$501,"pendente",$K$2:$K$501,K140)+COUNTIFS($F$2:$F$501,F140,$G$2:$G$501,"&lt;"&amp;N140,$N$2:$N$501,"&gt;"&amp;G140,$I$2:$I$501,"confirmado",$K$2:$K$501,K140)-1),0)))</x:f>
      </x:c>
      <x:c r="P140" s="2" t="str">
        <x:f>IF(A140="","",IF(OR(N140="",F140=""),"Dados incompletos",IF(OR(I140="pendente",I140="confirmado"),COUNTIFS($F$2:$F$501,F140,$G$2:$G$501,"&lt;"&amp;N140,$N$2:$N$501,"&gt;"&amp;G140,$I$2:$I$501,"pendente",$E$2:$E$501,E140)+COUNTIFS($F$2:$F$501,F140,$G$2:$G$501,"&lt;"&amp;N140,$N$2:$N$501,"&gt;"&amp;G140,$I$2:$I$501,"confirmado",$E$2:$E$501,E140)-1,0)))</x:f>
      </x:c>
    </x:row>
    <x:row r="141" ht="24" customHeight="1">
      <x:c r="A141" s="17"/>
      <x:c r="B141" s="16"/>
      <x:c r="C141" s="2"/>
      <x:c r="D141" s="17"/>
      <x:c r="E141" s="2"/>
      <x:c r="F141" s="10"/>
      <x:c r="G141" s="11"/>
      <x:c r="H141" s="2"/>
      <x:c r="I141" s="7"/>
      <x:c r="J141" s="2"/>
      <x:c r="K141" s="2"/>
      <x:c r="L141" s="2"/>
      <x:c r="M141" s="2"/>
      <x:c r="N141" s="11" t="str">
        <x:f>IF(A141="","",IF(AND(ISNUMBER(G141),ISNUMBER(L141),ISNUMBER(M141)),G141+(L141+M141)/1440,""))</x:f>
      </x:c>
      <x:c r="O141" s="2" t="str">
        <x:f>IF(A141="","",IF(OR(N141="",F141=""),"Dados incompletos",IF(OR(I141="pendente",I141="confirmado"),IF(K141="",0,COUNTIFS($F$2:$F$501,F141,$G$2:$G$501,"&lt;"&amp;N141,$N$2:$N$501,"&gt;"&amp;G141,$I$2:$I$501,"pendente",$K$2:$K$501,K141)+COUNTIFS($F$2:$F$501,F141,$G$2:$G$501,"&lt;"&amp;N141,$N$2:$N$501,"&gt;"&amp;G141,$I$2:$I$501,"confirmado",$K$2:$K$501,K141)-1),0)))</x:f>
      </x:c>
      <x:c r="P141" s="2" t="str">
        <x:f>IF(A141="","",IF(OR(N141="",F141=""),"Dados incompletos",IF(OR(I141="pendente",I141="confirmado"),COUNTIFS($F$2:$F$501,F141,$G$2:$G$501,"&lt;"&amp;N141,$N$2:$N$501,"&gt;"&amp;G141,$I$2:$I$501,"pendente",$E$2:$E$501,E141)+COUNTIFS($F$2:$F$501,F141,$G$2:$G$501,"&lt;"&amp;N141,$N$2:$N$501,"&gt;"&amp;G141,$I$2:$I$501,"confirmado",$E$2:$E$501,E141)-1,0)))</x:f>
      </x:c>
    </x:row>
    <x:row r="142" ht="24" customHeight="1">
      <x:c r="A142" s="17"/>
      <x:c r="B142" s="16"/>
      <x:c r="C142" s="2"/>
      <x:c r="D142" s="17"/>
      <x:c r="E142" s="2"/>
      <x:c r="F142" s="10"/>
      <x:c r="G142" s="11"/>
      <x:c r="H142" s="2"/>
      <x:c r="I142" s="7"/>
      <x:c r="J142" s="2"/>
      <x:c r="K142" s="2"/>
      <x:c r="L142" s="2"/>
      <x:c r="M142" s="2"/>
      <x:c r="N142" s="11" t="str">
        <x:f>IF(A142="","",IF(AND(ISNUMBER(G142),ISNUMBER(L142),ISNUMBER(M142)),G142+(L142+M142)/1440,""))</x:f>
      </x:c>
      <x:c r="O142" s="2" t="str">
        <x:f>IF(A142="","",IF(OR(N142="",F142=""),"Dados incompletos",IF(OR(I142="pendente",I142="confirmado"),IF(K142="",0,COUNTIFS($F$2:$F$501,F142,$G$2:$G$501,"&lt;"&amp;N142,$N$2:$N$501,"&gt;"&amp;G142,$I$2:$I$501,"pendente",$K$2:$K$501,K142)+COUNTIFS($F$2:$F$501,F142,$G$2:$G$501,"&lt;"&amp;N142,$N$2:$N$501,"&gt;"&amp;G142,$I$2:$I$501,"confirmado",$K$2:$K$501,K142)-1),0)))</x:f>
      </x:c>
      <x:c r="P142" s="2" t="str">
        <x:f>IF(A142="","",IF(OR(N142="",F142=""),"Dados incompletos",IF(OR(I142="pendente",I142="confirmado"),COUNTIFS($F$2:$F$501,F142,$G$2:$G$501,"&lt;"&amp;N142,$N$2:$N$501,"&gt;"&amp;G142,$I$2:$I$501,"pendente",$E$2:$E$501,E142)+COUNTIFS($F$2:$F$501,F142,$G$2:$G$501,"&lt;"&amp;N142,$N$2:$N$501,"&gt;"&amp;G142,$I$2:$I$501,"confirmado",$E$2:$E$501,E142)-1,0)))</x:f>
      </x:c>
    </x:row>
    <x:row r="143" ht="24" customHeight="1">
      <x:c r="A143" s="17"/>
      <x:c r="B143" s="16"/>
      <x:c r="C143" s="2"/>
      <x:c r="D143" s="17"/>
      <x:c r="E143" s="2"/>
      <x:c r="F143" s="10"/>
      <x:c r="G143" s="11"/>
      <x:c r="H143" s="2"/>
      <x:c r="I143" s="7"/>
      <x:c r="J143" s="2"/>
      <x:c r="K143" s="2"/>
      <x:c r="L143" s="2"/>
      <x:c r="M143" s="2"/>
      <x:c r="N143" s="11" t="str">
        <x:f>IF(A143="","",IF(AND(ISNUMBER(G143),ISNUMBER(L143),ISNUMBER(M143)),G143+(L143+M143)/1440,""))</x:f>
      </x:c>
      <x:c r="O143" s="2" t="str">
        <x:f>IF(A143="","",IF(OR(N143="",F143=""),"Dados incompletos",IF(OR(I143="pendente",I143="confirmado"),IF(K143="",0,COUNTIFS($F$2:$F$501,F143,$G$2:$G$501,"&lt;"&amp;N143,$N$2:$N$501,"&gt;"&amp;G143,$I$2:$I$501,"pendente",$K$2:$K$501,K143)+COUNTIFS($F$2:$F$501,F143,$G$2:$G$501,"&lt;"&amp;N143,$N$2:$N$501,"&gt;"&amp;G143,$I$2:$I$501,"confirmado",$K$2:$K$501,K143)-1),0)))</x:f>
      </x:c>
      <x:c r="P143" s="2" t="str">
        <x:f>IF(A143="","",IF(OR(N143="",F143=""),"Dados incompletos",IF(OR(I143="pendente",I143="confirmado"),COUNTIFS($F$2:$F$501,F143,$G$2:$G$501,"&lt;"&amp;N143,$N$2:$N$501,"&gt;"&amp;G143,$I$2:$I$501,"pendente",$E$2:$E$501,E143)+COUNTIFS($F$2:$F$501,F143,$G$2:$G$501,"&lt;"&amp;N143,$N$2:$N$501,"&gt;"&amp;G143,$I$2:$I$501,"confirmado",$E$2:$E$501,E143)-1,0)))</x:f>
      </x:c>
    </x:row>
    <x:row r="144" ht="24" customHeight="1">
      <x:c r="A144" s="17"/>
      <x:c r="B144" s="16"/>
      <x:c r="C144" s="2"/>
      <x:c r="D144" s="17"/>
      <x:c r="E144" s="2"/>
      <x:c r="F144" s="10"/>
      <x:c r="G144" s="11"/>
      <x:c r="H144" s="2"/>
      <x:c r="I144" s="7"/>
      <x:c r="J144" s="2"/>
      <x:c r="K144" s="2"/>
      <x:c r="L144" s="2"/>
      <x:c r="M144" s="2"/>
      <x:c r="N144" s="11" t="str">
        <x:f>IF(A144="","",IF(AND(ISNUMBER(G144),ISNUMBER(L144),ISNUMBER(M144)),G144+(L144+M144)/1440,""))</x:f>
      </x:c>
      <x:c r="O144" s="2" t="str">
        <x:f>IF(A144="","",IF(OR(N144="",F144=""),"Dados incompletos",IF(OR(I144="pendente",I144="confirmado"),IF(K144="",0,COUNTIFS($F$2:$F$501,F144,$G$2:$G$501,"&lt;"&amp;N144,$N$2:$N$501,"&gt;"&amp;G144,$I$2:$I$501,"pendente",$K$2:$K$501,K144)+COUNTIFS($F$2:$F$501,F144,$G$2:$G$501,"&lt;"&amp;N144,$N$2:$N$501,"&gt;"&amp;G144,$I$2:$I$501,"confirmado",$K$2:$K$501,K144)-1),0)))</x:f>
      </x:c>
      <x:c r="P144" s="2" t="str">
        <x:f>IF(A144="","",IF(OR(N144="",F144=""),"Dados incompletos",IF(OR(I144="pendente",I144="confirmado"),COUNTIFS($F$2:$F$501,F144,$G$2:$G$501,"&lt;"&amp;N144,$N$2:$N$501,"&gt;"&amp;G144,$I$2:$I$501,"pendente",$E$2:$E$501,E144)+COUNTIFS($F$2:$F$501,F144,$G$2:$G$501,"&lt;"&amp;N144,$N$2:$N$501,"&gt;"&amp;G144,$I$2:$I$501,"confirmado",$E$2:$E$501,E144)-1,0)))</x:f>
      </x:c>
    </x:row>
    <x:row r="145" ht="24" customHeight="1">
      <x:c r="A145" s="17"/>
      <x:c r="B145" s="16"/>
      <x:c r="C145" s="2"/>
      <x:c r="D145" s="17"/>
      <x:c r="E145" s="2"/>
      <x:c r="F145" s="10"/>
      <x:c r="G145" s="11"/>
      <x:c r="H145" s="2"/>
      <x:c r="I145" s="7"/>
      <x:c r="J145" s="2"/>
      <x:c r="K145" s="2"/>
      <x:c r="L145" s="2"/>
      <x:c r="M145" s="2"/>
      <x:c r="N145" s="11" t="str">
        <x:f>IF(A145="","",IF(AND(ISNUMBER(G145),ISNUMBER(L145),ISNUMBER(M145)),G145+(L145+M145)/1440,""))</x:f>
      </x:c>
      <x:c r="O145" s="2" t="str">
        <x:f>IF(A145="","",IF(OR(N145="",F145=""),"Dados incompletos",IF(OR(I145="pendente",I145="confirmado"),IF(K145="",0,COUNTIFS($F$2:$F$501,F145,$G$2:$G$501,"&lt;"&amp;N145,$N$2:$N$501,"&gt;"&amp;G145,$I$2:$I$501,"pendente",$K$2:$K$501,K145)+COUNTIFS($F$2:$F$501,F145,$G$2:$G$501,"&lt;"&amp;N145,$N$2:$N$501,"&gt;"&amp;G145,$I$2:$I$501,"confirmado",$K$2:$K$501,K145)-1),0)))</x:f>
      </x:c>
      <x:c r="P145" s="2" t="str">
        <x:f>IF(A145="","",IF(OR(N145="",F145=""),"Dados incompletos",IF(OR(I145="pendente",I145="confirmado"),COUNTIFS($F$2:$F$501,F145,$G$2:$G$501,"&lt;"&amp;N145,$N$2:$N$501,"&gt;"&amp;G145,$I$2:$I$501,"pendente",$E$2:$E$501,E145)+COUNTIFS($F$2:$F$501,F145,$G$2:$G$501,"&lt;"&amp;N145,$N$2:$N$501,"&gt;"&amp;G145,$I$2:$I$501,"confirmado",$E$2:$E$501,E145)-1,0)))</x:f>
      </x:c>
    </x:row>
    <x:row r="146" ht="24" customHeight="1">
      <x:c r="A146" s="17"/>
      <x:c r="B146" s="16"/>
      <x:c r="C146" s="2"/>
      <x:c r="D146" s="17"/>
      <x:c r="E146" s="2"/>
      <x:c r="F146" s="10"/>
      <x:c r="G146" s="11"/>
      <x:c r="H146" s="2"/>
      <x:c r="I146" s="7"/>
      <x:c r="J146" s="2"/>
      <x:c r="K146" s="2"/>
      <x:c r="L146" s="2"/>
      <x:c r="M146" s="2"/>
      <x:c r="N146" s="11" t="str">
        <x:f>IF(A146="","",IF(AND(ISNUMBER(G146),ISNUMBER(L146),ISNUMBER(M146)),G146+(L146+M146)/1440,""))</x:f>
      </x:c>
      <x:c r="O146" s="2" t="str">
        <x:f>IF(A146="","",IF(OR(N146="",F146=""),"Dados incompletos",IF(OR(I146="pendente",I146="confirmado"),IF(K146="",0,COUNTIFS($F$2:$F$501,F146,$G$2:$G$501,"&lt;"&amp;N146,$N$2:$N$501,"&gt;"&amp;G146,$I$2:$I$501,"pendente",$K$2:$K$501,K146)+COUNTIFS($F$2:$F$501,F146,$G$2:$G$501,"&lt;"&amp;N146,$N$2:$N$501,"&gt;"&amp;G146,$I$2:$I$501,"confirmado",$K$2:$K$501,K146)-1),0)))</x:f>
      </x:c>
      <x:c r="P146" s="2" t="str">
        <x:f>IF(A146="","",IF(OR(N146="",F146=""),"Dados incompletos",IF(OR(I146="pendente",I146="confirmado"),COUNTIFS($F$2:$F$501,F146,$G$2:$G$501,"&lt;"&amp;N146,$N$2:$N$501,"&gt;"&amp;G146,$I$2:$I$501,"pendente",$E$2:$E$501,E146)+COUNTIFS($F$2:$F$501,F146,$G$2:$G$501,"&lt;"&amp;N146,$N$2:$N$501,"&gt;"&amp;G146,$I$2:$I$501,"confirmado",$E$2:$E$501,E146)-1,0)))</x:f>
      </x:c>
    </x:row>
    <x:row r="147" ht="24" customHeight="1">
      <x:c r="A147" s="17"/>
      <x:c r="B147" s="16"/>
      <x:c r="C147" s="2"/>
      <x:c r="D147" s="17"/>
      <x:c r="E147" s="2"/>
      <x:c r="F147" s="10"/>
      <x:c r="G147" s="11"/>
      <x:c r="H147" s="2"/>
      <x:c r="I147" s="7"/>
      <x:c r="J147" s="2"/>
      <x:c r="K147" s="2"/>
      <x:c r="L147" s="2"/>
      <x:c r="M147" s="2"/>
      <x:c r="N147" s="11" t="str">
        <x:f>IF(A147="","",IF(AND(ISNUMBER(G147),ISNUMBER(L147),ISNUMBER(M147)),G147+(L147+M147)/1440,""))</x:f>
      </x:c>
      <x:c r="O147" s="2" t="str">
        <x:f>IF(A147="","",IF(OR(N147="",F147=""),"Dados incompletos",IF(OR(I147="pendente",I147="confirmado"),IF(K147="",0,COUNTIFS($F$2:$F$501,F147,$G$2:$G$501,"&lt;"&amp;N147,$N$2:$N$501,"&gt;"&amp;G147,$I$2:$I$501,"pendente",$K$2:$K$501,K147)+COUNTIFS($F$2:$F$501,F147,$G$2:$G$501,"&lt;"&amp;N147,$N$2:$N$501,"&gt;"&amp;G147,$I$2:$I$501,"confirmado",$K$2:$K$501,K147)-1),0)))</x:f>
      </x:c>
      <x:c r="P147" s="2" t="str">
        <x:f>IF(A147="","",IF(OR(N147="",F147=""),"Dados incompletos",IF(OR(I147="pendente",I147="confirmado"),COUNTIFS($F$2:$F$501,F147,$G$2:$G$501,"&lt;"&amp;N147,$N$2:$N$501,"&gt;"&amp;G147,$I$2:$I$501,"pendente",$E$2:$E$501,E147)+COUNTIFS($F$2:$F$501,F147,$G$2:$G$501,"&lt;"&amp;N147,$N$2:$N$501,"&gt;"&amp;G147,$I$2:$I$501,"confirmado",$E$2:$E$501,E147)-1,0)))</x:f>
      </x:c>
    </x:row>
    <x:row r="148" ht="24" customHeight="1">
      <x:c r="A148" s="17"/>
      <x:c r="B148" s="16"/>
      <x:c r="C148" s="2"/>
      <x:c r="D148" s="17"/>
      <x:c r="E148" s="2"/>
      <x:c r="F148" s="10"/>
      <x:c r="G148" s="11"/>
      <x:c r="H148" s="2"/>
      <x:c r="I148" s="7"/>
      <x:c r="J148" s="2"/>
      <x:c r="K148" s="2"/>
      <x:c r="L148" s="2"/>
      <x:c r="M148" s="2"/>
      <x:c r="N148" s="11" t="str">
        <x:f>IF(A148="","",IF(AND(ISNUMBER(G148),ISNUMBER(L148),ISNUMBER(M148)),G148+(L148+M148)/1440,""))</x:f>
      </x:c>
      <x:c r="O148" s="2" t="str">
        <x:f>IF(A148="","",IF(OR(N148="",F148=""),"Dados incompletos",IF(OR(I148="pendente",I148="confirmado"),IF(K148="",0,COUNTIFS($F$2:$F$501,F148,$G$2:$G$501,"&lt;"&amp;N148,$N$2:$N$501,"&gt;"&amp;G148,$I$2:$I$501,"pendente",$K$2:$K$501,K148)+COUNTIFS($F$2:$F$501,F148,$G$2:$G$501,"&lt;"&amp;N148,$N$2:$N$501,"&gt;"&amp;G148,$I$2:$I$501,"confirmado",$K$2:$K$501,K148)-1),0)))</x:f>
      </x:c>
      <x:c r="P148" s="2" t="str">
        <x:f>IF(A148="","",IF(OR(N148="",F148=""),"Dados incompletos",IF(OR(I148="pendente",I148="confirmado"),COUNTIFS($F$2:$F$501,F148,$G$2:$G$501,"&lt;"&amp;N148,$N$2:$N$501,"&gt;"&amp;G148,$I$2:$I$501,"pendente",$E$2:$E$501,E148)+COUNTIFS($F$2:$F$501,F148,$G$2:$G$501,"&lt;"&amp;N148,$N$2:$N$501,"&gt;"&amp;G148,$I$2:$I$501,"confirmado",$E$2:$E$501,E148)-1,0)))</x:f>
      </x:c>
    </x:row>
    <x:row r="149" ht="24" customHeight="1">
      <x:c r="A149" s="17"/>
      <x:c r="B149" s="16"/>
      <x:c r="C149" s="2"/>
      <x:c r="D149" s="17"/>
      <x:c r="E149" s="2"/>
      <x:c r="F149" s="10"/>
      <x:c r="G149" s="11"/>
      <x:c r="H149" s="2"/>
      <x:c r="I149" s="7"/>
      <x:c r="J149" s="2"/>
      <x:c r="K149" s="2"/>
      <x:c r="L149" s="2"/>
      <x:c r="M149" s="2"/>
      <x:c r="N149" s="11" t="str">
        <x:f>IF(A149="","",IF(AND(ISNUMBER(G149),ISNUMBER(L149),ISNUMBER(M149)),G149+(L149+M149)/1440,""))</x:f>
      </x:c>
      <x:c r="O149" s="2" t="str">
        <x:f>IF(A149="","",IF(OR(N149="",F149=""),"Dados incompletos",IF(OR(I149="pendente",I149="confirmado"),IF(K149="",0,COUNTIFS($F$2:$F$501,F149,$G$2:$G$501,"&lt;"&amp;N149,$N$2:$N$501,"&gt;"&amp;G149,$I$2:$I$501,"pendente",$K$2:$K$501,K149)+COUNTIFS($F$2:$F$501,F149,$G$2:$G$501,"&lt;"&amp;N149,$N$2:$N$501,"&gt;"&amp;G149,$I$2:$I$501,"confirmado",$K$2:$K$501,K149)-1),0)))</x:f>
      </x:c>
      <x:c r="P149" s="2" t="str">
        <x:f>IF(A149="","",IF(OR(N149="",F149=""),"Dados incompletos",IF(OR(I149="pendente",I149="confirmado"),COUNTIFS($F$2:$F$501,F149,$G$2:$G$501,"&lt;"&amp;N149,$N$2:$N$501,"&gt;"&amp;G149,$I$2:$I$501,"pendente",$E$2:$E$501,E149)+COUNTIFS($F$2:$F$501,F149,$G$2:$G$501,"&lt;"&amp;N149,$N$2:$N$501,"&gt;"&amp;G149,$I$2:$I$501,"confirmado",$E$2:$E$501,E149)-1,0)))</x:f>
      </x:c>
    </x:row>
    <x:row r="150" ht="24" customHeight="1">
      <x:c r="A150" s="17"/>
      <x:c r="B150" s="16"/>
      <x:c r="C150" s="2"/>
      <x:c r="D150" s="17"/>
      <x:c r="E150" s="2"/>
      <x:c r="F150" s="10"/>
      <x:c r="G150" s="11"/>
      <x:c r="H150" s="2"/>
      <x:c r="I150" s="7"/>
      <x:c r="J150" s="2"/>
      <x:c r="K150" s="2"/>
      <x:c r="L150" s="2"/>
      <x:c r="M150" s="2"/>
      <x:c r="N150" s="11" t="str">
        <x:f>IF(A150="","",IF(AND(ISNUMBER(G150),ISNUMBER(L150),ISNUMBER(M150)),G150+(L150+M150)/1440,""))</x:f>
      </x:c>
      <x:c r="O150" s="2" t="str">
        <x:f>IF(A150="","",IF(OR(N150="",F150=""),"Dados incompletos",IF(OR(I150="pendente",I150="confirmado"),IF(K150="",0,COUNTIFS($F$2:$F$501,F150,$G$2:$G$501,"&lt;"&amp;N150,$N$2:$N$501,"&gt;"&amp;G150,$I$2:$I$501,"pendente",$K$2:$K$501,K150)+COUNTIFS($F$2:$F$501,F150,$G$2:$G$501,"&lt;"&amp;N150,$N$2:$N$501,"&gt;"&amp;G150,$I$2:$I$501,"confirmado",$K$2:$K$501,K150)-1),0)))</x:f>
      </x:c>
      <x:c r="P150" s="2" t="str">
        <x:f>IF(A150="","",IF(OR(N150="",F150=""),"Dados incompletos",IF(OR(I150="pendente",I150="confirmado"),COUNTIFS($F$2:$F$501,F150,$G$2:$G$501,"&lt;"&amp;N150,$N$2:$N$501,"&gt;"&amp;G150,$I$2:$I$501,"pendente",$E$2:$E$501,E150)+COUNTIFS($F$2:$F$501,F150,$G$2:$G$501,"&lt;"&amp;N150,$N$2:$N$501,"&gt;"&amp;G150,$I$2:$I$501,"confirmado",$E$2:$E$501,E150)-1,0)))</x:f>
      </x:c>
    </x:row>
    <x:row r="151" ht="24" customHeight="1">
      <x:c r="A151" s="17"/>
      <x:c r="B151" s="16"/>
      <x:c r="C151" s="2"/>
      <x:c r="D151" s="17"/>
      <x:c r="E151" s="2"/>
      <x:c r="F151" s="10"/>
      <x:c r="G151" s="11"/>
      <x:c r="H151" s="2"/>
      <x:c r="I151" s="7"/>
      <x:c r="J151" s="2"/>
      <x:c r="K151" s="2"/>
      <x:c r="L151" s="2"/>
      <x:c r="M151" s="2"/>
      <x:c r="N151" s="11" t="str">
        <x:f>IF(A151="","",IF(AND(ISNUMBER(G151),ISNUMBER(L151),ISNUMBER(M151)),G151+(L151+M151)/1440,""))</x:f>
      </x:c>
      <x:c r="O151" s="2" t="str">
        <x:f>IF(A151="","",IF(OR(N151="",F151=""),"Dados incompletos",IF(OR(I151="pendente",I151="confirmado"),IF(K151="",0,COUNTIFS($F$2:$F$501,F151,$G$2:$G$501,"&lt;"&amp;N151,$N$2:$N$501,"&gt;"&amp;G151,$I$2:$I$501,"pendente",$K$2:$K$501,K151)+COUNTIFS($F$2:$F$501,F151,$G$2:$G$501,"&lt;"&amp;N151,$N$2:$N$501,"&gt;"&amp;G151,$I$2:$I$501,"confirmado",$K$2:$K$501,K151)-1),0)))</x:f>
      </x:c>
      <x:c r="P151" s="2" t="str">
        <x:f>IF(A151="","",IF(OR(N151="",F151=""),"Dados incompletos",IF(OR(I151="pendente",I151="confirmado"),COUNTIFS($F$2:$F$501,F151,$G$2:$G$501,"&lt;"&amp;N151,$N$2:$N$501,"&gt;"&amp;G151,$I$2:$I$501,"pendente",$E$2:$E$501,E151)+COUNTIFS($F$2:$F$501,F151,$G$2:$G$501,"&lt;"&amp;N151,$N$2:$N$501,"&gt;"&amp;G151,$I$2:$I$501,"confirmado",$E$2:$E$501,E151)-1,0)))</x:f>
      </x:c>
    </x:row>
    <x:row r="152" ht="24" customHeight="1">
      <x:c r="A152" s="17"/>
      <x:c r="B152" s="16"/>
      <x:c r="C152" s="2"/>
      <x:c r="D152" s="17"/>
      <x:c r="E152" s="2"/>
      <x:c r="F152" s="10"/>
      <x:c r="G152" s="11"/>
      <x:c r="H152" s="2"/>
      <x:c r="I152" s="7"/>
      <x:c r="J152" s="2"/>
      <x:c r="K152" s="2"/>
      <x:c r="L152" s="2"/>
      <x:c r="M152" s="2"/>
      <x:c r="N152" s="11" t="str">
        <x:f>IF(A152="","",IF(AND(ISNUMBER(G152),ISNUMBER(L152),ISNUMBER(M152)),G152+(L152+M152)/1440,""))</x:f>
      </x:c>
      <x:c r="O152" s="2" t="str">
        <x:f>IF(A152="","",IF(OR(N152="",F152=""),"Dados incompletos",IF(OR(I152="pendente",I152="confirmado"),IF(K152="",0,COUNTIFS($F$2:$F$501,F152,$G$2:$G$501,"&lt;"&amp;N152,$N$2:$N$501,"&gt;"&amp;G152,$I$2:$I$501,"pendente",$K$2:$K$501,K152)+COUNTIFS($F$2:$F$501,F152,$G$2:$G$501,"&lt;"&amp;N152,$N$2:$N$501,"&gt;"&amp;G152,$I$2:$I$501,"confirmado",$K$2:$K$501,K152)-1),0)))</x:f>
      </x:c>
      <x:c r="P152" s="2" t="str">
        <x:f>IF(A152="","",IF(OR(N152="",F152=""),"Dados incompletos",IF(OR(I152="pendente",I152="confirmado"),COUNTIFS($F$2:$F$501,F152,$G$2:$G$501,"&lt;"&amp;N152,$N$2:$N$501,"&gt;"&amp;G152,$I$2:$I$501,"pendente",$E$2:$E$501,E152)+COUNTIFS($F$2:$F$501,F152,$G$2:$G$501,"&lt;"&amp;N152,$N$2:$N$501,"&gt;"&amp;G152,$I$2:$I$501,"confirmado",$E$2:$E$501,E152)-1,0)))</x:f>
      </x:c>
    </x:row>
    <x:row r="153" ht="24" customHeight="1">
      <x:c r="A153" s="17"/>
      <x:c r="B153" s="16"/>
      <x:c r="C153" s="2"/>
      <x:c r="D153" s="17"/>
      <x:c r="E153" s="2"/>
      <x:c r="F153" s="10"/>
      <x:c r="G153" s="11"/>
      <x:c r="H153" s="2"/>
      <x:c r="I153" s="7"/>
      <x:c r="J153" s="2"/>
      <x:c r="K153" s="2"/>
      <x:c r="L153" s="2"/>
      <x:c r="M153" s="2"/>
      <x:c r="N153" s="11" t="str">
        <x:f>IF(A153="","",IF(AND(ISNUMBER(G153),ISNUMBER(L153),ISNUMBER(M153)),G153+(L153+M153)/1440,""))</x:f>
      </x:c>
      <x:c r="O153" s="2" t="str">
        <x:f>IF(A153="","",IF(OR(N153="",F153=""),"Dados incompletos",IF(OR(I153="pendente",I153="confirmado"),IF(K153="",0,COUNTIFS($F$2:$F$501,F153,$G$2:$G$501,"&lt;"&amp;N153,$N$2:$N$501,"&gt;"&amp;G153,$I$2:$I$501,"pendente",$K$2:$K$501,K153)+COUNTIFS($F$2:$F$501,F153,$G$2:$G$501,"&lt;"&amp;N153,$N$2:$N$501,"&gt;"&amp;G153,$I$2:$I$501,"confirmado",$K$2:$K$501,K153)-1),0)))</x:f>
      </x:c>
      <x:c r="P153" s="2" t="str">
        <x:f>IF(A153="","",IF(OR(N153="",F153=""),"Dados incompletos",IF(OR(I153="pendente",I153="confirmado"),COUNTIFS($F$2:$F$501,F153,$G$2:$G$501,"&lt;"&amp;N153,$N$2:$N$501,"&gt;"&amp;G153,$I$2:$I$501,"pendente",$E$2:$E$501,E153)+COUNTIFS($F$2:$F$501,F153,$G$2:$G$501,"&lt;"&amp;N153,$N$2:$N$501,"&gt;"&amp;G153,$I$2:$I$501,"confirmado",$E$2:$E$501,E153)-1,0)))</x:f>
      </x:c>
    </x:row>
    <x:row r="154" ht="24" customHeight="1">
      <x:c r="A154" s="17"/>
      <x:c r="B154" s="16"/>
      <x:c r="C154" s="2"/>
      <x:c r="D154" s="17"/>
      <x:c r="E154" s="2"/>
      <x:c r="F154" s="10"/>
      <x:c r="G154" s="11"/>
      <x:c r="H154" s="2"/>
      <x:c r="I154" s="7"/>
      <x:c r="J154" s="2"/>
      <x:c r="K154" s="2"/>
      <x:c r="L154" s="2"/>
      <x:c r="M154" s="2"/>
      <x:c r="N154" s="11" t="str">
        <x:f>IF(A154="","",IF(AND(ISNUMBER(G154),ISNUMBER(L154),ISNUMBER(M154)),G154+(L154+M154)/1440,""))</x:f>
      </x:c>
      <x:c r="O154" s="2" t="str">
        <x:f>IF(A154="","",IF(OR(N154="",F154=""),"Dados incompletos",IF(OR(I154="pendente",I154="confirmado"),IF(K154="",0,COUNTIFS($F$2:$F$501,F154,$G$2:$G$501,"&lt;"&amp;N154,$N$2:$N$501,"&gt;"&amp;G154,$I$2:$I$501,"pendente",$K$2:$K$501,K154)+COUNTIFS($F$2:$F$501,F154,$G$2:$G$501,"&lt;"&amp;N154,$N$2:$N$501,"&gt;"&amp;G154,$I$2:$I$501,"confirmado",$K$2:$K$501,K154)-1),0)))</x:f>
      </x:c>
      <x:c r="P154" s="2" t="str">
        <x:f>IF(A154="","",IF(OR(N154="",F154=""),"Dados incompletos",IF(OR(I154="pendente",I154="confirmado"),COUNTIFS($F$2:$F$501,F154,$G$2:$G$501,"&lt;"&amp;N154,$N$2:$N$501,"&gt;"&amp;G154,$I$2:$I$501,"pendente",$E$2:$E$501,E154)+COUNTIFS($F$2:$F$501,F154,$G$2:$G$501,"&lt;"&amp;N154,$N$2:$N$501,"&gt;"&amp;G154,$I$2:$I$501,"confirmado",$E$2:$E$501,E154)-1,0)))</x:f>
      </x:c>
    </x:row>
    <x:row r="155" ht="24" customHeight="1">
      <x:c r="A155" s="17"/>
      <x:c r="B155" s="16"/>
      <x:c r="C155" s="2"/>
      <x:c r="D155" s="17"/>
      <x:c r="E155" s="2"/>
      <x:c r="F155" s="10"/>
      <x:c r="G155" s="11"/>
      <x:c r="H155" s="2"/>
      <x:c r="I155" s="7"/>
      <x:c r="J155" s="2"/>
      <x:c r="K155" s="2"/>
      <x:c r="L155" s="2"/>
      <x:c r="M155" s="2"/>
      <x:c r="N155" s="11" t="str">
        <x:f>IF(A155="","",IF(AND(ISNUMBER(G155),ISNUMBER(L155),ISNUMBER(M155)),G155+(L155+M155)/1440,""))</x:f>
      </x:c>
      <x:c r="O155" s="2" t="str">
        <x:f>IF(A155="","",IF(OR(N155="",F155=""),"Dados incompletos",IF(OR(I155="pendente",I155="confirmado"),IF(K155="",0,COUNTIFS($F$2:$F$501,F155,$G$2:$G$501,"&lt;"&amp;N155,$N$2:$N$501,"&gt;"&amp;G155,$I$2:$I$501,"pendente",$K$2:$K$501,K155)+COUNTIFS($F$2:$F$501,F155,$G$2:$G$501,"&lt;"&amp;N155,$N$2:$N$501,"&gt;"&amp;G155,$I$2:$I$501,"confirmado",$K$2:$K$501,K155)-1),0)))</x:f>
      </x:c>
      <x:c r="P155" s="2" t="str">
        <x:f>IF(A155="","",IF(OR(N155="",F155=""),"Dados incompletos",IF(OR(I155="pendente",I155="confirmado"),COUNTIFS($F$2:$F$501,F155,$G$2:$G$501,"&lt;"&amp;N155,$N$2:$N$501,"&gt;"&amp;G155,$I$2:$I$501,"pendente",$E$2:$E$501,E155)+COUNTIFS($F$2:$F$501,F155,$G$2:$G$501,"&lt;"&amp;N155,$N$2:$N$501,"&gt;"&amp;G155,$I$2:$I$501,"confirmado",$E$2:$E$501,E155)-1,0)))</x:f>
      </x:c>
    </x:row>
    <x:row r="156" ht="24" customHeight="1">
      <x:c r="A156" s="17"/>
      <x:c r="B156" s="16"/>
      <x:c r="C156" s="2"/>
      <x:c r="D156" s="17"/>
      <x:c r="E156" s="2"/>
      <x:c r="F156" s="10"/>
      <x:c r="G156" s="11"/>
      <x:c r="H156" s="2"/>
      <x:c r="I156" s="7"/>
      <x:c r="J156" s="2"/>
      <x:c r="K156" s="2"/>
      <x:c r="L156" s="2"/>
      <x:c r="M156" s="2"/>
      <x:c r="N156" s="11" t="str">
        <x:f>IF(A156="","",IF(AND(ISNUMBER(G156),ISNUMBER(L156),ISNUMBER(M156)),G156+(L156+M156)/1440,""))</x:f>
      </x:c>
      <x:c r="O156" s="2" t="str">
        <x:f>IF(A156="","",IF(OR(N156="",F156=""),"Dados incompletos",IF(OR(I156="pendente",I156="confirmado"),IF(K156="",0,COUNTIFS($F$2:$F$501,F156,$G$2:$G$501,"&lt;"&amp;N156,$N$2:$N$501,"&gt;"&amp;G156,$I$2:$I$501,"pendente",$K$2:$K$501,K156)+COUNTIFS($F$2:$F$501,F156,$G$2:$G$501,"&lt;"&amp;N156,$N$2:$N$501,"&gt;"&amp;G156,$I$2:$I$501,"confirmado",$K$2:$K$501,K156)-1),0)))</x:f>
      </x:c>
      <x:c r="P156" s="2" t="str">
        <x:f>IF(A156="","",IF(OR(N156="",F156=""),"Dados incompletos",IF(OR(I156="pendente",I156="confirmado"),COUNTIFS($F$2:$F$501,F156,$G$2:$G$501,"&lt;"&amp;N156,$N$2:$N$501,"&gt;"&amp;G156,$I$2:$I$501,"pendente",$E$2:$E$501,E156)+COUNTIFS($F$2:$F$501,F156,$G$2:$G$501,"&lt;"&amp;N156,$N$2:$N$501,"&gt;"&amp;G156,$I$2:$I$501,"confirmado",$E$2:$E$501,E156)-1,0)))</x:f>
      </x:c>
    </x:row>
    <x:row r="157" ht="24" customHeight="1">
      <x:c r="A157" s="17"/>
      <x:c r="B157" s="16"/>
      <x:c r="C157" s="2"/>
      <x:c r="D157" s="17"/>
      <x:c r="E157" s="2"/>
      <x:c r="F157" s="10"/>
      <x:c r="G157" s="11"/>
      <x:c r="H157" s="2"/>
      <x:c r="I157" s="7"/>
      <x:c r="J157" s="2"/>
      <x:c r="K157" s="2"/>
      <x:c r="L157" s="2"/>
      <x:c r="M157" s="2"/>
      <x:c r="N157" s="11" t="str">
        <x:f>IF(A157="","",IF(AND(ISNUMBER(G157),ISNUMBER(L157),ISNUMBER(M157)),G157+(L157+M157)/1440,""))</x:f>
      </x:c>
      <x:c r="O157" s="2" t="str">
        <x:f>IF(A157="","",IF(OR(N157="",F157=""),"Dados incompletos",IF(OR(I157="pendente",I157="confirmado"),IF(K157="",0,COUNTIFS($F$2:$F$501,F157,$G$2:$G$501,"&lt;"&amp;N157,$N$2:$N$501,"&gt;"&amp;G157,$I$2:$I$501,"pendente",$K$2:$K$501,K157)+COUNTIFS($F$2:$F$501,F157,$G$2:$G$501,"&lt;"&amp;N157,$N$2:$N$501,"&gt;"&amp;G157,$I$2:$I$501,"confirmado",$K$2:$K$501,K157)-1),0)))</x:f>
      </x:c>
      <x:c r="P157" s="2" t="str">
        <x:f>IF(A157="","",IF(OR(N157="",F157=""),"Dados incompletos",IF(OR(I157="pendente",I157="confirmado"),COUNTIFS($F$2:$F$501,F157,$G$2:$G$501,"&lt;"&amp;N157,$N$2:$N$501,"&gt;"&amp;G157,$I$2:$I$501,"pendente",$E$2:$E$501,E157)+COUNTIFS($F$2:$F$501,F157,$G$2:$G$501,"&lt;"&amp;N157,$N$2:$N$501,"&gt;"&amp;G157,$I$2:$I$501,"confirmado",$E$2:$E$501,E157)-1,0)))</x:f>
      </x:c>
    </x:row>
    <x:row r="158" ht="24" customHeight="1">
      <x:c r="A158" s="17"/>
      <x:c r="B158" s="16"/>
      <x:c r="C158" s="2"/>
      <x:c r="D158" s="17"/>
      <x:c r="E158" s="2"/>
      <x:c r="F158" s="10"/>
      <x:c r="G158" s="11"/>
      <x:c r="H158" s="2"/>
      <x:c r="I158" s="7"/>
      <x:c r="J158" s="2"/>
      <x:c r="K158" s="2"/>
      <x:c r="L158" s="2"/>
      <x:c r="M158" s="2"/>
      <x:c r="N158" s="11" t="str">
        <x:f>IF(A158="","",IF(AND(ISNUMBER(G158),ISNUMBER(L158),ISNUMBER(M158)),G158+(L158+M158)/1440,""))</x:f>
      </x:c>
      <x:c r="O158" s="2" t="str">
        <x:f>IF(A158="","",IF(OR(N158="",F158=""),"Dados incompletos",IF(OR(I158="pendente",I158="confirmado"),IF(K158="",0,COUNTIFS($F$2:$F$501,F158,$G$2:$G$501,"&lt;"&amp;N158,$N$2:$N$501,"&gt;"&amp;G158,$I$2:$I$501,"pendente",$K$2:$K$501,K158)+COUNTIFS($F$2:$F$501,F158,$G$2:$G$501,"&lt;"&amp;N158,$N$2:$N$501,"&gt;"&amp;G158,$I$2:$I$501,"confirmado",$K$2:$K$501,K158)-1),0)))</x:f>
      </x:c>
      <x:c r="P158" s="2" t="str">
        <x:f>IF(A158="","",IF(OR(N158="",F158=""),"Dados incompletos",IF(OR(I158="pendente",I158="confirmado"),COUNTIFS($F$2:$F$501,F158,$G$2:$G$501,"&lt;"&amp;N158,$N$2:$N$501,"&gt;"&amp;G158,$I$2:$I$501,"pendente",$E$2:$E$501,E158)+COUNTIFS($F$2:$F$501,F158,$G$2:$G$501,"&lt;"&amp;N158,$N$2:$N$501,"&gt;"&amp;G158,$I$2:$I$501,"confirmado",$E$2:$E$501,E158)-1,0)))</x:f>
      </x:c>
    </x:row>
    <x:row r="159" ht="24" customHeight="1">
      <x:c r="A159" s="17"/>
      <x:c r="B159" s="16"/>
      <x:c r="C159" s="2"/>
      <x:c r="D159" s="17"/>
      <x:c r="E159" s="2"/>
      <x:c r="F159" s="10"/>
      <x:c r="G159" s="11"/>
      <x:c r="H159" s="2"/>
      <x:c r="I159" s="7"/>
      <x:c r="J159" s="2"/>
      <x:c r="K159" s="2"/>
      <x:c r="L159" s="2"/>
      <x:c r="M159" s="2"/>
      <x:c r="N159" s="11" t="str">
        <x:f>IF(A159="","",IF(AND(ISNUMBER(G159),ISNUMBER(L159),ISNUMBER(M159)),G159+(L159+M159)/1440,""))</x:f>
      </x:c>
      <x:c r="O159" s="2" t="str">
        <x:f>IF(A159="","",IF(OR(N159="",F159=""),"Dados incompletos",IF(OR(I159="pendente",I159="confirmado"),IF(K159="",0,COUNTIFS($F$2:$F$501,F159,$G$2:$G$501,"&lt;"&amp;N159,$N$2:$N$501,"&gt;"&amp;G159,$I$2:$I$501,"pendente",$K$2:$K$501,K159)+COUNTIFS($F$2:$F$501,F159,$G$2:$G$501,"&lt;"&amp;N159,$N$2:$N$501,"&gt;"&amp;G159,$I$2:$I$501,"confirmado",$K$2:$K$501,K159)-1),0)))</x:f>
      </x:c>
      <x:c r="P159" s="2" t="str">
        <x:f>IF(A159="","",IF(OR(N159="",F159=""),"Dados incompletos",IF(OR(I159="pendente",I159="confirmado"),COUNTIFS($F$2:$F$501,F159,$G$2:$G$501,"&lt;"&amp;N159,$N$2:$N$501,"&gt;"&amp;G159,$I$2:$I$501,"pendente",$E$2:$E$501,E159)+COUNTIFS($F$2:$F$501,F159,$G$2:$G$501,"&lt;"&amp;N159,$N$2:$N$501,"&gt;"&amp;G159,$I$2:$I$501,"confirmado",$E$2:$E$501,E159)-1,0)))</x:f>
      </x:c>
    </x:row>
    <x:row r="160" ht="24" customHeight="1">
      <x:c r="A160" s="17"/>
      <x:c r="B160" s="16"/>
      <x:c r="C160" s="2"/>
      <x:c r="D160" s="17"/>
      <x:c r="E160" s="2"/>
      <x:c r="F160" s="10"/>
      <x:c r="G160" s="11"/>
      <x:c r="H160" s="2"/>
      <x:c r="I160" s="7"/>
      <x:c r="J160" s="2"/>
      <x:c r="K160" s="2"/>
      <x:c r="L160" s="2"/>
      <x:c r="M160" s="2"/>
      <x:c r="N160" s="11" t="str">
        <x:f>IF(A160="","",IF(AND(ISNUMBER(G160),ISNUMBER(L160),ISNUMBER(M160)),G160+(L160+M160)/1440,""))</x:f>
      </x:c>
      <x:c r="O160" s="2" t="str">
        <x:f>IF(A160="","",IF(OR(N160="",F160=""),"Dados incompletos",IF(OR(I160="pendente",I160="confirmado"),IF(K160="",0,COUNTIFS($F$2:$F$501,F160,$G$2:$G$501,"&lt;"&amp;N160,$N$2:$N$501,"&gt;"&amp;G160,$I$2:$I$501,"pendente",$K$2:$K$501,K160)+COUNTIFS($F$2:$F$501,F160,$G$2:$G$501,"&lt;"&amp;N160,$N$2:$N$501,"&gt;"&amp;G160,$I$2:$I$501,"confirmado",$K$2:$K$501,K160)-1),0)))</x:f>
      </x:c>
      <x:c r="P160" s="2" t="str">
        <x:f>IF(A160="","",IF(OR(N160="",F160=""),"Dados incompletos",IF(OR(I160="pendente",I160="confirmado"),COUNTIFS($F$2:$F$501,F160,$G$2:$G$501,"&lt;"&amp;N160,$N$2:$N$501,"&gt;"&amp;G160,$I$2:$I$501,"pendente",$E$2:$E$501,E160)+COUNTIFS($F$2:$F$501,F160,$G$2:$G$501,"&lt;"&amp;N160,$N$2:$N$501,"&gt;"&amp;G160,$I$2:$I$501,"confirmado",$E$2:$E$501,E160)-1,0)))</x:f>
      </x:c>
    </x:row>
    <x:row r="161" ht="24" customHeight="1">
      <x:c r="A161" s="17"/>
      <x:c r="B161" s="16"/>
      <x:c r="C161" s="2"/>
      <x:c r="D161" s="17"/>
      <x:c r="E161" s="2"/>
      <x:c r="F161" s="10"/>
      <x:c r="G161" s="11"/>
      <x:c r="H161" s="2"/>
      <x:c r="I161" s="7"/>
      <x:c r="J161" s="2"/>
      <x:c r="K161" s="2"/>
      <x:c r="L161" s="2"/>
      <x:c r="M161" s="2"/>
      <x:c r="N161" s="11" t="str">
        <x:f>IF(A161="","",IF(AND(ISNUMBER(G161),ISNUMBER(L161),ISNUMBER(M161)),G161+(L161+M161)/1440,""))</x:f>
      </x:c>
      <x:c r="O161" s="2" t="str">
        <x:f>IF(A161="","",IF(OR(N161="",F161=""),"Dados incompletos",IF(OR(I161="pendente",I161="confirmado"),IF(K161="",0,COUNTIFS($F$2:$F$501,F161,$G$2:$G$501,"&lt;"&amp;N161,$N$2:$N$501,"&gt;"&amp;G161,$I$2:$I$501,"pendente",$K$2:$K$501,K161)+COUNTIFS($F$2:$F$501,F161,$G$2:$G$501,"&lt;"&amp;N161,$N$2:$N$501,"&gt;"&amp;G161,$I$2:$I$501,"confirmado",$K$2:$K$501,K161)-1),0)))</x:f>
      </x:c>
      <x:c r="P161" s="2" t="str">
        <x:f>IF(A161="","",IF(OR(N161="",F161=""),"Dados incompletos",IF(OR(I161="pendente",I161="confirmado"),COUNTIFS($F$2:$F$501,F161,$G$2:$G$501,"&lt;"&amp;N161,$N$2:$N$501,"&gt;"&amp;G161,$I$2:$I$501,"pendente",$E$2:$E$501,E161)+COUNTIFS($F$2:$F$501,F161,$G$2:$G$501,"&lt;"&amp;N161,$N$2:$N$501,"&gt;"&amp;G161,$I$2:$I$501,"confirmado",$E$2:$E$501,E161)-1,0)))</x:f>
      </x:c>
    </x:row>
    <x:row r="162" ht="24" customHeight="1">
      <x:c r="A162" s="17"/>
      <x:c r="B162" s="16"/>
      <x:c r="C162" s="2"/>
      <x:c r="D162" s="17"/>
      <x:c r="E162" s="2"/>
      <x:c r="F162" s="10"/>
      <x:c r="G162" s="11"/>
      <x:c r="H162" s="2"/>
      <x:c r="I162" s="7"/>
      <x:c r="J162" s="2"/>
      <x:c r="K162" s="2"/>
      <x:c r="L162" s="2"/>
      <x:c r="M162" s="2"/>
      <x:c r="N162" s="11" t="str">
        <x:f>IF(A162="","",IF(AND(ISNUMBER(G162),ISNUMBER(L162),ISNUMBER(M162)),G162+(L162+M162)/1440,""))</x:f>
      </x:c>
      <x:c r="O162" s="2" t="str">
        <x:f>IF(A162="","",IF(OR(N162="",F162=""),"Dados incompletos",IF(OR(I162="pendente",I162="confirmado"),IF(K162="",0,COUNTIFS($F$2:$F$501,F162,$G$2:$G$501,"&lt;"&amp;N162,$N$2:$N$501,"&gt;"&amp;G162,$I$2:$I$501,"pendente",$K$2:$K$501,K162)+COUNTIFS($F$2:$F$501,F162,$G$2:$G$501,"&lt;"&amp;N162,$N$2:$N$501,"&gt;"&amp;G162,$I$2:$I$501,"confirmado",$K$2:$K$501,K162)-1),0)))</x:f>
      </x:c>
      <x:c r="P162" s="2" t="str">
        <x:f>IF(A162="","",IF(OR(N162="",F162=""),"Dados incompletos",IF(OR(I162="pendente",I162="confirmado"),COUNTIFS($F$2:$F$501,F162,$G$2:$G$501,"&lt;"&amp;N162,$N$2:$N$501,"&gt;"&amp;G162,$I$2:$I$501,"pendente",$E$2:$E$501,E162)+COUNTIFS($F$2:$F$501,F162,$G$2:$G$501,"&lt;"&amp;N162,$N$2:$N$501,"&gt;"&amp;G162,$I$2:$I$501,"confirmado",$E$2:$E$501,E162)-1,0)))</x:f>
      </x:c>
    </x:row>
    <x:row r="163" ht="24" customHeight="1">
      <x:c r="A163" s="17"/>
      <x:c r="B163" s="16"/>
      <x:c r="C163" s="2"/>
      <x:c r="D163" s="17"/>
      <x:c r="E163" s="2"/>
      <x:c r="F163" s="10"/>
      <x:c r="G163" s="11"/>
      <x:c r="H163" s="2"/>
      <x:c r="I163" s="7"/>
      <x:c r="J163" s="2"/>
      <x:c r="K163" s="2"/>
      <x:c r="L163" s="2"/>
      <x:c r="M163" s="2"/>
      <x:c r="N163" s="11" t="str">
        <x:f>IF(A163="","",IF(AND(ISNUMBER(G163),ISNUMBER(L163),ISNUMBER(M163)),G163+(L163+M163)/1440,""))</x:f>
      </x:c>
      <x:c r="O163" s="2" t="str">
        <x:f>IF(A163="","",IF(OR(N163="",F163=""),"Dados incompletos",IF(OR(I163="pendente",I163="confirmado"),IF(K163="",0,COUNTIFS($F$2:$F$501,F163,$G$2:$G$501,"&lt;"&amp;N163,$N$2:$N$501,"&gt;"&amp;G163,$I$2:$I$501,"pendente",$K$2:$K$501,K163)+COUNTIFS($F$2:$F$501,F163,$G$2:$G$501,"&lt;"&amp;N163,$N$2:$N$501,"&gt;"&amp;G163,$I$2:$I$501,"confirmado",$K$2:$K$501,K163)-1),0)))</x:f>
      </x:c>
      <x:c r="P163" s="2" t="str">
        <x:f>IF(A163="","",IF(OR(N163="",F163=""),"Dados incompletos",IF(OR(I163="pendente",I163="confirmado"),COUNTIFS($F$2:$F$501,F163,$G$2:$G$501,"&lt;"&amp;N163,$N$2:$N$501,"&gt;"&amp;G163,$I$2:$I$501,"pendente",$E$2:$E$501,E163)+COUNTIFS($F$2:$F$501,F163,$G$2:$G$501,"&lt;"&amp;N163,$N$2:$N$501,"&gt;"&amp;G163,$I$2:$I$501,"confirmado",$E$2:$E$501,E163)-1,0)))</x:f>
      </x:c>
    </x:row>
    <x:row r="164" ht="24" customHeight="1">
      <x:c r="A164" s="17"/>
      <x:c r="B164" s="16"/>
      <x:c r="C164" s="2"/>
      <x:c r="D164" s="17"/>
      <x:c r="E164" s="2"/>
      <x:c r="F164" s="10"/>
      <x:c r="G164" s="11"/>
      <x:c r="H164" s="2"/>
      <x:c r="I164" s="7"/>
      <x:c r="J164" s="2"/>
      <x:c r="K164" s="2"/>
      <x:c r="L164" s="2"/>
      <x:c r="M164" s="2"/>
      <x:c r="N164" s="11" t="str">
        <x:f>IF(A164="","",IF(AND(ISNUMBER(G164),ISNUMBER(L164),ISNUMBER(M164)),G164+(L164+M164)/1440,""))</x:f>
      </x:c>
      <x:c r="O164" s="2" t="str">
        <x:f>IF(A164="","",IF(OR(N164="",F164=""),"Dados incompletos",IF(OR(I164="pendente",I164="confirmado"),IF(K164="",0,COUNTIFS($F$2:$F$501,F164,$G$2:$G$501,"&lt;"&amp;N164,$N$2:$N$501,"&gt;"&amp;G164,$I$2:$I$501,"pendente",$K$2:$K$501,K164)+COUNTIFS($F$2:$F$501,F164,$G$2:$G$501,"&lt;"&amp;N164,$N$2:$N$501,"&gt;"&amp;G164,$I$2:$I$501,"confirmado",$K$2:$K$501,K164)-1),0)))</x:f>
      </x:c>
      <x:c r="P164" s="2" t="str">
        <x:f>IF(A164="","",IF(OR(N164="",F164=""),"Dados incompletos",IF(OR(I164="pendente",I164="confirmado"),COUNTIFS($F$2:$F$501,F164,$G$2:$G$501,"&lt;"&amp;N164,$N$2:$N$501,"&gt;"&amp;G164,$I$2:$I$501,"pendente",$E$2:$E$501,E164)+COUNTIFS($F$2:$F$501,F164,$G$2:$G$501,"&lt;"&amp;N164,$N$2:$N$501,"&gt;"&amp;G164,$I$2:$I$501,"confirmado",$E$2:$E$501,E164)-1,0)))</x:f>
      </x:c>
    </x:row>
    <x:row r="165" ht="24" customHeight="1">
      <x:c r="A165" s="17"/>
      <x:c r="B165" s="16"/>
      <x:c r="C165" s="2"/>
      <x:c r="D165" s="17"/>
      <x:c r="E165" s="2"/>
      <x:c r="F165" s="10"/>
      <x:c r="G165" s="11"/>
      <x:c r="H165" s="2"/>
      <x:c r="I165" s="7"/>
      <x:c r="J165" s="2"/>
      <x:c r="K165" s="2"/>
      <x:c r="L165" s="2"/>
      <x:c r="M165" s="2"/>
      <x:c r="N165" s="11" t="str">
        <x:f>IF(A165="","",IF(AND(ISNUMBER(G165),ISNUMBER(L165),ISNUMBER(M165)),G165+(L165+M165)/1440,""))</x:f>
      </x:c>
      <x:c r="O165" s="2" t="str">
        <x:f>IF(A165="","",IF(OR(N165="",F165=""),"Dados incompletos",IF(OR(I165="pendente",I165="confirmado"),IF(K165="",0,COUNTIFS($F$2:$F$501,F165,$G$2:$G$501,"&lt;"&amp;N165,$N$2:$N$501,"&gt;"&amp;G165,$I$2:$I$501,"pendente",$K$2:$K$501,K165)+COUNTIFS($F$2:$F$501,F165,$G$2:$G$501,"&lt;"&amp;N165,$N$2:$N$501,"&gt;"&amp;G165,$I$2:$I$501,"confirmado",$K$2:$K$501,K165)-1),0)))</x:f>
      </x:c>
      <x:c r="P165" s="2" t="str">
        <x:f>IF(A165="","",IF(OR(N165="",F165=""),"Dados incompletos",IF(OR(I165="pendente",I165="confirmado"),COUNTIFS($F$2:$F$501,F165,$G$2:$G$501,"&lt;"&amp;N165,$N$2:$N$501,"&gt;"&amp;G165,$I$2:$I$501,"pendente",$E$2:$E$501,E165)+COUNTIFS($F$2:$F$501,F165,$G$2:$G$501,"&lt;"&amp;N165,$N$2:$N$501,"&gt;"&amp;G165,$I$2:$I$501,"confirmado",$E$2:$E$501,E165)-1,0)))</x:f>
      </x:c>
    </x:row>
    <x:row r="166" ht="24" customHeight="1">
      <x:c r="A166" s="17"/>
      <x:c r="B166" s="16"/>
      <x:c r="C166" s="2"/>
      <x:c r="D166" s="17"/>
      <x:c r="E166" s="2"/>
      <x:c r="F166" s="10"/>
      <x:c r="G166" s="11"/>
      <x:c r="H166" s="2"/>
      <x:c r="I166" s="7"/>
      <x:c r="J166" s="2"/>
      <x:c r="K166" s="2"/>
      <x:c r="L166" s="2"/>
      <x:c r="M166" s="2"/>
      <x:c r="N166" s="11" t="str">
        <x:f>IF(A166="","",IF(AND(ISNUMBER(G166),ISNUMBER(L166),ISNUMBER(M166)),G166+(L166+M166)/1440,""))</x:f>
      </x:c>
      <x:c r="O166" s="2" t="str">
        <x:f>IF(A166="","",IF(OR(N166="",F166=""),"Dados incompletos",IF(OR(I166="pendente",I166="confirmado"),IF(K166="",0,COUNTIFS($F$2:$F$501,F166,$G$2:$G$501,"&lt;"&amp;N166,$N$2:$N$501,"&gt;"&amp;G166,$I$2:$I$501,"pendente",$K$2:$K$501,K166)+COUNTIFS($F$2:$F$501,F166,$G$2:$G$501,"&lt;"&amp;N166,$N$2:$N$501,"&gt;"&amp;G166,$I$2:$I$501,"confirmado",$K$2:$K$501,K166)-1),0)))</x:f>
      </x:c>
      <x:c r="P166" s="2" t="str">
        <x:f>IF(A166="","",IF(OR(N166="",F166=""),"Dados incompletos",IF(OR(I166="pendente",I166="confirmado"),COUNTIFS($F$2:$F$501,F166,$G$2:$G$501,"&lt;"&amp;N166,$N$2:$N$501,"&gt;"&amp;G166,$I$2:$I$501,"pendente",$E$2:$E$501,E166)+COUNTIFS($F$2:$F$501,F166,$G$2:$G$501,"&lt;"&amp;N166,$N$2:$N$501,"&gt;"&amp;G166,$I$2:$I$501,"confirmado",$E$2:$E$501,E166)-1,0)))</x:f>
      </x:c>
    </x:row>
    <x:row r="167" ht="24" customHeight="1">
      <x:c r="A167" s="17"/>
      <x:c r="B167" s="16"/>
      <x:c r="C167" s="2"/>
      <x:c r="D167" s="17"/>
      <x:c r="E167" s="2"/>
      <x:c r="F167" s="10"/>
      <x:c r="G167" s="11"/>
      <x:c r="H167" s="2"/>
      <x:c r="I167" s="7"/>
      <x:c r="J167" s="2"/>
      <x:c r="K167" s="2"/>
      <x:c r="L167" s="2"/>
      <x:c r="M167" s="2"/>
      <x:c r="N167" s="11" t="str">
        <x:f>IF(A167="","",IF(AND(ISNUMBER(G167),ISNUMBER(L167),ISNUMBER(M167)),G167+(L167+M167)/1440,""))</x:f>
      </x:c>
      <x:c r="O167" s="2" t="str">
        <x:f>IF(A167="","",IF(OR(N167="",F167=""),"Dados incompletos",IF(OR(I167="pendente",I167="confirmado"),IF(K167="",0,COUNTIFS($F$2:$F$501,F167,$G$2:$G$501,"&lt;"&amp;N167,$N$2:$N$501,"&gt;"&amp;G167,$I$2:$I$501,"pendente",$K$2:$K$501,K167)+COUNTIFS($F$2:$F$501,F167,$G$2:$G$501,"&lt;"&amp;N167,$N$2:$N$501,"&gt;"&amp;G167,$I$2:$I$501,"confirmado",$K$2:$K$501,K167)-1),0)))</x:f>
      </x:c>
      <x:c r="P167" s="2" t="str">
        <x:f>IF(A167="","",IF(OR(N167="",F167=""),"Dados incompletos",IF(OR(I167="pendente",I167="confirmado"),COUNTIFS($F$2:$F$501,F167,$G$2:$G$501,"&lt;"&amp;N167,$N$2:$N$501,"&gt;"&amp;G167,$I$2:$I$501,"pendente",$E$2:$E$501,E167)+COUNTIFS($F$2:$F$501,F167,$G$2:$G$501,"&lt;"&amp;N167,$N$2:$N$501,"&gt;"&amp;G167,$I$2:$I$501,"confirmado",$E$2:$E$501,E167)-1,0)))</x:f>
      </x:c>
    </x:row>
    <x:row r="168" ht="24" customHeight="1">
      <x:c r="A168" s="17"/>
      <x:c r="B168" s="16"/>
      <x:c r="C168" s="2"/>
      <x:c r="D168" s="17"/>
      <x:c r="E168" s="2"/>
      <x:c r="F168" s="10"/>
      <x:c r="G168" s="11"/>
      <x:c r="H168" s="2"/>
      <x:c r="I168" s="7"/>
      <x:c r="J168" s="2"/>
      <x:c r="K168" s="2"/>
      <x:c r="L168" s="2"/>
      <x:c r="M168" s="2"/>
      <x:c r="N168" s="11" t="str">
        <x:f>IF(A168="","",IF(AND(ISNUMBER(G168),ISNUMBER(L168),ISNUMBER(M168)),G168+(L168+M168)/1440,""))</x:f>
      </x:c>
      <x:c r="O168" s="2" t="str">
        <x:f>IF(A168="","",IF(OR(N168="",F168=""),"Dados incompletos",IF(OR(I168="pendente",I168="confirmado"),IF(K168="",0,COUNTIFS($F$2:$F$501,F168,$G$2:$G$501,"&lt;"&amp;N168,$N$2:$N$501,"&gt;"&amp;G168,$I$2:$I$501,"pendente",$K$2:$K$501,K168)+COUNTIFS($F$2:$F$501,F168,$G$2:$G$501,"&lt;"&amp;N168,$N$2:$N$501,"&gt;"&amp;G168,$I$2:$I$501,"confirmado",$K$2:$K$501,K168)-1),0)))</x:f>
      </x:c>
      <x:c r="P168" s="2" t="str">
        <x:f>IF(A168="","",IF(OR(N168="",F168=""),"Dados incompletos",IF(OR(I168="pendente",I168="confirmado"),COUNTIFS($F$2:$F$501,F168,$G$2:$G$501,"&lt;"&amp;N168,$N$2:$N$501,"&gt;"&amp;G168,$I$2:$I$501,"pendente",$E$2:$E$501,E168)+COUNTIFS($F$2:$F$501,F168,$G$2:$G$501,"&lt;"&amp;N168,$N$2:$N$501,"&gt;"&amp;G168,$I$2:$I$501,"confirmado",$E$2:$E$501,E168)-1,0)))</x:f>
      </x:c>
    </x:row>
    <x:row r="169" ht="24" customHeight="1">
      <x:c r="A169" s="17"/>
      <x:c r="B169" s="16"/>
      <x:c r="C169" s="2"/>
      <x:c r="D169" s="17"/>
      <x:c r="E169" s="2"/>
      <x:c r="F169" s="10"/>
      <x:c r="G169" s="11"/>
      <x:c r="H169" s="2"/>
      <x:c r="I169" s="7"/>
      <x:c r="J169" s="2"/>
      <x:c r="K169" s="2"/>
      <x:c r="L169" s="2"/>
      <x:c r="M169" s="2"/>
      <x:c r="N169" s="11" t="str">
        <x:f>IF(A169="","",IF(AND(ISNUMBER(G169),ISNUMBER(L169),ISNUMBER(M169)),G169+(L169+M169)/1440,""))</x:f>
      </x:c>
      <x:c r="O169" s="2" t="str">
        <x:f>IF(A169="","",IF(OR(N169="",F169=""),"Dados incompletos",IF(OR(I169="pendente",I169="confirmado"),IF(K169="",0,COUNTIFS($F$2:$F$501,F169,$G$2:$G$501,"&lt;"&amp;N169,$N$2:$N$501,"&gt;"&amp;G169,$I$2:$I$501,"pendente",$K$2:$K$501,K169)+COUNTIFS($F$2:$F$501,F169,$G$2:$G$501,"&lt;"&amp;N169,$N$2:$N$501,"&gt;"&amp;G169,$I$2:$I$501,"confirmado",$K$2:$K$501,K169)-1),0)))</x:f>
      </x:c>
      <x:c r="P169" s="2" t="str">
        <x:f>IF(A169="","",IF(OR(N169="",F169=""),"Dados incompletos",IF(OR(I169="pendente",I169="confirmado"),COUNTIFS($F$2:$F$501,F169,$G$2:$G$501,"&lt;"&amp;N169,$N$2:$N$501,"&gt;"&amp;G169,$I$2:$I$501,"pendente",$E$2:$E$501,E169)+COUNTIFS($F$2:$F$501,F169,$G$2:$G$501,"&lt;"&amp;N169,$N$2:$N$501,"&gt;"&amp;G169,$I$2:$I$501,"confirmado",$E$2:$E$501,E169)-1,0)))</x:f>
      </x:c>
    </x:row>
    <x:row r="170" ht="24" customHeight="1">
      <x:c r="A170" s="17"/>
      <x:c r="B170" s="16"/>
      <x:c r="C170" s="2"/>
      <x:c r="D170" s="17"/>
      <x:c r="E170" s="2"/>
      <x:c r="F170" s="10"/>
      <x:c r="G170" s="11"/>
      <x:c r="H170" s="2"/>
      <x:c r="I170" s="7"/>
      <x:c r="J170" s="2"/>
      <x:c r="K170" s="2"/>
      <x:c r="L170" s="2"/>
      <x:c r="M170" s="2"/>
      <x:c r="N170" s="11" t="str">
        <x:f>IF(A170="","",IF(AND(ISNUMBER(G170),ISNUMBER(L170),ISNUMBER(M170)),G170+(L170+M170)/1440,""))</x:f>
      </x:c>
      <x:c r="O170" s="2" t="str">
        <x:f>IF(A170="","",IF(OR(N170="",F170=""),"Dados incompletos",IF(OR(I170="pendente",I170="confirmado"),IF(K170="",0,COUNTIFS($F$2:$F$501,F170,$G$2:$G$501,"&lt;"&amp;N170,$N$2:$N$501,"&gt;"&amp;G170,$I$2:$I$501,"pendente",$K$2:$K$501,K170)+COUNTIFS($F$2:$F$501,F170,$G$2:$G$501,"&lt;"&amp;N170,$N$2:$N$501,"&gt;"&amp;G170,$I$2:$I$501,"confirmado",$K$2:$K$501,K170)-1),0)))</x:f>
      </x:c>
      <x:c r="P170" s="2" t="str">
        <x:f>IF(A170="","",IF(OR(N170="",F170=""),"Dados incompletos",IF(OR(I170="pendente",I170="confirmado"),COUNTIFS($F$2:$F$501,F170,$G$2:$G$501,"&lt;"&amp;N170,$N$2:$N$501,"&gt;"&amp;G170,$I$2:$I$501,"pendente",$E$2:$E$501,E170)+COUNTIFS($F$2:$F$501,F170,$G$2:$G$501,"&lt;"&amp;N170,$N$2:$N$501,"&gt;"&amp;G170,$I$2:$I$501,"confirmado",$E$2:$E$501,E170)-1,0)))</x:f>
      </x:c>
    </x:row>
    <x:row r="171" ht="24" customHeight="1">
      <x:c r="A171" s="17"/>
      <x:c r="B171" s="16"/>
      <x:c r="C171" s="2"/>
      <x:c r="D171" s="17"/>
      <x:c r="E171" s="2"/>
      <x:c r="F171" s="10"/>
      <x:c r="G171" s="11"/>
      <x:c r="H171" s="2"/>
      <x:c r="I171" s="7"/>
      <x:c r="J171" s="2"/>
      <x:c r="K171" s="2"/>
      <x:c r="L171" s="2"/>
      <x:c r="M171" s="2"/>
      <x:c r="N171" s="11" t="str">
        <x:f>IF(A171="","",IF(AND(ISNUMBER(G171),ISNUMBER(L171),ISNUMBER(M171)),G171+(L171+M171)/1440,""))</x:f>
      </x:c>
      <x:c r="O171" s="2" t="str">
        <x:f>IF(A171="","",IF(OR(N171="",F171=""),"Dados incompletos",IF(OR(I171="pendente",I171="confirmado"),IF(K171="",0,COUNTIFS($F$2:$F$501,F171,$G$2:$G$501,"&lt;"&amp;N171,$N$2:$N$501,"&gt;"&amp;G171,$I$2:$I$501,"pendente",$K$2:$K$501,K171)+COUNTIFS($F$2:$F$501,F171,$G$2:$G$501,"&lt;"&amp;N171,$N$2:$N$501,"&gt;"&amp;G171,$I$2:$I$501,"confirmado",$K$2:$K$501,K171)-1),0)))</x:f>
      </x:c>
      <x:c r="P171" s="2" t="str">
        <x:f>IF(A171="","",IF(OR(N171="",F171=""),"Dados incompletos",IF(OR(I171="pendente",I171="confirmado"),COUNTIFS($F$2:$F$501,F171,$G$2:$G$501,"&lt;"&amp;N171,$N$2:$N$501,"&gt;"&amp;G171,$I$2:$I$501,"pendente",$E$2:$E$501,E171)+COUNTIFS($F$2:$F$501,F171,$G$2:$G$501,"&lt;"&amp;N171,$N$2:$N$501,"&gt;"&amp;G171,$I$2:$I$501,"confirmado",$E$2:$E$501,E171)-1,0)))</x:f>
      </x:c>
    </x:row>
    <x:row r="172" ht="24" customHeight="1">
      <x:c r="A172" s="17"/>
      <x:c r="B172" s="16"/>
      <x:c r="C172" s="2"/>
      <x:c r="D172" s="17"/>
      <x:c r="E172" s="2"/>
      <x:c r="F172" s="10"/>
      <x:c r="G172" s="11"/>
      <x:c r="H172" s="2"/>
      <x:c r="I172" s="7"/>
      <x:c r="J172" s="2"/>
      <x:c r="K172" s="2"/>
      <x:c r="L172" s="2"/>
      <x:c r="M172" s="2"/>
      <x:c r="N172" s="11" t="str">
        <x:f>IF(A172="","",IF(AND(ISNUMBER(G172),ISNUMBER(L172),ISNUMBER(M172)),G172+(L172+M172)/1440,""))</x:f>
      </x:c>
      <x:c r="O172" s="2" t="str">
        <x:f>IF(A172="","",IF(OR(N172="",F172=""),"Dados incompletos",IF(OR(I172="pendente",I172="confirmado"),IF(K172="",0,COUNTIFS($F$2:$F$501,F172,$G$2:$G$501,"&lt;"&amp;N172,$N$2:$N$501,"&gt;"&amp;G172,$I$2:$I$501,"pendente",$K$2:$K$501,K172)+COUNTIFS($F$2:$F$501,F172,$G$2:$G$501,"&lt;"&amp;N172,$N$2:$N$501,"&gt;"&amp;G172,$I$2:$I$501,"confirmado",$K$2:$K$501,K172)-1),0)))</x:f>
      </x:c>
      <x:c r="P172" s="2" t="str">
        <x:f>IF(A172="","",IF(OR(N172="",F172=""),"Dados incompletos",IF(OR(I172="pendente",I172="confirmado"),COUNTIFS($F$2:$F$501,F172,$G$2:$G$501,"&lt;"&amp;N172,$N$2:$N$501,"&gt;"&amp;G172,$I$2:$I$501,"pendente",$E$2:$E$501,E172)+COUNTIFS($F$2:$F$501,F172,$G$2:$G$501,"&lt;"&amp;N172,$N$2:$N$501,"&gt;"&amp;G172,$I$2:$I$501,"confirmado",$E$2:$E$501,E172)-1,0)))</x:f>
      </x:c>
    </x:row>
    <x:row r="173" ht="24" customHeight="1">
      <x:c r="A173" s="17"/>
      <x:c r="B173" s="16"/>
      <x:c r="C173" s="2"/>
      <x:c r="D173" s="17"/>
      <x:c r="E173" s="2"/>
      <x:c r="F173" s="10"/>
      <x:c r="G173" s="11"/>
      <x:c r="H173" s="2"/>
      <x:c r="I173" s="7"/>
      <x:c r="J173" s="2"/>
      <x:c r="K173" s="2"/>
      <x:c r="L173" s="2"/>
      <x:c r="M173" s="2"/>
      <x:c r="N173" s="11" t="str">
        <x:f>IF(A173="","",IF(AND(ISNUMBER(G173),ISNUMBER(L173),ISNUMBER(M173)),G173+(L173+M173)/1440,""))</x:f>
      </x:c>
      <x:c r="O173" s="2" t="str">
        <x:f>IF(A173="","",IF(OR(N173="",F173=""),"Dados incompletos",IF(OR(I173="pendente",I173="confirmado"),IF(K173="",0,COUNTIFS($F$2:$F$501,F173,$G$2:$G$501,"&lt;"&amp;N173,$N$2:$N$501,"&gt;"&amp;G173,$I$2:$I$501,"pendente",$K$2:$K$501,K173)+COUNTIFS($F$2:$F$501,F173,$G$2:$G$501,"&lt;"&amp;N173,$N$2:$N$501,"&gt;"&amp;G173,$I$2:$I$501,"confirmado",$K$2:$K$501,K173)-1),0)))</x:f>
      </x:c>
      <x:c r="P173" s="2" t="str">
        <x:f>IF(A173="","",IF(OR(N173="",F173=""),"Dados incompletos",IF(OR(I173="pendente",I173="confirmado"),COUNTIFS($F$2:$F$501,F173,$G$2:$G$501,"&lt;"&amp;N173,$N$2:$N$501,"&gt;"&amp;G173,$I$2:$I$501,"pendente",$E$2:$E$501,E173)+COUNTIFS($F$2:$F$501,F173,$G$2:$G$501,"&lt;"&amp;N173,$N$2:$N$501,"&gt;"&amp;G173,$I$2:$I$501,"confirmado",$E$2:$E$501,E173)-1,0)))</x:f>
      </x:c>
    </x:row>
    <x:row r="174" ht="24" customHeight="1">
      <x:c r="A174" s="17"/>
      <x:c r="B174" s="16"/>
      <x:c r="C174" s="2"/>
      <x:c r="D174" s="17"/>
      <x:c r="E174" s="2"/>
      <x:c r="F174" s="10"/>
      <x:c r="G174" s="11"/>
      <x:c r="H174" s="2"/>
      <x:c r="I174" s="7"/>
      <x:c r="J174" s="2"/>
      <x:c r="K174" s="2"/>
      <x:c r="L174" s="2"/>
      <x:c r="M174" s="2"/>
      <x:c r="N174" s="11" t="str">
        <x:f>IF(A174="","",IF(AND(ISNUMBER(G174),ISNUMBER(L174),ISNUMBER(M174)),G174+(L174+M174)/1440,""))</x:f>
      </x:c>
      <x:c r="O174" s="2" t="str">
        <x:f>IF(A174="","",IF(OR(N174="",F174=""),"Dados incompletos",IF(OR(I174="pendente",I174="confirmado"),IF(K174="",0,COUNTIFS($F$2:$F$501,F174,$G$2:$G$501,"&lt;"&amp;N174,$N$2:$N$501,"&gt;"&amp;G174,$I$2:$I$501,"pendente",$K$2:$K$501,K174)+COUNTIFS($F$2:$F$501,F174,$G$2:$G$501,"&lt;"&amp;N174,$N$2:$N$501,"&gt;"&amp;G174,$I$2:$I$501,"confirmado",$K$2:$K$501,K174)-1),0)))</x:f>
      </x:c>
      <x:c r="P174" s="2" t="str">
        <x:f>IF(A174="","",IF(OR(N174="",F174=""),"Dados incompletos",IF(OR(I174="pendente",I174="confirmado"),COUNTIFS($F$2:$F$501,F174,$G$2:$G$501,"&lt;"&amp;N174,$N$2:$N$501,"&gt;"&amp;G174,$I$2:$I$501,"pendente",$E$2:$E$501,E174)+COUNTIFS($F$2:$F$501,F174,$G$2:$G$501,"&lt;"&amp;N174,$N$2:$N$501,"&gt;"&amp;G174,$I$2:$I$501,"confirmado",$E$2:$E$501,E174)-1,0)))</x:f>
      </x:c>
    </x:row>
    <x:row r="175" ht="24" customHeight="1">
      <x:c r="A175" s="17"/>
      <x:c r="B175" s="16"/>
      <x:c r="C175" s="2"/>
      <x:c r="D175" s="17"/>
      <x:c r="E175" s="2"/>
      <x:c r="F175" s="10"/>
      <x:c r="G175" s="11"/>
      <x:c r="H175" s="2"/>
      <x:c r="I175" s="7"/>
      <x:c r="J175" s="2"/>
      <x:c r="K175" s="2"/>
      <x:c r="L175" s="2"/>
      <x:c r="M175" s="2"/>
      <x:c r="N175" s="11" t="str">
        <x:f>IF(A175="","",IF(AND(ISNUMBER(G175),ISNUMBER(L175),ISNUMBER(M175)),G175+(L175+M175)/1440,""))</x:f>
      </x:c>
      <x:c r="O175" s="2" t="str">
        <x:f>IF(A175="","",IF(OR(N175="",F175=""),"Dados incompletos",IF(OR(I175="pendente",I175="confirmado"),IF(K175="",0,COUNTIFS($F$2:$F$501,F175,$G$2:$G$501,"&lt;"&amp;N175,$N$2:$N$501,"&gt;"&amp;G175,$I$2:$I$501,"pendente",$K$2:$K$501,K175)+COUNTIFS($F$2:$F$501,F175,$G$2:$G$501,"&lt;"&amp;N175,$N$2:$N$501,"&gt;"&amp;G175,$I$2:$I$501,"confirmado",$K$2:$K$501,K175)-1),0)))</x:f>
      </x:c>
      <x:c r="P175" s="2" t="str">
        <x:f>IF(A175="","",IF(OR(N175="",F175=""),"Dados incompletos",IF(OR(I175="pendente",I175="confirmado"),COUNTIFS($F$2:$F$501,F175,$G$2:$G$501,"&lt;"&amp;N175,$N$2:$N$501,"&gt;"&amp;G175,$I$2:$I$501,"pendente",$E$2:$E$501,E175)+COUNTIFS($F$2:$F$501,F175,$G$2:$G$501,"&lt;"&amp;N175,$N$2:$N$501,"&gt;"&amp;G175,$I$2:$I$501,"confirmado",$E$2:$E$501,E175)-1,0)))</x:f>
      </x:c>
    </x:row>
    <x:row r="176" ht="24" customHeight="1">
      <x:c r="A176" s="17"/>
      <x:c r="B176" s="16"/>
      <x:c r="C176" s="2"/>
      <x:c r="D176" s="17"/>
      <x:c r="E176" s="2"/>
      <x:c r="F176" s="10"/>
      <x:c r="G176" s="11"/>
      <x:c r="H176" s="2"/>
      <x:c r="I176" s="7"/>
      <x:c r="J176" s="2"/>
      <x:c r="K176" s="2"/>
      <x:c r="L176" s="2"/>
      <x:c r="M176" s="2"/>
      <x:c r="N176" s="11" t="str">
        <x:f>IF(A176="","",IF(AND(ISNUMBER(G176),ISNUMBER(L176),ISNUMBER(M176)),G176+(L176+M176)/1440,""))</x:f>
      </x:c>
      <x:c r="O176" s="2" t="str">
        <x:f>IF(A176="","",IF(OR(N176="",F176=""),"Dados incompletos",IF(OR(I176="pendente",I176="confirmado"),IF(K176="",0,COUNTIFS($F$2:$F$501,F176,$G$2:$G$501,"&lt;"&amp;N176,$N$2:$N$501,"&gt;"&amp;G176,$I$2:$I$501,"pendente",$K$2:$K$501,K176)+COUNTIFS($F$2:$F$501,F176,$G$2:$G$501,"&lt;"&amp;N176,$N$2:$N$501,"&gt;"&amp;G176,$I$2:$I$501,"confirmado",$K$2:$K$501,K176)-1),0)))</x:f>
      </x:c>
      <x:c r="P176" s="2" t="str">
        <x:f>IF(A176="","",IF(OR(N176="",F176=""),"Dados incompletos",IF(OR(I176="pendente",I176="confirmado"),COUNTIFS($F$2:$F$501,F176,$G$2:$G$501,"&lt;"&amp;N176,$N$2:$N$501,"&gt;"&amp;G176,$I$2:$I$501,"pendente",$E$2:$E$501,E176)+COUNTIFS($F$2:$F$501,F176,$G$2:$G$501,"&lt;"&amp;N176,$N$2:$N$501,"&gt;"&amp;G176,$I$2:$I$501,"confirmado",$E$2:$E$501,E176)-1,0)))</x:f>
      </x:c>
    </x:row>
    <x:row r="177" ht="24" customHeight="1">
      <x:c r="A177" s="17"/>
      <x:c r="B177" s="16"/>
      <x:c r="C177" s="2"/>
      <x:c r="D177" s="17"/>
      <x:c r="E177" s="2"/>
      <x:c r="F177" s="10"/>
      <x:c r="G177" s="11"/>
      <x:c r="H177" s="2"/>
      <x:c r="I177" s="7"/>
      <x:c r="J177" s="2"/>
      <x:c r="K177" s="2"/>
      <x:c r="L177" s="2"/>
      <x:c r="M177" s="2"/>
      <x:c r="N177" s="11" t="str">
        <x:f>IF(A177="","",IF(AND(ISNUMBER(G177),ISNUMBER(L177),ISNUMBER(M177)),G177+(L177+M177)/1440,""))</x:f>
      </x:c>
      <x:c r="O177" s="2" t="str">
        <x:f>IF(A177="","",IF(OR(N177="",F177=""),"Dados incompletos",IF(OR(I177="pendente",I177="confirmado"),IF(K177="",0,COUNTIFS($F$2:$F$501,F177,$G$2:$G$501,"&lt;"&amp;N177,$N$2:$N$501,"&gt;"&amp;G177,$I$2:$I$501,"pendente",$K$2:$K$501,K177)+COUNTIFS($F$2:$F$501,F177,$G$2:$G$501,"&lt;"&amp;N177,$N$2:$N$501,"&gt;"&amp;G177,$I$2:$I$501,"confirmado",$K$2:$K$501,K177)-1),0)))</x:f>
      </x:c>
      <x:c r="P177" s="2" t="str">
        <x:f>IF(A177="","",IF(OR(N177="",F177=""),"Dados incompletos",IF(OR(I177="pendente",I177="confirmado"),COUNTIFS($F$2:$F$501,F177,$G$2:$G$501,"&lt;"&amp;N177,$N$2:$N$501,"&gt;"&amp;G177,$I$2:$I$501,"pendente",$E$2:$E$501,E177)+COUNTIFS($F$2:$F$501,F177,$G$2:$G$501,"&lt;"&amp;N177,$N$2:$N$501,"&gt;"&amp;G177,$I$2:$I$501,"confirmado",$E$2:$E$501,E177)-1,0)))</x:f>
      </x:c>
    </x:row>
    <x:row r="178" ht="24" customHeight="1">
      <x:c r="A178" s="17"/>
      <x:c r="B178" s="16"/>
      <x:c r="C178" s="2"/>
      <x:c r="D178" s="17"/>
      <x:c r="E178" s="2"/>
      <x:c r="F178" s="10"/>
      <x:c r="G178" s="11"/>
      <x:c r="H178" s="2"/>
      <x:c r="I178" s="7"/>
      <x:c r="J178" s="2"/>
      <x:c r="K178" s="2"/>
      <x:c r="L178" s="2"/>
      <x:c r="M178" s="2"/>
      <x:c r="N178" s="11" t="str">
        <x:f>IF(A178="","",IF(AND(ISNUMBER(G178),ISNUMBER(L178),ISNUMBER(M178)),G178+(L178+M178)/1440,""))</x:f>
      </x:c>
      <x:c r="O178" s="2" t="str">
        <x:f>IF(A178="","",IF(OR(N178="",F178=""),"Dados incompletos",IF(OR(I178="pendente",I178="confirmado"),IF(K178="",0,COUNTIFS($F$2:$F$501,F178,$G$2:$G$501,"&lt;"&amp;N178,$N$2:$N$501,"&gt;"&amp;G178,$I$2:$I$501,"pendente",$K$2:$K$501,K178)+COUNTIFS($F$2:$F$501,F178,$G$2:$G$501,"&lt;"&amp;N178,$N$2:$N$501,"&gt;"&amp;G178,$I$2:$I$501,"confirmado",$K$2:$K$501,K178)-1),0)))</x:f>
      </x:c>
      <x:c r="P178" s="2" t="str">
        <x:f>IF(A178="","",IF(OR(N178="",F178=""),"Dados incompletos",IF(OR(I178="pendente",I178="confirmado"),COUNTIFS($F$2:$F$501,F178,$G$2:$G$501,"&lt;"&amp;N178,$N$2:$N$501,"&gt;"&amp;G178,$I$2:$I$501,"pendente",$E$2:$E$501,E178)+COUNTIFS($F$2:$F$501,F178,$G$2:$G$501,"&lt;"&amp;N178,$N$2:$N$501,"&gt;"&amp;G178,$I$2:$I$501,"confirmado",$E$2:$E$501,E178)-1,0)))</x:f>
      </x:c>
    </x:row>
    <x:row r="179" ht="24" customHeight="1">
      <x:c r="A179" s="17"/>
      <x:c r="B179" s="16"/>
      <x:c r="C179" s="2"/>
      <x:c r="D179" s="17"/>
      <x:c r="E179" s="2"/>
      <x:c r="F179" s="10"/>
      <x:c r="G179" s="11"/>
      <x:c r="H179" s="2"/>
      <x:c r="I179" s="7"/>
      <x:c r="J179" s="2"/>
      <x:c r="K179" s="2"/>
      <x:c r="L179" s="2"/>
      <x:c r="M179" s="2"/>
      <x:c r="N179" s="11" t="str">
        <x:f>IF(A179="","",IF(AND(ISNUMBER(G179),ISNUMBER(L179),ISNUMBER(M179)),G179+(L179+M179)/1440,""))</x:f>
      </x:c>
      <x:c r="O179" s="2" t="str">
        <x:f>IF(A179="","",IF(OR(N179="",F179=""),"Dados incompletos",IF(OR(I179="pendente",I179="confirmado"),IF(K179="",0,COUNTIFS($F$2:$F$501,F179,$G$2:$G$501,"&lt;"&amp;N179,$N$2:$N$501,"&gt;"&amp;G179,$I$2:$I$501,"pendente",$K$2:$K$501,K179)+COUNTIFS($F$2:$F$501,F179,$G$2:$G$501,"&lt;"&amp;N179,$N$2:$N$501,"&gt;"&amp;G179,$I$2:$I$501,"confirmado",$K$2:$K$501,K179)-1),0)))</x:f>
      </x:c>
      <x:c r="P179" s="2" t="str">
        <x:f>IF(A179="","",IF(OR(N179="",F179=""),"Dados incompletos",IF(OR(I179="pendente",I179="confirmado"),COUNTIFS($F$2:$F$501,F179,$G$2:$G$501,"&lt;"&amp;N179,$N$2:$N$501,"&gt;"&amp;G179,$I$2:$I$501,"pendente",$E$2:$E$501,E179)+COUNTIFS($F$2:$F$501,F179,$G$2:$G$501,"&lt;"&amp;N179,$N$2:$N$501,"&gt;"&amp;G179,$I$2:$I$501,"confirmado",$E$2:$E$501,E179)-1,0)))</x:f>
      </x:c>
    </x:row>
    <x:row r="180" ht="24" customHeight="1">
      <x:c r="A180" s="17"/>
      <x:c r="B180" s="16"/>
      <x:c r="C180" s="2"/>
      <x:c r="D180" s="17"/>
      <x:c r="E180" s="2"/>
      <x:c r="F180" s="10"/>
      <x:c r="G180" s="11"/>
      <x:c r="H180" s="2"/>
      <x:c r="I180" s="7"/>
      <x:c r="J180" s="2"/>
      <x:c r="K180" s="2"/>
      <x:c r="L180" s="2"/>
      <x:c r="M180" s="2"/>
      <x:c r="N180" s="11" t="str">
        <x:f>IF(A180="","",IF(AND(ISNUMBER(G180),ISNUMBER(L180),ISNUMBER(M180)),G180+(L180+M180)/1440,""))</x:f>
      </x:c>
      <x:c r="O180" s="2" t="str">
        <x:f>IF(A180="","",IF(OR(N180="",F180=""),"Dados incompletos",IF(OR(I180="pendente",I180="confirmado"),IF(K180="",0,COUNTIFS($F$2:$F$501,F180,$G$2:$G$501,"&lt;"&amp;N180,$N$2:$N$501,"&gt;"&amp;G180,$I$2:$I$501,"pendente",$K$2:$K$501,K180)+COUNTIFS($F$2:$F$501,F180,$G$2:$G$501,"&lt;"&amp;N180,$N$2:$N$501,"&gt;"&amp;G180,$I$2:$I$501,"confirmado",$K$2:$K$501,K180)-1),0)))</x:f>
      </x:c>
      <x:c r="P180" s="2" t="str">
        <x:f>IF(A180="","",IF(OR(N180="",F180=""),"Dados incompletos",IF(OR(I180="pendente",I180="confirmado"),COUNTIFS($F$2:$F$501,F180,$G$2:$G$501,"&lt;"&amp;N180,$N$2:$N$501,"&gt;"&amp;G180,$I$2:$I$501,"pendente",$E$2:$E$501,E180)+COUNTIFS($F$2:$F$501,F180,$G$2:$G$501,"&lt;"&amp;N180,$N$2:$N$501,"&gt;"&amp;G180,$I$2:$I$501,"confirmado",$E$2:$E$501,E180)-1,0)))</x:f>
      </x:c>
    </x:row>
    <x:row r="181" ht="24" customHeight="1">
      <x:c r="A181" s="17"/>
      <x:c r="B181" s="16"/>
      <x:c r="C181" s="2"/>
      <x:c r="D181" s="17"/>
      <x:c r="E181" s="2"/>
      <x:c r="F181" s="10"/>
      <x:c r="G181" s="11"/>
      <x:c r="H181" s="2"/>
      <x:c r="I181" s="7"/>
      <x:c r="J181" s="2"/>
      <x:c r="K181" s="2"/>
      <x:c r="L181" s="2"/>
      <x:c r="M181" s="2"/>
      <x:c r="N181" s="11" t="str">
        <x:f>IF(A181="","",IF(AND(ISNUMBER(G181),ISNUMBER(L181),ISNUMBER(M181)),G181+(L181+M181)/1440,""))</x:f>
      </x:c>
      <x:c r="O181" s="2" t="str">
        <x:f>IF(A181="","",IF(OR(N181="",F181=""),"Dados incompletos",IF(OR(I181="pendente",I181="confirmado"),IF(K181="",0,COUNTIFS($F$2:$F$501,F181,$G$2:$G$501,"&lt;"&amp;N181,$N$2:$N$501,"&gt;"&amp;G181,$I$2:$I$501,"pendente",$K$2:$K$501,K181)+COUNTIFS($F$2:$F$501,F181,$G$2:$G$501,"&lt;"&amp;N181,$N$2:$N$501,"&gt;"&amp;G181,$I$2:$I$501,"confirmado",$K$2:$K$501,K181)-1),0)))</x:f>
      </x:c>
      <x:c r="P181" s="2" t="str">
        <x:f>IF(A181="","",IF(OR(N181="",F181=""),"Dados incompletos",IF(OR(I181="pendente",I181="confirmado"),COUNTIFS($F$2:$F$501,F181,$G$2:$G$501,"&lt;"&amp;N181,$N$2:$N$501,"&gt;"&amp;G181,$I$2:$I$501,"pendente",$E$2:$E$501,E181)+COUNTIFS($F$2:$F$501,F181,$G$2:$G$501,"&lt;"&amp;N181,$N$2:$N$501,"&gt;"&amp;G181,$I$2:$I$501,"confirmado",$E$2:$E$501,E181)-1,0)))</x:f>
      </x:c>
    </x:row>
    <x:row r="182" ht="24" customHeight="1">
      <x:c r="A182" s="17"/>
      <x:c r="B182" s="16"/>
      <x:c r="C182" s="2"/>
      <x:c r="D182" s="17"/>
      <x:c r="E182" s="2"/>
      <x:c r="F182" s="10"/>
      <x:c r="G182" s="11"/>
      <x:c r="H182" s="2"/>
      <x:c r="I182" s="7"/>
      <x:c r="J182" s="2"/>
      <x:c r="K182" s="2"/>
      <x:c r="L182" s="2"/>
      <x:c r="M182" s="2"/>
      <x:c r="N182" s="11" t="str">
        <x:f>IF(A182="","",IF(AND(ISNUMBER(G182),ISNUMBER(L182),ISNUMBER(M182)),G182+(L182+M182)/1440,""))</x:f>
      </x:c>
      <x:c r="O182" s="2" t="str">
        <x:f>IF(A182="","",IF(OR(N182="",F182=""),"Dados incompletos",IF(OR(I182="pendente",I182="confirmado"),IF(K182="",0,COUNTIFS($F$2:$F$501,F182,$G$2:$G$501,"&lt;"&amp;N182,$N$2:$N$501,"&gt;"&amp;G182,$I$2:$I$501,"pendente",$K$2:$K$501,K182)+COUNTIFS($F$2:$F$501,F182,$G$2:$G$501,"&lt;"&amp;N182,$N$2:$N$501,"&gt;"&amp;G182,$I$2:$I$501,"confirmado",$K$2:$K$501,K182)-1),0)))</x:f>
      </x:c>
      <x:c r="P182" s="2" t="str">
        <x:f>IF(A182="","",IF(OR(N182="",F182=""),"Dados incompletos",IF(OR(I182="pendente",I182="confirmado"),COUNTIFS($F$2:$F$501,F182,$G$2:$G$501,"&lt;"&amp;N182,$N$2:$N$501,"&gt;"&amp;G182,$I$2:$I$501,"pendente",$E$2:$E$501,E182)+COUNTIFS($F$2:$F$501,F182,$G$2:$G$501,"&lt;"&amp;N182,$N$2:$N$501,"&gt;"&amp;G182,$I$2:$I$501,"confirmado",$E$2:$E$501,E182)-1,0)))</x:f>
      </x:c>
    </x:row>
    <x:row r="183" ht="24" customHeight="1">
      <x:c r="A183" s="17"/>
      <x:c r="B183" s="16"/>
      <x:c r="C183" s="2"/>
      <x:c r="D183" s="17"/>
      <x:c r="E183" s="2"/>
      <x:c r="F183" s="10"/>
      <x:c r="G183" s="11"/>
      <x:c r="H183" s="2"/>
      <x:c r="I183" s="7"/>
      <x:c r="J183" s="2"/>
      <x:c r="K183" s="2"/>
      <x:c r="L183" s="2"/>
      <x:c r="M183" s="2"/>
      <x:c r="N183" s="11" t="str">
        <x:f>IF(A183="","",IF(AND(ISNUMBER(G183),ISNUMBER(L183),ISNUMBER(M183)),G183+(L183+M183)/1440,""))</x:f>
      </x:c>
      <x:c r="O183" s="2" t="str">
        <x:f>IF(A183="","",IF(OR(N183="",F183=""),"Dados incompletos",IF(OR(I183="pendente",I183="confirmado"),IF(K183="",0,COUNTIFS($F$2:$F$501,F183,$G$2:$G$501,"&lt;"&amp;N183,$N$2:$N$501,"&gt;"&amp;G183,$I$2:$I$501,"pendente",$K$2:$K$501,K183)+COUNTIFS($F$2:$F$501,F183,$G$2:$G$501,"&lt;"&amp;N183,$N$2:$N$501,"&gt;"&amp;G183,$I$2:$I$501,"confirmado",$K$2:$K$501,K183)-1),0)))</x:f>
      </x:c>
      <x:c r="P183" s="2" t="str">
        <x:f>IF(A183="","",IF(OR(N183="",F183=""),"Dados incompletos",IF(OR(I183="pendente",I183="confirmado"),COUNTIFS($F$2:$F$501,F183,$G$2:$G$501,"&lt;"&amp;N183,$N$2:$N$501,"&gt;"&amp;G183,$I$2:$I$501,"pendente",$E$2:$E$501,E183)+COUNTIFS($F$2:$F$501,F183,$G$2:$G$501,"&lt;"&amp;N183,$N$2:$N$501,"&gt;"&amp;G183,$I$2:$I$501,"confirmado",$E$2:$E$501,E183)-1,0)))</x:f>
      </x:c>
    </x:row>
    <x:row r="184" ht="24" customHeight="1">
      <x:c r="A184" s="17"/>
      <x:c r="B184" s="16"/>
      <x:c r="C184" s="2"/>
      <x:c r="D184" s="17"/>
      <x:c r="E184" s="2"/>
      <x:c r="F184" s="10"/>
      <x:c r="G184" s="11"/>
      <x:c r="H184" s="2"/>
      <x:c r="I184" s="7"/>
      <x:c r="J184" s="2"/>
      <x:c r="K184" s="2"/>
      <x:c r="L184" s="2"/>
      <x:c r="M184" s="2"/>
      <x:c r="N184" s="11" t="str">
        <x:f>IF(A184="","",IF(AND(ISNUMBER(G184),ISNUMBER(L184),ISNUMBER(M184)),G184+(L184+M184)/1440,""))</x:f>
      </x:c>
      <x:c r="O184" s="2" t="str">
        <x:f>IF(A184="","",IF(OR(N184="",F184=""),"Dados incompletos",IF(OR(I184="pendente",I184="confirmado"),IF(K184="",0,COUNTIFS($F$2:$F$501,F184,$G$2:$G$501,"&lt;"&amp;N184,$N$2:$N$501,"&gt;"&amp;G184,$I$2:$I$501,"pendente",$K$2:$K$501,K184)+COUNTIFS($F$2:$F$501,F184,$G$2:$G$501,"&lt;"&amp;N184,$N$2:$N$501,"&gt;"&amp;G184,$I$2:$I$501,"confirmado",$K$2:$K$501,K184)-1),0)))</x:f>
      </x:c>
      <x:c r="P184" s="2" t="str">
        <x:f>IF(A184="","",IF(OR(N184="",F184=""),"Dados incompletos",IF(OR(I184="pendente",I184="confirmado"),COUNTIFS($F$2:$F$501,F184,$G$2:$G$501,"&lt;"&amp;N184,$N$2:$N$501,"&gt;"&amp;G184,$I$2:$I$501,"pendente",$E$2:$E$501,E184)+COUNTIFS($F$2:$F$501,F184,$G$2:$G$501,"&lt;"&amp;N184,$N$2:$N$501,"&gt;"&amp;G184,$I$2:$I$501,"confirmado",$E$2:$E$501,E184)-1,0)))</x:f>
      </x:c>
    </x:row>
    <x:row r="185" ht="24" customHeight="1">
      <x:c r="A185" s="17"/>
      <x:c r="B185" s="16"/>
      <x:c r="C185" s="2"/>
      <x:c r="D185" s="17"/>
      <x:c r="E185" s="2"/>
      <x:c r="F185" s="10"/>
      <x:c r="G185" s="11"/>
      <x:c r="H185" s="2"/>
      <x:c r="I185" s="7"/>
      <x:c r="J185" s="2"/>
      <x:c r="K185" s="2"/>
      <x:c r="L185" s="2"/>
      <x:c r="M185" s="2"/>
      <x:c r="N185" s="11" t="str">
        <x:f>IF(A185="","",IF(AND(ISNUMBER(G185),ISNUMBER(L185),ISNUMBER(M185)),G185+(L185+M185)/1440,""))</x:f>
      </x:c>
      <x:c r="O185" s="2" t="str">
        <x:f>IF(A185="","",IF(OR(N185="",F185=""),"Dados incompletos",IF(OR(I185="pendente",I185="confirmado"),IF(K185="",0,COUNTIFS($F$2:$F$501,F185,$G$2:$G$501,"&lt;"&amp;N185,$N$2:$N$501,"&gt;"&amp;G185,$I$2:$I$501,"pendente",$K$2:$K$501,K185)+COUNTIFS($F$2:$F$501,F185,$G$2:$G$501,"&lt;"&amp;N185,$N$2:$N$501,"&gt;"&amp;G185,$I$2:$I$501,"confirmado",$K$2:$K$501,K185)-1),0)))</x:f>
      </x:c>
      <x:c r="P185" s="2" t="str">
        <x:f>IF(A185="","",IF(OR(N185="",F185=""),"Dados incompletos",IF(OR(I185="pendente",I185="confirmado"),COUNTIFS($F$2:$F$501,F185,$G$2:$G$501,"&lt;"&amp;N185,$N$2:$N$501,"&gt;"&amp;G185,$I$2:$I$501,"pendente",$E$2:$E$501,E185)+COUNTIFS($F$2:$F$501,F185,$G$2:$G$501,"&lt;"&amp;N185,$N$2:$N$501,"&gt;"&amp;G185,$I$2:$I$501,"confirmado",$E$2:$E$501,E185)-1,0)))</x:f>
      </x:c>
    </x:row>
    <x:row r="186" ht="24" customHeight="1">
      <x:c r="A186" s="17"/>
      <x:c r="B186" s="16"/>
      <x:c r="C186" s="2"/>
      <x:c r="D186" s="17"/>
      <x:c r="E186" s="2"/>
      <x:c r="F186" s="10"/>
      <x:c r="G186" s="11"/>
      <x:c r="H186" s="2"/>
      <x:c r="I186" s="7"/>
      <x:c r="J186" s="2"/>
      <x:c r="K186" s="2"/>
      <x:c r="L186" s="2"/>
      <x:c r="M186" s="2"/>
      <x:c r="N186" s="11" t="str">
        <x:f>IF(A186="","",IF(AND(ISNUMBER(G186),ISNUMBER(L186),ISNUMBER(M186)),G186+(L186+M186)/1440,""))</x:f>
      </x:c>
      <x:c r="O186" s="2" t="str">
        <x:f>IF(A186="","",IF(OR(N186="",F186=""),"Dados incompletos",IF(OR(I186="pendente",I186="confirmado"),IF(K186="",0,COUNTIFS($F$2:$F$501,F186,$G$2:$G$501,"&lt;"&amp;N186,$N$2:$N$501,"&gt;"&amp;G186,$I$2:$I$501,"pendente",$K$2:$K$501,K186)+COUNTIFS($F$2:$F$501,F186,$G$2:$G$501,"&lt;"&amp;N186,$N$2:$N$501,"&gt;"&amp;G186,$I$2:$I$501,"confirmado",$K$2:$K$501,K186)-1),0)))</x:f>
      </x:c>
      <x:c r="P186" s="2" t="str">
        <x:f>IF(A186="","",IF(OR(N186="",F186=""),"Dados incompletos",IF(OR(I186="pendente",I186="confirmado"),COUNTIFS($F$2:$F$501,F186,$G$2:$G$501,"&lt;"&amp;N186,$N$2:$N$501,"&gt;"&amp;G186,$I$2:$I$501,"pendente",$E$2:$E$501,E186)+COUNTIFS($F$2:$F$501,F186,$G$2:$G$501,"&lt;"&amp;N186,$N$2:$N$501,"&gt;"&amp;G186,$I$2:$I$501,"confirmado",$E$2:$E$501,E186)-1,0)))</x:f>
      </x:c>
    </x:row>
    <x:row r="187" ht="24" customHeight="1">
      <x:c r="A187" s="17"/>
      <x:c r="B187" s="16"/>
      <x:c r="C187" s="2"/>
      <x:c r="D187" s="17"/>
      <x:c r="E187" s="2"/>
      <x:c r="F187" s="10"/>
      <x:c r="G187" s="11"/>
      <x:c r="H187" s="2"/>
      <x:c r="I187" s="7"/>
      <x:c r="J187" s="2"/>
      <x:c r="K187" s="2"/>
      <x:c r="L187" s="2"/>
      <x:c r="M187" s="2"/>
      <x:c r="N187" s="11" t="str">
        <x:f>IF(A187="","",IF(AND(ISNUMBER(G187),ISNUMBER(L187),ISNUMBER(M187)),G187+(L187+M187)/1440,""))</x:f>
      </x:c>
      <x:c r="O187" s="2" t="str">
        <x:f>IF(A187="","",IF(OR(N187="",F187=""),"Dados incompletos",IF(OR(I187="pendente",I187="confirmado"),IF(K187="",0,COUNTIFS($F$2:$F$501,F187,$G$2:$G$501,"&lt;"&amp;N187,$N$2:$N$501,"&gt;"&amp;G187,$I$2:$I$501,"pendente",$K$2:$K$501,K187)+COUNTIFS($F$2:$F$501,F187,$G$2:$G$501,"&lt;"&amp;N187,$N$2:$N$501,"&gt;"&amp;G187,$I$2:$I$501,"confirmado",$K$2:$K$501,K187)-1),0)))</x:f>
      </x:c>
      <x:c r="P187" s="2" t="str">
        <x:f>IF(A187="","",IF(OR(N187="",F187=""),"Dados incompletos",IF(OR(I187="pendente",I187="confirmado"),COUNTIFS($F$2:$F$501,F187,$G$2:$G$501,"&lt;"&amp;N187,$N$2:$N$501,"&gt;"&amp;G187,$I$2:$I$501,"pendente",$E$2:$E$501,E187)+COUNTIFS($F$2:$F$501,F187,$G$2:$G$501,"&lt;"&amp;N187,$N$2:$N$501,"&gt;"&amp;G187,$I$2:$I$501,"confirmado",$E$2:$E$501,E187)-1,0)))</x:f>
      </x:c>
    </x:row>
    <x:row r="188" ht="24" customHeight="1">
      <x:c r="A188" s="17"/>
      <x:c r="B188" s="16"/>
      <x:c r="C188" s="2"/>
      <x:c r="D188" s="17"/>
      <x:c r="E188" s="2"/>
      <x:c r="F188" s="10"/>
      <x:c r="G188" s="11"/>
      <x:c r="H188" s="2"/>
      <x:c r="I188" s="7"/>
      <x:c r="J188" s="2"/>
      <x:c r="K188" s="2"/>
      <x:c r="L188" s="2"/>
      <x:c r="M188" s="2"/>
      <x:c r="N188" s="11" t="str">
        <x:f>IF(A188="","",IF(AND(ISNUMBER(G188),ISNUMBER(L188),ISNUMBER(M188)),G188+(L188+M188)/1440,""))</x:f>
      </x:c>
      <x:c r="O188" s="2" t="str">
        <x:f>IF(A188="","",IF(OR(N188="",F188=""),"Dados incompletos",IF(OR(I188="pendente",I188="confirmado"),IF(K188="",0,COUNTIFS($F$2:$F$501,F188,$G$2:$G$501,"&lt;"&amp;N188,$N$2:$N$501,"&gt;"&amp;G188,$I$2:$I$501,"pendente",$K$2:$K$501,K188)+COUNTIFS($F$2:$F$501,F188,$G$2:$G$501,"&lt;"&amp;N188,$N$2:$N$501,"&gt;"&amp;G188,$I$2:$I$501,"confirmado",$K$2:$K$501,K188)-1),0)))</x:f>
      </x:c>
      <x:c r="P188" s="2" t="str">
        <x:f>IF(A188="","",IF(OR(N188="",F188=""),"Dados incompletos",IF(OR(I188="pendente",I188="confirmado"),COUNTIFS($F$2:$F$501,F188,$G$2:$G$501,"&lt;"&amp;N188,$N$2:$N$501,"&gt;"&amp;G188,$I$2:$I$501,"pendente",$E$2:$E$501,E188)+COUNTIFS($F$2:$F$501,F188,$G$2:$G$501,"&lt;"&amp;N188,$N$2:$N$501,"&gt;"&amp;G188,$I$2:$I$501,"confirmado",$E$2:$E$501,E188)-1,0)))</x:f>
      </x:c>
    </x:row>
    <x:row r="189" ht="24" customHeight="1">
      <x:c r="A189" s="17"/>
      <x:c r="B189" s="16"/>
      <x:c r="C189" s="2"/>
      <x:c r="D189" s="17"/>
      <x:c r="E189" s="2"/>
      <x:c r="F189" s="10"/>
      <x:c r="G189" s="11"/>
      <x:c r="H189" s="2"/>
      <x:c r="I189" s="7"/>
      <x:c r="J189" s="2"/>
      <x:c r="K189" s="2"/>
      <x:c r="L189" s="2"/>
      <x:c r="M189" s="2"/>
      <x:c r="N189" s="11" t="str">
        <x:f>IF(A189="","",IF(AND(ISNUMBER(G189),ISNUMBER(L189),ISNUMBER(M189)),G189+(L189+M189)/1440,""))</x:f>
      </x:c>
      <x:c r="O189" s="2" t="str">
        <x:f>IF(A189="","",IF(OR(N189="",F189=""),"Dados incompletos",IF(OR(I189="pendente",I189="confirmado"),IF(K189="",0,COUNTIFS($F$2:$F$501,F189,$G$2:$G$501,"&lt;"&amp;N189,$N$2:$N$501,"&gt;"&amp;G189,$I$2:$I$501,"pendente",$K$2:$K$501,K189)+COUNTIFS($F$2:$F$501,F189,$G$2:$G$501,"&lt;"&amp;N189,$N$2:$N$501,"&gt;"&amp;G189,$I$2:$I$501,"confirmado",$K$2:$K$501,K189)-1),0)))</x:f>
      </x:c>
      <x:c r="P189" s="2" t="str">
        <x:f>IF(A189="","",IF(OR(N189="",F189=""),"Dados incompletos",IF(OR(I189="pendente",I189="confirmado"),COUNTIFS($F$2:$F$501,F189,$G$2:$G$501,"&lt;"&amp;N189,$N$2:$N$501,"&gt;"&amp;G189,$I$2:$I$501,"pendente",$E$2:$E$501,E189)+COUNTIFS($F$2:$F$501,F189,$G$2:$G$501,"&lt;"&amp;N189,$N$2:$N$501,"&gt;"&amp;G189,$I$2:$I$501,"confirmado",$E$2:$E$501,E189)-1,0)))</x:f>
      </x:c>
    </x:row>
    <x:row r="190" ht="24" customHeight="1">
      <x:c r="A190" s="17"/>
      <x:c r="B190" s="16"/>
      <x:c r="C190" s="2"/>
      <x:c r="D190" s="17"/>
      <x:c r="E190" s="2"/>
      <x:c r="F190" s="10"/>
      <x:c r="G190" s="11"/>
      <x:c r="H190" s="2"/>
      <x:c r="I190" s="7"/>
      <x:c r="J190" s="2"/>
      <x:c r="K190" s="2"/>
      <x:c r="L190" s="2"/>
      <x:c r="M190" s="2"/>
      <x:c r="N190" s="11" t="str">
        <x:f>IF(A190="","",IF(AND(ISNUMBER(G190),ISNUMBER(L190),ISNUMBER(M190)),G190+(L190+M190)/1440,""))</x:f>
      </x:c>
      <x:c r="O190" s="2" t="str">
        <x:f>IF(A190="","",IF(OR(N190="",F190=""),"Dados incompletos",IF(OR(I190="pendente",I190="confirmado"),IF(K190="",0,COUNTIFS($F$2:$F$501,F190,$G$2:$G$501,"&lt;"&amp;N190,$N$2:$N$501,"&gt;"&amp;G190,$I$2:$I$501,"pendente",$K$2:$K$501,K190)+COUNTIFS($F$2:$F$501,F190,$G$2:$G$501,"&lt;"&amp;N190,$N$2:$N$501,"&gt;"&amp;G190,$I$2:$I$501,"confirmado",$K$2:$K$501,K190)-1),0)))</x:f>
      </x:c>
      <x:c r="P190" s="2" t="str">
        <x:f>IF(A190="","",IF(OR(N190="",F190=""),"Dados incompletos",IF(OR(I190="pendente",I190="confirmado"),COUNTIFS($F$2:$F$501,F190,$G$2:$G$501,"&lt;"&amp;N190,$N$2:$N$501,"&gt;"&amp;G190,$I$2:$I$501,"pendente",$E$2:$E$501,E190)+COUNTIFS($F$2:$F$501,F190,$G$2:$G$501,"&lt;"&amp;N190,$N$2:$N$501,"&gt;"&amp;G190,$I$2:$I$501,"confirmado",$E$2:$E$501,E190)-1,0)))</x:f>
      </x:c>
    </x:row>
    <x:row r="191" ht="24" customHeight="1">
      <x:c r="A191" s="17"/>
      <x:c r="B191" s="16"/>
      <x:c r="C191" s="2"/>
      <x:c r="D191" s="17"/>
      <x:c r="E191" s="2"/>
      <x:c r="F191" s="10"/>
      <x:c r="G191" s="11"/>
      <x:c r="H191" s="2"/>
      <x:c r="I191" s="7"/>
      <x:c r="J191" s="2"/>
      <x:c r="K191" s="2"/>
      <x:c r="L191" s="2"/>
      <x:c r="M191" s="2"/>
      <x:c r="N191" s="11" t="str">
        <x:f>IF(A191="","",IF(AND(ISNUMBER(G191),ISNUMBER(L191),ISNUMBER(M191)),G191+(L191+M191)/1440,""))</x:f>
      </x:c>
      <x:c r="O191" s="2" t="str">
        <x:f>IF(A191="","",IF(OR(N191="",F191=""),"Dados incompletos",IF(OR(I191="pendente",I191="confirmado"),IF(K191="",0,COUNTIFS($F$2:$F$501,F191,$G$2:$G$501,"&lt;"&amp;N191,$N$2:$N$501,"&gt;"&amp;G191,$I$2:$I$501,"pendente",$K$2:$K$501,K191)+COUNTIFS($F$2:$F$501,F191,$G$2:$G$501,"&lt;"&amp;N191,$N$2:$N$501,"&gt;"&amp;G191,$I$2:$I$501,"confirmado",$K$2:$K$501,K191)-1),0)))</x:f>
      </x:c>
      <x:c r="P191" s="2" t="str">
        <x:f>IF(A191="","",IF(OR(N191="",F191=""),"Dados incompletos",IF(OR(I191="pendente",I191="confirmado"),COUNTIFS($F$2:$F$501,F191,$G$2:$G$501,"&lt;"&amp;N191,$N$2:$N$501,"&gt;"&amp;G191,$I$2:$I$501,"pendente",$E$2:$E$501,E191)+COUNTIFS($F$2:$F$501,F191,$G$2:$G$501,"&lt;"&amp;N191,$N$2:$N$501,"&gt;"&amp;G191,$I$2:$I$501,"confirmado",$E$2:$E$501,E191)-1,0)))</x:f>
      </x:c>
    </x:row>
    <x:row r="192" ht="24" customHeight="1">
      <x:c r="A192" s="17"/>
      <x:c r="B192" s="16"/>
      <x:c r="C192" s="2"/>
      <x:c r="D192" s="17"/>
      <x:c r="E192" s="2"/>
      <x:c r="F192" s="10"/>
      <x:c r="G192" s="11"/>
      <x:c r="H192" s="2"/>
      <x:c r="I192" s="7"/>
      <x:c r="J192" s="2"/>
      <x:c r="K192" s="2"/>
      <x:c r="L192" s="2"/>
      <x:c r="M192" s="2"/>
      <x:c r="N192" s="11" t="str">
        <x:f>IF(A192="","",IF(AND(ISNUMBER(G192),ISNUMBER(L192),ISNUMBER(M192)),G192+(L192+M192)/1440,""))</x:f>
      </x:c>
      <x:c r="O192" s="2" t="str">
        <x:f>IF(A192="","",IF(OR(N192="",F192=""),"Dados incompletos",IF(OR(I192="pendente",I192="confirmado"),IF(K192="",0,COUNTIFS($F$2:$F$501,F192,$G$2:$G$501,"&lt;"&amp;N192,$N$2:$N$501,"&gt;"&amp;G192,$I$2:$I$501,"pendente",$K$2:$K$501,K192)+COUNTIFS($F$2:$F$501,F192,$G$2:$G$501,"&lt;"&amp;N192,$N$2:$N$501,"&gt;"&amp;G192,$I$2:$I$501,"confirmado",$K$2:$K$501,K192)-1),0)))</x:f>
      </x:c>
      <x:c r="P192" s="2" t="str">
        <x:f>IF(A192="","",IF(OR(N192="",F192=""),"Dados incompletos",IF(OR(I192="pendente",I192="confirmado"),COUNTIFS($F$2:$F$501,F192,$G$2:$G$501,"&lt;"&amp;N192,$N$2:$N$501,"&gt;"&amp;G192,$I$2:$I$501,"pendente",$E$2:$E$501,E192)+COUNTIFS($F$2:$F$501,F192,$G$2:$G$501,"&lt;"&amp;N192,$N$2:$N$501,"&gt;"&amp;G192,$I$2:$I$501,"confirmado",$E$2:$E$501,E192)-1,0)))</x:f>
      </x:c>
    </x:row>
    <x:row r="193" ht="24" customHeight="1">
      <x:c r="A193" s="17"/>
      <x:c r="B193" s="16"/>
      <x:c r="C193" s="2"/>
      <x:c r="D193" s="17"/>
      <x:c r="E193" s="2"/>
      <x:c r="F193" s="10"/>
      <x:c r="G193" s="11"/>
      <x:c r="H193" s="2"/>
      <x:c r="I193" s="7"/>
      <x:c r="J193" s="2"/>
      <x:c r="K193" s="2"/>
      <x:c r="L193" s="2"/>
      <x:c r="M193" s="2"/>
      <x:c r="N193" s="11" t="str">
        <x:f>IF(A193="","",IF(AND(ISNUMBER(G193),ISNUMBER(L193),ISNUMBER(M193)),G193+(L193+M193)/1440,""))</x:f>
      </x:c>
      <x:c r="O193" s="2" t="str">
        <x:f>IF(A193="","",IF(OR(N193="",F193=""),"Dados incompletos",IF(OR(I193="pendente",I193="confirmado"),IF(K193="",0,COUNTIFS($F$2:$F$501,F193,$G$2:$G$501,"&lt;"&amp;N193,$N$2:$N$501,"&gt;"&amp;G193,$I$2:$I$501,"pendente",$K$2:$K$501,K193)+COUNTIFS($F$2:$F$501,F193,$G$2:$G$501,"&lt;"&amp;N193,$N$2:$N$501,"&gt;"&amp;G193,$I$2:$I$501,"confirmado",$K$2:$K$501,K193)-1),0)))</x:f>
      </x:c>
      <x:c r="P193" s="2" t="str">
        <x:f>IF(A193="","",IF(OR(N193="",F193=""),"Dados incompletos",IF(OR(I193="pendente",I193="confirmado"),COUNTIFS($F$2:$F$501,F193,$G$2:$G$501,"&lt;"&amp;N193,$N$2:$N$501,"&gt;"&amp;G193,$I$2:$I$501,"pendente",$E$2:$E$501,E193)+COUNTIFS($F$2:$F$501,F193,$G$2:$G$501,"&lt;"&amp;N193,$N$2:$N$501,"&gt;"&amp;G193,$I$2:$I$501,"confirmado",$E$2:$E$501,E193)-1,0)))</x:f>
      </x:c>
    </x:row>
    <x:row r="194" ht="24" customHeight="1">
      <x:c r="A194" s="17"/>
      <x:c r="B194" s="16"/>
      <x:c r="C194" s="2"/>
      <x:c r="D194" s="17"/>
      <x:c r="E194" s="2"/>
      <x:c r="F194" s="10"/>
      <x:c r="G194" s="11"/>
      <x:c r="H194" s="2"/>
      <x:c r="I194" s="7"/>
      <x:c r="J194" s="2"/>
      <x:c r="K194" s="2"/>
      <x:c r="L194" s="2"/>
      <x:c r="M194" s="2"/>
      <x:c r="N194" s="11" t="str">
        <x:f>IF(A194="","",IF(AND(ISNUMBER(G194),ISNUMBER(L194),ISNUMBER(M194)),G194+(L194+M194)/1440,""))</x:f>
      </x:c>
      <x:c r="O194" s="2" t="str">
        <x:f>IF(A194="","",IF(OR(N194="",F194=""),"Dados incompletos",IF(OR(I194="pendente",I194="confirmado"),IF(K194="",0,COUNTIFS($F$2:$F$501,F194,$G$2:$G$501,"&lt;"&amp;N194,$N$2:$N$501,"&gt;"&amp;G194,$I$2:$I$501,"pendente",$K$2:$K$501,K194)+COUNTIFS($F$2:$F$501,F194,$G$2:$G$501,"&lt;"&amp;N194,$N$2:$N$501,"&gt;"&amp;G194,$I$2:$I$501,"confirmado",$K$2:$K$501,K194)-1),0)))</x:f>
      </x:c>
      <x:c r="P194" s="2" t="str">
        <x:f>IF(A194="","",IF(OR(N194="",F194=""),"Dados incompletos",IF(OR(I194="pendente",I194="confirmado"),COUNTIFS($F$2:$F$501,F194,$G$2:$G$501,"&lt;"&amp;N194,$N$2:$N$501,"&gt;"&amp;G194,$I$2:$I$501,"pendente",$E$2:$E$501,E194)+COUNTIFS($F$2:$F$501,F194,$G$2:$G$501,"&lt;"&amp;N194,$N$2:$N$501,"&gt;"&amp;G194,$I$2:$I$501,"confirmado",$E$2:$E$501,E194)-1,0)))</x:f>
      </x:c>
    </x:row>
    <x:row r="195" ht="24" customHeight="1">
      <x:c r="A195" s="17"/>
      <x:c r="B195" s="16"/>
      <x:c r="C195" s="2"/>
      <x:c r="D195" s="17"/>
      <x:c r="E195" s="2"/>
      <x:c r="F195" s="10"/>
      <x:c r="G195" s="11"/>
      <x:c r="H195" s="2"/>
      <x:c r="I195" s="7"/>
      <x:c r="J195" s="2"/>
      <x:c r="K195" s="2"/>
      <x:c r="L195" s="2"/>
      <x:c r="M195" s="2"/>
      <x:c r="N195" s="11" t="str">
        <x:f>IF(A195="","",IF(AND(ISNUMBER(G195),ISNUMBER(L195),ISNUMBER(M195)),G195+(L195+M195)/1440,""))</x:f>
      </x:c>
      <x:c r="O195" s="2" t="str">
        <x:f>IF(A195="","",IF(OR(N195="",F195=""),"Dados incompletos",IF(OR(I195="pendente",I195="confirmado"),IF(K195="",0,COUNTIFS($F$2:$F$501,F195,$G$2:$G$501,"&lt;"&amp;N195,$N$2:$N$501,"&gt;"&amp;G195,$I$2:$I$501,"pendente",$K$2:$K$501,K195)+COUNTIFS($F$2:$F$501,F195,$G$2:$G$501,"&lt;"&amp;N195,$N$2:$N$501,"&gt;"&amp;G195,$I$2:$I$501,"confirmado",$K$2:$K$501,K195)-1),0)))</x:f>
      </x:c>
      <x:c r="P195" s="2" t="str">
        <x:f>IF(A195="","",IF(OR(N195="",F195=""),"Dados incompletos",IF(OR(I195="pendente",I195="confirmado"),COUNTIFS($F$2:$F$501,F195,$G$2:$G$501,"&lt;"&amp;N195,$N$2:$N$501,"&gt;"&amp;G195,$I$2:$I$501,"pendente",$E$2:$E$501,E195)+COUNTIFS($F$2:$F$501,F195,$G$2:$G$501,"&lt;"&amp;N195,$N$2:$N$501,"&gt;"&amp;G195,$I$2:$I$501,"confirmado",$E$2:$E$501,E195)-1,0)))</x:f>
      </x:c>
    </x:row>
    <x:row r="196" ht="24" customHeight="1">
      <x:c r="A196" s="17"/>
      <x:c r="B196" s="16"/>
      <x:c r="C196" s="2"/>
      <x:c r="D196" s="17"/>
      <x:c r="E196" s="2"/>
      <x:c r="F196" s="10"/>
      <x:c r="G196" s="11"/>
      <x:c r="H196" s="2"/>
      <x:c r="I196" s="7"/>
      <x:c r="J196" s="2"/>
      <x:c r="K196" s="2"/>
      <x:c r="L196" s="2"/>
      <x:c r="M196" s="2"/>
      <x:c r="N196" s="11" t="str">
        <x:f>IF(A196="","",IF(AND(ISNUMBER(G196),ISNUMBER(L196),ISNUMBER(M196)),G196+(L196+M196)/1440,""))</x:f>
      </x:c>
      <x:c r="O196" s="2" t="str">
        <x:f>IF(A196="","",IF(OR(N196="",F196=""),"Dados incompletos",IF(OR(I196="pendente",I196="confirmado"),IF(K196="",0,COUNTIFS($F$2:$F$501,F196,$G$2:$G$501,"&lt;"&amp;N196,$N$2:$N$501,"&gt;"&amp;G196,$I$2:$I$501,"pendente",$K$2:$K$501,K196)+COUNTIFS($F$2:$F$501,F196,$G$2:$G$501,"&lt;"&amp;N196,$N$2:$N$501,"&gt;"&amp;G196,$I$2:$I$501,"confirmado",$K$2:$K$501,K196)-1),0)))</x:f>
      </x:c>
      <x:c r="P196" s="2" t="str">
        <x:f>IF(A196="","",IF(OR(N196="",F196=""),"Dados incompletos",IF(OR(I196="pendente",I196="confirmado"),COUNTIFS($F$2:$F$501,F196,$G$2:$G$501,"&lt;"&amp;N196,$N$2:$N$501,"&gt;"&amp;G196,$I$2:$I$501,"pendente",$E$2:$E$501,E196)+COUNTIFS($F$2:$F$501,F196,$G$2:$G$501,"&lt;"&amp;N196,$N$2:$N$501,"&gt;"&amp;G196,$I$2:$I$501,"confirmado",$E$2:$E$501,E196)-1,0)))</x:f>
      </x:c>
    </x:row>
    <x:row r="197" ht="24" customHeight="1">
      <x:c r="A197" s="17"/>
      <x:c r="B197" s="16"/>
      <x:c r="C197" s="2"/>
      <x:c r="D197" s="17"/>
      <x:c r="E197" s="2"/>
      <x:c r="F197" s="10"/>
      <x:c r="G197" s="11"/>
      <x:c r="H197" s="2"/>
      <x:c r="I197" s="7"/>
      <x:c r="J197" s="2"/>
      <x:c r="K197" s="2"/>
      <x:c r="L197" s="2"/>
      <x:c r="M197" s="2"/>
      <x:c r="N197" s="11" t="str">
        <x:f>IF(A197="","",IF(AND(ISNUMBER(G197),ISNUMBER(L197),ISNUMBER(M197)),G197+(L197+M197)/1440,""))</x:f>
      </x:c>
      <x:c r="O197" s="2" t="str">
        <x:f>IF(A197="","",IF(OR(N197="",F197=""),"Dados incompletos",IF(OR(I197="pendente",I197="confirmado"),IF(K197="",0,COUNTIFS($F$2:$F$501,F197,$G$2:$G$501,"&lt;"&amp;N197,$N$2:$N$501,"&gt;"&amp;G197,$I$2:$I$501,"pendente",$K$2:$K$501,K197)+COUNTIFS($F$2:$F$501,F197,$G$2:$G$501,"&lt;"&amp;N197,$N$2:$N$501,"&gt;"&amp;G197,$I$2:$I$501,"confirmado",$K$2:$K$501,K197)-1),0)))</x:f>
      </x:c>
      <x:c r="P197" s="2" t="str">
        <x:f>IF(A197="","",IF(OR(N197="",F197=""),"Dados incompletos",IF(OR(I197="pendente",I197="confirmado"),COUNTIFS($F$2:$F$501,F197,$G$2:$G$501,"&lt;"&amp;N197,$N$2:$N$501,"&gt;"&amp;G197,$I$2:$I$501,"pendente",$E$2:$E$501,E197)+COUNTIFS($F$2:$F$501,F197,$G$2:$G$501,"&lt;"&amp;N197,$N$2:$N$501,"&gt;"&amp;G197,$I$2:$I$501,"confirmado",$E$2:$E$501,E197)-1,0)))</x:f>
      </x:c>
    </x:row>
    <x:row r="198" ht="24" customHeight="1">
      <x:c r="A198" s="17"/>
      <x:c r="B198" s="16"/>
      <x:c r="C198" s="2"/>
      <x:c r="D198" s="17"/>
      <x:c r="E198" s="2"/>
      <x:c r="F198" s="10"/>
      <x:c r="G198" s="11"/>
      <x:c r="H198" s="2"/>
      <x:c r="I198" s="7"/>
      <x:c r="J198" s="2"/>
      <x:c r="K198" s="2"/>
      <x:c r="L198" s="2"/>
      <x:c r="M198" s="2"/>
      <x:c r="N198" s="11" t="str">
        <x:f>IF(A198="","",IF(AND(ISNUMBER(G198),ISNUMBER(L198),ISNUMBER(M198)),G198+(L198+M198)/1440,""))</x:f>
      </x:c>
      <x:c r="O198" s="2" t="str">
        <x:f>IF(A198="","",IF(OR(N198="",F198=""),"Dados incompletos",IF(OR(I198="pendente",I198="confirmado"),IF(K198="",0,COUNTIFS($F$2:$F$501,F198,$G$2:$G$501,"&lt;"&amp;N198,$N$2:$N$501,"&gt;"&amp;G198,$I$2:$I$501,"pendente",$K$2:$K$501,K198)+COUNTIFS($F$2:$F$501,F198,$G$2:$G$501,"&lt;"&amp;N198,$N$2:$N$501,"&gt;"&amp;G198,$I$2:$I$501,"confirmado",$K$2:$K$501,K198)-1),0)))</x:f>
      </x:c>
      <x:c r="P198" s="2" t="str">
        <x:f>IF(A198="","",IF(OR(N198="",F198=""),"Dados incompletos",IF(OR(I198="pendente",I198="confirmado"),COUNTIFS($F$2:$F$501,F198,$G$2:$G$501,"&lt;"&amp;N198,$N$2:$N$501,"&gt;"&amp;G198,$I$2:$I$501,"pendente",$E$2:$E$501,E198)+COUNTIFS($F$2:$F$501,F198,$G$2:$G$501,"&lt;"&amp;N198,$N$2:$N$501,"&gt;"&amp;G198,$I$2:$I$501,"confirmado",$E$2:$E$501,E198)-1,0)))</x:f>
      </x:c>
    </x:row>
    <x:row r="199" ht="24" customHeight="1">
      <x:c r="A199" s="17"/>
      <x:c r="B199" s="16"/>
      <x:c r="C199" s="2"/>
      <x:c r="D199" s="17"/>
      <x:c r="E199" s="2"/>
      <x:c r="F199" s="10"/>
      <x:c r="G199" s="11"/>
      <x:c r="H199" s="2"/>
      <x:c r="I199" s="7"/>
      <x:c r="J199" s="2"/>
      <x:c r="K199" s="2"/>
      <x:c r="L199" s="2"/>
      <x:c r="M199" s="2"/>
      <x:c r="N199" s="11" t="str">
        <x:f>IF(A199="","",IF(AND(ISNUMBER(G199),ISNUMBER(L199),ISNUMBER(M199)),G199+(L199+M199)/1440,""))</x:f>
      </x:c>
      <x:c r="O199" s="2" t="str">
        <x:f>IF(A199="","",IF(OR(N199="",F199=""),"Dados incompletos",IF(OR(I199="pendente",I199="confirmado"),IF(K199="",0,COUNTIFS($F$2:$F$501,F199,$G$2:$G$501,"&lt;"&amp;N199,$N$2:$N$501,"&gt;"&amp;G199,$I$2:$I$501,"pendente",$K$2:$K$501,K199)+COUNTIFS($F$2:$F$501,F199,$G$2:$G$501,"&lt;"&amp;N199,$N$2:$N$501,"&gt;"&amp;G199,$I$2:$I$501,"confirmado",$K$2:$K$501,K199)-1),0)))</x:f>
      </x:c>
      <x:c r="P199" s="2" t="str">
        <x:f>IF(A199="","",IF(OR(N199="",F199=""),"Dados incompletos",IF(OR(I199="pendente",I199="confirmado"),COUNTIFS($F$2:$F$501,F199,$G$2:$G$501,"&lt;"&amp;N199,$N$2:$N$501,"&gt;"&amp;G199,$I$2:$I$501,"pendente",$E$2:$E$501,E199)+COUNTIFS($F$2:$F$501,F199,$G$2:$G$501,"&lt;"&amp;N199,$N$2:$N$501,"&gt;"&amp;G199,$I$2:$I$501,"confirmado",$E$2:$E$501,E199)-1,0)))</x:f>
      </x:c>
    </x:row>
    <x:row r="200" ht="24" customHeight="1">
      <x:c r="A200" s="17"/>
      <x:c r="B200" s="16"/>
      <x:c r="C200" s="2"/>
      <x:c r="D200" s="17"/>
      <x:c r="E200" s="2"/>
      <x:c r="F200" s="10"/>
      <x:c r="G200" s="11"/>
      <x:c r="H200" s="2"/>
      <x:c r="I200" s="7"/>
      <x:c r="J200" s="2"/>
      <x:c r="K200" s="2"/>
      <x:c r="L200" s="2"/>
      <x:c r="M200" s="2"/>
      <x:c r="N200" s="11" t="str">
        <x:f>IF(A200="","",IF(AND(ISNUMBER(G200),ISNUMBER(L200),ISNUMBER(M200)),G200+(L200+M200)/1440,""))</x:f>
      </x:c>
      <x:c r="O200" s="2" t="str">
        <x:f>IF(A200="","",IF(OR(N200="",F200=""),"Dados incompletos",IF(OR(I200="pendente",I200="confirmado"),IF(K200="",0,COUNTIFS($F$2:$F$501,F200,$G$2:$G$501,"&lt;"&amp;N200,$N$2:$N$501,"&gt;"&amp;G200,$I$2:$I$501,"pendente",$K$2:$K$501,K200)+COUNTIFS($F$2:$F$501,F200,$G$2:$G$501,"&lt;"&amp;N200,$N$2:$N$501,"&gt;"&amp;G200,$I$2:$I$501,"confirmado",$K$2:$K$501,K200)-1),0)))</x:f>
      </x:c>
      <x:c r="P200" s="2" t="str">
        <x:f>IF(A200="","",IF(OR(N200="",F200=""),"Dados incompletos",IF(OR(I200="pendente",I200="confirmado"),COUNTIFS($F$2:$F$501,F200,$G$2:$G$501,"&lt;"&amp;N200,$N$2:$N$501,"&gt;"&amp;G200,$I$2:$I$501,"pendente",$E$2:$E$501,E200)+COUNTIFS($F$2:$F$501,F200,$G$2:$G$501,"&lt;"&amp;N200,$N$2:$N$501,"&gt;"&amp;G200,$I$2:$I$501,"confirmado",$E$2:$E$501,E200)-1,0)))</x:f>
      </x:c>
    </x:row>
    <x:row r="201" ht="24" customHeight="1">
      <x:c r="A201" s="17"/>
      <x:c r="B201" s="16"/>
      <x:c r="C201" s="2"/>
      <x:c r="D201" s="17"/>
      <x:c r="E201" s="2"/>
      <x:c r="F201" s="10"/>
      <x:c r="G201" s="11"/>
      <x:c r="H201" s="2"/>
      <x:c r="I201" s="7"/>
      <x:c r="J201" s="2"/>
      <x:c r="K201" s="2"/>
      <x:c r="L201" s="2"/>
      <x:c r="M201" s="2"/>
      <x:c r="N201" s="11" t="str">
        <x:f>IF(A201="","",IF(AND(ISNUMBER(G201),ISNUMBER(L201),ISNUMBER(M201)),G201+(L201+M201)/1440,""))</x:f>
      </x:c>
      <x:c r="O201" s="2" t="str">
        <x:f>IF(A201="","",IF(OR(N201="",F201=""),"Dados incompletos",IF(OR(I201="pendente",I201="confirmado"),IF(K201="",0,COUNTIFS($F$2:$F$501,F201,$G$2:$G$501,"&lt;"&amp;N201,$N$2:$N$501,"&gt;"&amp;G201,$I$2:$I$501,"pendente",$K$2:$K$501,K201)+COUNTIFS($F$2:$F$501,F201,$G$2:$G$501,"&lt;"&amp;N201,$N$2:$N$501,"&gt;"&amp;G201,$I$2:$I$501,"confirmado",$K$2:$K$501,K201)-1),0)))</x:f>
      </x:c>
      <x:c r="P201" s="2" t="str">
        <x:f>IF(A201="","",IF(OR(N201="",F201=""),"Dados incompletos",IF(OR(I201="pendente",I201="confirmado"),COUNTIFS($F$2:$F$501,F201,$G$2:$G$501,"&lt;"&amp;N201,$N$2:$N$501,"&gt;"&amp;G201,$I$2:$I$501,"pendente",$E$2:$E$501,E201)+COUNTIFS($F$2:$F$501,F201,$G$2:$G$501,"&lt;"&amp;N201,$N$2:$N$501,"&gt;"&amp;G201,$I$2:$I$501,"confirmado",$E$2:$E$501,E201)-1,0)))</x:f>
      </x:c>
    </x:row>
    <x:row r="202" ht="24" customHeight="1">
      <x:c r="A202" s="17"/>
      <x:c r="B202" s="16"/>
      <x:c r="C202" s="2"/>
      <x:c r="D202" s="17"/>
      <x:c r="E202" s="2"/>
      <x:c r="F202" s="10"/>
      <x:c r="G202" s="11"/>
      <x:c r="H202" s="2"/>
      <x:c r="I202" s="7"/>
      <x:c r="J202" s="2"/>
      <x:c r="K202" s="2"/>
      <x:c r="L202" s="2"/>
      <x:c r="M202" s="2"/>
      <x:c r="N202" s="11" t="str">
        <x:f>IF(A202="","",IF(AND(ISNUMBER(G202),ISNUMBER(L202),ISNUMBER(M202)),G202+(L202+M202)/1440,""))</x:f>
      </x:c>
      <x:c r="O202" s="2" t="str">
        <x:f>IF(A202="","",IF(OR(N202="",F202=""),"Dados incompletos",IF(OR(I202="pendente",I202="confirmado"),IF(K202="",0,COUNTIFS($F$2:$F$501,F202,$G$2:$G$501,"&lt;"&amp;N202,$N$2:$N$501,"&gt;"&amp;G202,$I$2:$I$501,"pendente",$K$2:$K$501,K202)+COUNTIFS($F$2:$F$501,F202,$G$2:$G$501,"&lt;"&amp;N202,$N$2:$N$501,"&gt;"&amp;G202,$I$2:$I$501,"confirmado",$K$2:$K$501,K202)-1),0)))</x:f>
      </x:c>
      <x:c r="P202" s="2" t="str">
        <x:f>IF(A202="","",IF(OR(N202="",F202=""),"Dados incompletos",IF(OR(I202="pendente",I202="confirmado"),COUNTIFS($F$2:$F$501,F202,$G$2:$G$501,"&lt;"&amp;N202,$N$2:$N$501,"&gt;"&amp;G202,$I$2:$I$501,"pendente",$E$2:$E$501,E202)+COUNTIFS($F$2:$F$501,F202,$G$2:$G$501,"&lt;"&amp;N202,$N$2:$N$501,"&gt;"&amp;G202,$I$2:$I$501,"confirmado",$E$2:$E$501,E202)-1,0)))</x:f>
      </x:c>
    </x:row>
    <x:row r="203" ht="24" customHeight="1">
      <x:c r="A203" s="17"/>
      <x:c r="B203" s="16"/>
      <x:c r="C203" s="2"/>
      <x:c r="D203" s="17"/>
      <x:c r="E203" s="2"/>
      <x:c r="F203" s="10"/>
      <x:c r="G203" s="11"/>
      <x:c r="H203" s="2"/>
      <x:c r="I203" s="7"/>
      <x:c r="J203" s="2"/>
      <x:c r="K203" s="2"/>
      <x:c r="L203" s="2"/>
      <x:c r="M203" s="2"/>
      <x:c r="N203" s="11" t="str">
        <x:f>IF(A203="","",IF(AND(ISNUMBER(G203),ISNUMBER(L203),ISNUMBER(M203)),G203+(L203+M203)/1440,""))</x:f>
      </x:c>
      <x:c r="O203" s="2" t="str">
        <x:f>IF(A203="","",IF(OR(N203="",F203=""),"Dados incompletos",IF(OR(I203="pendente",I203="confirmado"),IF(K203="",0,COUNTIFS($F$2:$F$501,F203,$G$2:$G$501,"&lt;"&amp;N203,$N$2:$N$501,"&gt;"&amp;G203,$I$2:$I$501,"pendente",$K$2:$K$501,K203)+COUNTIFS($F$2:$F$501,F203,$G$2:$G$501,"&lt;"&amp;N203,$N$2:$N$501,"&gt;"&amp;G203,$I$2:$I$501,"confirmado",$K$2:$K$501,K203)-1),0)))</x:f>
      </x:c>
      <x:c r="P203" s="2" t="str">
        <x:f>IF(A203="","",IF(OR(N203="",F203=""),"Dados incompletos",IF(OR(I203="pendente",I203="confirmado"),COUNTIFS($F$2:$F$501,F203,$G$2:$G$501,"&lt;"&amp;N203,$N$2:$N$501,"&gt;"&amp;G203,$I$2:$I$501,"pendente",$E$2:$E$501,E203)+COUNTIFS($F$2:$F$501,F203,$G$2:$G$501,"&lt;"&amp;N203,$N$2:$N$501,"&gt;"&amp;G203,$I$2:$I$501,"confirmado",$E$2:$E$501,E203)-1,0)))</x:f>
      </x:c>
    </x:row>
    <x:row r="204" ht="24" customHeight="1">
      <x:c r="A204" s="17"/>
      <x:c r="B204" s="16"/>
      <x:c r="C204" s="2"/>
      <x:c r="D204" s="17"/>
      <x:c r="E204" s="2"/>
      <x:c r="F204" s="10"/>
      <x:c r="G204" s="11"/>
      <x:c r="H204" s="2"/>
      <x:c r="I204" s="7"/>
      <x:c r="J204" s="2"/>
      <x:c r="K204" s="2"/>
      <x:c r="L204" s="2"/>
      <x:c r="M204" s="2"/>
      <x:c r="N204" s="11" t="str">
        <x:f>IF(A204="","",IF(AND(ISNUMBER(G204),ISNUMBER(L204),ISNUMBER(M204)),G204+(L204+M204)/1440,""))</x:f>
      </x:c>
      <x:c r="O204" s="2" t="str">
        <x:f>IF(A204="","",IF(OR(N204="",F204=""),"Dados incompletos",IF(OR(I204="pendente",I204="confirmado"),IF(K204="",0,COUNTIFS($F$2:$F$501,F204,$G$2:$G$501,"&lt;"&amp;N204,$N$2:$N$501,"&gt;"&amp;G204,$I$2:$I$501,"pendente",$K$2:$K$501,K204)+COUNTIFS($F$2:$F$501,F204,$G$2:$G$501,"&lt;"&amp;N204,$N$2:$N$501,"&gt;"&amp;G204,$I$2:$I$501,"confirmado",$K$2:$K$501,K204)-1),0)))</x:f>
      </x:c>
      <x:c r="P204" s="2" t="str">
        <x:f>IF(A204="","",IF(OR(N204="",F204=""),"Dados incompletos",IF(OR(I204="pendente",I204="confirmado"),COUNTIFS($F$2:$F$501,F204,$G$2:$G$501,"&lt;"&amp;N204,$N$2:$N$501,"&gt;"&amp;G204,$I$2:$I$501,"pendente",$E$2:$E$501,E204)+COUNTIFS($F$2:$F$501,F204,$G$2:$G$501,"&lt;"&amp;N204,$N$2:$N$501,"&gt;"&amp;G204,$I$2:$I$501,"confirmado",$E$2:$E$501,E204)-1,0)))</x:f>
      </x:c>
    </x:row>
    <x:row r="205" ht="24" customHeight="1">
      <x:c r="A205" s="17"/>
      <x:c r="B205" s="16"/>
      <x:c r="C205" s="2"/>
      <x:c r="D205" s="17"/>
      <x:c r="E205" s="2"/>
      <x:c r="F205" s="10"/>
      <x:c r="G205" s="11"/>
      <x:c r="H205" s="2"/>
      <x:c r="I205" s="7"/>
      <x:c r="J205" s="2"/>
      <x:c r="K205" s="2"/>
      <x:c r="L205" s="2"/>
      <x:c r="M205" s="2"/>
      <x:c r="N205" s="11" t="str">
        <x:f>IF(A205="","",IF(AND(ISNUMBER(G205),ISNUMBER(L205),ISNUMBER(M205)),G205+(L205+M205)/1440,""))</x:f>
      </x:c>
      <x:c r="O205" s="2" t="str">
        <x:f>IF(A205="","",IF(OR(N205="",F205=""),"Dados incompletos",IF(OR(I205="pendente",I205="confirmado"),IF(K205="",0,COUNTIFS($F$2:$F$501,F205,$G$2:$G$501,"&lt;"&amp;N205,$N$2:$N$501,"&gt;"&amp;G205,$I$2:$I$501,"pendente",$K$2:$K$501,K205)+COUNTIFS($F$2:$F$501,F205,$G$2:$G$501,"&lt;"&amp;N205,$N$2:$N$501,"&gt;"&amp;G205,$I$2:$I$501,"confirmado",$K$2:$K$501,K205)-1),0)))</x:f>
      </x:c>
      <x:c r="P205" s="2" t="str">
        <x:f>IF(A205="","",IF(OR(N205="",F205=""),"Dados incompletos",IF(OR(I205="pendente",I205="confirmado"),COUNTIFS($F$2:$F$501,F205,$G$2:$G$501,"&lt;"&amp;N205,$N$2:$N$501,"&gt;"&amp;G205,$I$2:$I$501,"pendente",$E$2:$E$501,E205)+COUNTIFS($F$2:$F$501,F205,$G$2:$G$501,"&lt;"&amp;N205,$N$2:$N$501,"&gt;"&amp;G205,$I$2:$I$501,"confirmado",$E$2:$E$501,E205)-1,0)))</x:f>
      </x:c>
    </x:row>
    <x:row r="206" ht="24" customHeight="1">
      <x:c r="A206" s="17"/>
      <x:c r="B206" s="16"/>
      <x:c r="C206" s="2"/>
      <x:c r="D206" s="17"/>
      <x:c r="E206" s="2"/>
      <x:c r="F206" s="10"/>
      <x:c r="G206" s="11"/>
      <x:c r="H206" s="2"/>
      <x:c r="I206" s="7"/>
      <x:c r="J206" s="2"/>
      <x:c r="K206" s="2"/>
      <x:c r="L206" s="2"/>
      <x:c r="M206" s="2"/>
      <x:c r="N206" s="11" t="str">
        <x:f>IF(A206="","",IF(AND(ISNUMBER(G206),ISNUMBER(L206),ISNUMBER(M206)),G206+(L206+M206)/1440,""))</x:f>
      </x:c>
      <x:c r="O206" s="2" t="str">
        <x:f>IF(A206="","",IF(OR(N206="",F206=""),"Dados incompletos",IF(OR(I206="pendente",I206="confirmado"),IF(K206="",0,COUNTIFS($F$2:$F$501,F206,$G$2:$G$501,"&lt;"&amp;N206,$N$2:$N$501,"&gt;"&amp;G206,$I$2:$I$501,"pendente",$K$2:$K$501,K206)+COUNTIFS($F$2:$F$501,F206,$G$2:$G$501,"&lt;"&amp;N206,$N$2:$N$501,"&gt;"&amp;G206,$I$2:$I$501,"confirmado",$K$2:$K$501,K206)-1),0)))</x:f>
      </x:c>
      <x:c r="P206" s="2" t="str">
        <x:f>IF(A206="","",IF(OR(N206="",F206=""),"Dados incompletos",IF(OR(I206="pendente",I206="confirmado"),COUNTIFS($F$2:$F$501,F206,$G$2:$G$501,"&lt;"&amp;N206,$N$2:$N$501,"&gt;"&amp;G206,$I$2:$I$501,"pendente",$E$2:$E$501,E206)+COUNTIFS($F$2:$F$501,F206,$G$2:$G$501,"&lt;"&amp;N206,$N$2:$N$501,"&gt;"&amp;G206,$I$2:$I$501,"confirmado",$E$2:$E$501,E206)-1,0)))</x:f>
      </x:c>
    </x:row>
    <x:row r="207" ht="24" customHeight="1">
      <x:c r="A207" s="17"/>
      <x:c r="B207" s="16"/>
      <x:c r="C207" s="2"/>
      <x:c r="D207" s="17"/>
      <x:c r="E207" s="2"/>
      <x:c r="F207" s="10"/>
      <x:c r="G207" s="11"/>
      <x:c r="H207" s="2"/>
      <x:c r="I207" s="7"/>
      <x:c r="J207" s="2"/>
      <x:c r="K207" s="2"/>
      <x:c r="L207" s="2"/>
      <x:c r="M207" s="2"/>
      <x:c r="N207" s="11" t="str">
        <x:f>IF(A207="","",IF(AND(ISNUMBER(G207),ISNUMBER(L207),ISNUMBER(M207)),G207+(L207+M207)/1440,""))</x:f>
      </x:c>
      <x:c r="O207" s="2" t="str">
        <x:f>IF(A207="","",IF(OR(N207="",F207=""),"Dados incompletos",IF(OR(I207="pendente",I207="confirmado"),IF(K207="",0,COUNTIFS($F$2:$F$501,F207,$G$2:$G$501,"&lt;"&amp;N207,$N$2:$N$501,"&gt;"&amp;G207,$I$2:$I$501,"pendente",$K$2:$K$501,K207)+COUNTIFS($F$2:$F$501,F207,$G$2:$G$501,"&lt;"&amp;N207,$N$2:$N$501,"&gt;"&amp;G207,$I$2:$I$501,"confirmado",$K$2:$K$501,K207)-1),0)))</x:f>
      </x:c>
      <x:c r="P207" s="2" t="str">
        <x:f>IF(A207="","",IF(OR(N207="",F207=""),"Dados incompletos",IF(OR(I207="pendente",I207="confirmado"),COUNTIFS($F$2:$F$501,F207,$G$2:$G$501,"&lt;"&amp;N207,$N$2:$N$501,"&gt;"&amp;G207,$I$2:$I$501,"pendente",$E$2:$E$501,E207)+COUNTIFS($F$2:$F$501,F207,$G$2:$G$501,"&lt;"&amp;N207,$N$2:$N$501,"&gt;"&amp;G207,$I$2:$I$501,"confirmado",$E$2:$E$501,E207)-1,0)))</x:f>
      </x:c>
    </x:row>
    <x:row r="208" ht="24" customHeight="1">
      <x:c r="A208" s="17"/>
      <x:c r="B208" s="16"/>
      <x:c r="C208" s="2"/>
      <x:c r="D208" s="17"/>
      <x:c r="E208" s="2"/>
      <x:c r="F208" s="10"/>
      <x:c r="G208" s="11"/>
      <x:c r="H208" s="2"/>
      <x:c r="I208" s="7"/>
      <x:c r="J208" s="2"/>
      <x:c r="K208" s="2"/>
      <x:c r="L208" s="2"/>
      <x:c r="M208" s="2"/>
      <x:c r="N208" s="11" t="str">
        <x:f>IF(A208="","",IF(AND(ISNUMBER(G208),ISNUMBER(L208),ISNUMBER(M208)),G208+(L208+M208)/1440,""))</x:f>
      </x:c>
      <x:c r="O208" s="2" t="str">
        <x:f>IF(A208="","",IF(OR(N208="",F208=""),"Dados incompletos",IF(OR(I208="pendente",I208="confirmado"),IF(K208="",0,COUNTIFS($F$2:$F$501,F208,$G$2:$G$501,"&lt;"&amp;N208,$N$2:$N$501,"&gt;"&amp;G208,$I$2:$I$501,"pendente",$K$2:$K$501,K208)+COUNTIFS($F$2:$F$501,F208,$G$2:$G$501,"&lt;"&amp;N208,$N$2:$N$501,"&gt;"&amp;G208,$I$2:$I$501,"confirmado",$K$2:$K$501,K208)-1),0)))</x:f>
      </x:c>
      <x:c r="P208" s="2" t="str">
        <x:f>IF(A208="","",IF(OR(N208="",F208=""),"Dados incompletos",IF(OR(I208="pendente",I208="confirmado"),COUNTIFS($F$2:$F$501,F208,$G$2:$G$501,"&lt;"&amp;N208,$N$2:$N$501,"&gt;"&amp;G208,$I$2:$I$501,"pendente",$E$2:$E$501,E208)+COUNTIFS($F$2:$F$501,F208,$G$2:$G$501,"&lt;"&amp;N208,$N$2:$N$501,"&gt;"&amp;G208,$I$2:$I$501,"confirmado",$E$2:$E$501,E208)-1,0)))</x:f>
      </x:c>
    </x:row>
    <x:row r="209" ht="24" customHeight="1">
      <x:c r="A209" s="17"/>
      <x:c r="B209" s="16"/>
      <x:c r="C209" s="2"/>
      <x:c r="D209" s="17"/>
      <x:c r="E209" s="2"/>
      <x:c r="F209" s="10"/>
      <x:c r="G209" s="11"/>
      <x:c r="H209" s="2"/>
      <x:c r="I209" s="7"/>
      <x:c r="J209" s="2"/>
      <x:c r="K209" s="2"/>
      <x:c r="L209" s="2"/>
      <x:c r="M209" s="2"/>
      <x:c r="N209" s="11" t="str">
        <x:f>IF(A209="","",IF(AND(ISNUMBER(G209),ISNUMBER(L209),ISNUMBER(M209)),G209+(L209+M209)/1440,""))</x:f>
      </x:c>
      <x:c r="O209" s="2" t="str">
        <x:f>IF(A209="","",IF(OR(N209="",F209=""),"Dados incompletos",IF(OR(I209="pendente",I209="confirmado"),IF(K209="",0,COUNTIFS($F$2:$F$501,F209,$G$2:$G$501,"&lt;"&amp;N209,$N$2:$N$501,"&gt;"&amp;G209,$I$2:$I$501,"pendente",$K$2:$K$501,K209)+COUNTIFS($F$2:$F$501,F209,$G$2:$G$501,"&lt;"&amp;N209,$N$2:$N$501,"&gt;"&amp;G209,$I$2:$I$501,"confirmado",$K$2:$K$501,K209)-1),0)))</x:f>
      </x:c>
      <x:c r="P209" s="2" t="str">
        <x:f>IF(A209="","",IF(OR(N209="",F209=""),"Dados incompletos",IF(OR(I209="pendente",I209="confirmado"),COUNTIFS($F$2:$F$501,F209,$G$2:$G$501,"&lt;"&amp;N209,$N$2:$N$501,"&gt;"&amp;G209,$I$2:$I$501,"pendente",$E$2:$E$501,E209)+COUNTIFS($F$2:$F$501,F209,$G$2:$G$501,"&lt;"&amp;N209,$N$2:$N$501,"&gt;"&amp;G209,$I$2:$I$501,"confirmado",$E$2:$E$501,E209)-1,0)))</x:f>
      </x:c>
    </x:row>
    <x:row r="210" ht="24" customHeight="1">
      <x:c r="A210" s="17"/>
      <x:c r="B210" s="16"/>
      <x:c r="C210" s="2"/>
      <x:c r="D210" s="17"/>
      <x:c r="E210" s="2"/>
      <x:c r="F210" s="10"/>
      <x:c r="G210" s="11"/>
      <x:c r="H210" s="2"/>
      <x:c r="I210" s="7"/>
      <x:c r="J210" s="2"/>
      <x:c r="K210" s="2"/>
      <x:c r="L210" s="2"/>
      <x:c r="M210" s="2"/>
      <x:c r="N210" s="11" t="str">
        <x:f>IF(A210="","",IF(AND(ISNUMBER(G210),ISNUMBER(L210),ISNUMBER(M210)),G210+(L210+M210)/1440,""))</x:f>
      </x:c>
      <x:c r="O210" s="2" t="str">
        <x:f>IF(A210="","",IF(OR(N210="",F210=""),"Dados incompletos",IF(OR(I210="pendente",I210="confirmado"),IF(K210="",0,COUNTIFS($F$2:$F$501,F210,$G$2:$G$501,"&lt;"&amp;N210,$N$2:$N$501,"&gt;"&amp;G210,$I$2:$I$501,"pendente",$K$2:$K$501,K210)+COUNTIFS($F$2:$F$501,F210,$G$2:$G$501,"&lt;"&amp;N210,$N$2:$N$501,"&gt;"&amp;G210,$I$2:$I$501,"confirmado",$K$2:$K$501,K210)-1),0)))</x:f>
      </x:c>
      <x:c r="P210" s="2" t="str">
        <x:f>IF(A210="","",IF(OR(N210="",F210=""),"Dados incompletos",IF(OR(I210="pendente",I210="confirmado"),COUNTIFS($F$2:$F$501,F210,$G$2:$G$501,"&lt;"&amp;N210,$N$2:$N$501,"&gt;"&amp;G210,$I$2:$I$501,"pendente",$E$2:$E$501,E210)+COUNTIFS($F$2:$F$501,F210,$G$2:$G$501,"&lt;"&amp;N210,$N$2:$N$501,"&gt;"&amp;G210,$I$2:$I$501,"confirmado",$E$2:$E$501,E210)-1,0)))</x:f>
      </x:c>
    </x:row>
    <x:row r="211" ht="24" customHeight="1">
      <x:c r="A211" s="17"/>
      <x:c r="B211" s="16"/>
      <x:c r="C211" s="2"/>
      <x:c r="D211" s="17"/>
      <x:c r="E211" s="2"/>
      <x:c r="F211" s="10"/>
      <x:c r="G211" s="11"/>
      <x:c r="H211" s="2"/>
      <x:c r="I211" s="7"/>
      <x:c r="J211" s="2"/>
      <x:c r="K211" s="2"/>
      <x:c r="L211" s="2"/>
      <x:c r="M211" s="2"/>
      <x:c r="N211" s="11" t="str">
        <x:f>IF(A211="","",IF(AND(ISNUMBER(G211),ISNUMBER(L211),ISNUMBER(M211)),G211+(L211+M211)/1440,""))</x:f>
      </x:c>
      <x:c r="O211" s="2" t="str">
        <x:f>IF(A211="","",IF(OR(N211="",F211=""),"Dados incompletos",IF(OR(I211="pendente",I211="confirmado"),IF(K211="",0,COUNTIFS($F$2:$F$501,F211,$G$2:$G$501,"&lt;"&amp;N211,$N$2:$N$501,"&gt;"&amp;G211,$I$2:$I$501,"pendente",$K$2:$K$501,K211)+COUNTIFS($F$2:$F$501,F211,$G$2:$G$501,"&lt;"&amp;N211,$N$2:$N$501,"&gt;"&amp;G211,$I$2:$I$501,"confirmado",$K$2:$K$501,K211)-1),0)))</x:f>
      </x:c>
      <x:c r="P211" s="2" t="str">
        <x:f>IF(A211="","",IF(OR(N211="",F211=""),"Dados incompletos",IF(OR(I211="pendente",I211="confirmado"),COUNTIFS($F$2:$F$501,F211,$G$2:$G$501,"&lt;"&amp;N211,$N$2:$N$501,"&gt;"&amp;G211,$I$2:$I$501,"pendente",$E$2:$E$501,E211)+COUNTIFS($F$2:$F$501,F211,$G$2:$G$501,"&lt;"&amp;N211,$N$2:$N$501,"&gt;"&amp;G211,$I$2:$I$501,"confirmado",$E$2:$E$501,E211)-1,0)))</x:f>
      </x:c>
    </x:row>
    <x:row r="212" ht="24" customHeight="1">
      <x:c r="A212" s="17"/>
      <x:c r="B212" s="16"/>
      <x:c r="C212" s="2"/>
      <x:c r="D212" s="17"/>
      <x:c r="E212" s="2"/>
      <x:c r="F212" s="10"/>
      <x:c r="G212" s="11"/>
      <x:c r="H212" s="2"/>
      <x:c r="I212" s="7"/>
      <x:c r="J212" s="2"/>
      <x:c r="K212" s="2"/>
      <x:c r="L212" s="2"/>
      <x:c r="M212" s="2"/>
      <x:c r="N212" s="11" t="str">
        <x:f>IF(A212="","",IF(AND(ISNUMBER(G212),ISNUMBER(L212),ISNUMBER(M212)),G212+(L212+M212)/1440,""))</x:f>
      </x:c>
      <x:c r="O212" s="2" t="str">
        <x:f>IF(A212="","",IF(OR(N212="",F212=""),"Dados incompletos",IF(OR(I212="pendente",I212="confirmado"),IF(K212="",0,COUNTIFS($F$2:$F$501,F212,$G$2:$G$501,"&lt;"&amp;N212,$N$2:$N$501,"&gt;"&amp;G212,$I$2:$I$501,"pendente",$K$2:$K$501,K212)+COUNTIFS($F$2:$F$501,F212,$G$2:$G$501,"&lt;"&amp;N212,$N$2:$N$501,"&gt;"&amp;G212,$I$2:$I$501,"confirmado",$K$2:$K$501,K212)-1),0)))</x:f>
      </x:c>
      <x:c r="P212" s="2" t="str">
        <x:f>IF(A212="","",IF(OR(N212="",F212=""),"Dados incompletos",IF(OR(I212="pendente",I212="confirmado"),COUNTIFS($F$2:$F$501,F212,$G$2:$G$501,"&lt;"&amp;N212,$N$2:$N$501,"&gt;"&amp;G212,$I$2:$I$501,"pendente",$E$2:$E$501,E212)+COUNTIFS($F$2:$F$501,F212,$G$2:$G$501,"&lt;"&amp;N212,$N$2:$N$501,"&gt;"&amp;G212,$I$2:$I$501,"confirmado",$E$2:$E$501,E212)-1,0)))</x:f>
      </x:c>
    </x:row>
    <x:row r="213" ht="24" customHeight="1">
      <x:c r="A213" s="17"/>
      <x:c r="B213" s="16"/>
      <x:c r="C213" s="2"/>
      <x:c r="D213" s="17"/>
      <x:c r="E213" s="2"/>
      <x:c r="F213" s="10"/>
      <x:c r="G213" s="11"/>
      <x:c r="H213" s="2"/>
      <x:c r="I213" s="7"/>
      <x:c r="J213" s="2"/>
      <x:c r="K213" s="2"/>
      <x:c r="L213" s="2"/>
      <x:c r="M213" s="2"/>
      <x:c r="N213" s="11" t="str">
        <x:f>IF(A213="","",IF(AND(ISNUMBER(G213),ISNUMBER(L213),ISNUMBER(M213)),G213+(L213+M213)/1440,""))</x:f>
      </x:c>
      <x:c r="O213" s="2" t="str">
        <x:f>IF(A213="","",IF(OR(N213="",F213=""),"Dados incompletos",IF(OR(I213="pendente",I213="confirmado"),IF(K213="",0,COUNTIFS($F$2:$F$501,F213,$G$2:$G$501,"&lt;"&amp;N213,$N$2:$N$501,"&gt;"&amp;G213,$I$2:$I$501,"pendente",$K$2:$K$501,K213)+COUNTIFS($F$2:$F$501,F213,$G$2:$G$501,"&lt;"&amp;N213,$N$2:$N$501,"&gt;"&amp;G213,$I$2:$I$501,"confirmado",$K$2:$K$501,K213)-1),0)))</x:f>
      </x:c>
      <x:c r="P213" s="2" t="str">
        <x:f>IF(A213="","",IF(OR(N213="",F213=""),"Dados incompletos",IF(OR(I213="pendente",I213="confirmado"),COUNTIFS($F$2:$F$501,F213,$G$2:$G$501,"&lt;"&amp;N213,$N$2:$N$501,"&gt;"&amp;G213,$I$2:$I$501,"pendente",$E$2:$E$501,E213)+COUNTIFS($F$2:$F$501,F213,$G$2:$G$501,"&lt;"&amp;N213,$N$2:$N$501,"&gt;"&amp;G213,$I$2:$I$501,"confirmado",$E$2:$E$501,E213)-1,0)))</x:f>
      </x:c>
    </x:row>
    <x:row r="214" ht="24" customHeight="1">
      <x:c r="A214" s="17"/>
      <x:c r="B214" s="16"/>
      <x:c r="C214" s="2"/>
      <x:c r="D214" s="17"/>
      <x:c r="E214" s="2"/>
      <x:c r="F214" s="10"/>
      <x:c r="G214" s="11"/>
      <x:c r="H214" s="2"/>
      <x:c r="I214" s="7"/>
      <x:c r="J214" s="2"/>
      <x:c r="K214" s="2"/>
      <x:c r="L214" s="2"/>
      <x:c r="M214" s="2"/>
      <x:c r="N214" s="11" t="str">
        <x:f>IF(A214="","",IF(AND(ISNUMBER(G214),ISNUMBER(L214),ISNUMBER(M214)),G214+(L214+M214)/1440,""))</x:f>
      </x:c>
      <x:c r="O214" s="2" t="str">
        <x:f>IF(A214="","",IF(OR(N214="",F214=""),"Dados incompletos",IF(OR(I214="pendente",I214="confirmado"),IF(K214="",0,COUNTIFS($F$2:$F$501,F214,$G$2:$G$501,"&lt;"&amp;N214,$N$2:$N$501,"&gt;"&amp;G214,$I$2:$I$501,"pendente",$K$2:$K$501,K214)+COUNTIFS($F$2:$F$501,F214,$G$2:$G$501,"&lt;"&amp;N214,$N$2:$N$501,"&gt;"&amp;G214,$I$2:$I$501,"confirmado",$K$2:$K$501,K214)-1),0)))</x:f>
      </x:c>
      <x:c r="P214" s="2" t="str">
        <x:f>IF(A214="","",IF(OR(N214="",F214=""),"Dados incompletos",IF(OR(I214="pendente",I214="confirmado"),COUNTIFS($F$2:$F$501,F214,$G$2:$G$501,"&lt;"&amp;N214,$N$2:$N$501,"&gt;"&amp;G214,$I$2:$I$501,"pendente",$E$2:$E$501,E214)+COUNTIFS($F$2:$F$501,F214,$G$2:$G$501,"&lt;"&amp;N214,$N$2:$N$501,"&gt;"&amp;G214,$I$2:$I$501,"confirmado",$E$2:$E$501,E214)-1,0)))</x:f>
      </x:c>
    </x:row>
    <x:row r="215" ht="24" customHeight="1">
      <x:c r="A215" s="17"/>
      <x:c r="B215" s="16"/>
      <x:c r="C215" s="2"/>
      <x:c r="D215" s="17"/>
      <x:c r="E215" s="2"/>
      <x:c r="F215" s="10"/>
      <x:c r="G215" s="11"/>
      <x:c r="H215" s="2"/>
      <x:c r="I215" s="7"/>
      <x:c r="J215" s="2"/>
      <x:c r="K215" s="2"/>
      <x:c r="L215" s="2"/>
      <x:c r="M215" s="2"/>
      <x:c r="N215" s="11" t="str">
        <x:f>IF(A215="","",IF(AND(ISNUMBER(G215),ISNUMBER(L215),ISNUMBER(M215)),G215+(L215+M215)/1440,""))</x:f>
      </x:c>
      <x:c r="O215" s="2" t="str">
        <x:f>IF(A215="","",IF(OR(N215="",F215=""),"Dados incompletos",IF(OR(I215="pendente",I215="confirmado"),IF(K215="",0,COUNTIFS($F$2:$F$501,F215,$G$2:$G$501,"&lt;"&amp;N215,$N$2:$N$501,"&gt;"&amp;G215,$I$2:$I$501,"pendente",$K$2:$K$501,K215)+COUNTIFS($F$2:$F$501,F215,$G$2:$G$501,"&lt;"&amp;N215,$N$2:$N$501,"&gt;"&amp;G215,$I$2:$I$501,"confirmado",$K$2:$K$501,K215)-1),0)))</x:f>
      </x:c>
      <x:c r="P215" s="2" t="str">
        <x:f>IF(A215="","",IF(OR(N215="",F215=""),"Dados incompletos",IF(OR(I215="pendente",I215="confirmado"),COUNTIFS($F$2:$F$501,F215,$G$2:$G$501,"&lt;"&amp;N215,$N$2:$N$501,"&gt;"&amp;G215,$I$2:$I$501,"pendente",$E$2:$E$501,E215)+COUNTIFS($F$2:$F$501,F215,$G$2:$G$501,"&lt;"&amp;N215,$N$2:$N$501,"&gt;"&amp;G215,$I$2:$I$501,"confirmado",$E$2:$E$501,E215)-1,0)))</x:f>
      </x:c>
    </x:row>
    <x:row r="216" ht="24" customHeight="1">
      <x:c r="A216" s="17"/>
      <x:c r="B216" s="16"/>
      <x:c r="C216" s="2"/>
      <x:c r="D216" s="17"/>
      <x:c r="E216" s="2"/>
      <x:c r="F216" s="10"/>
      <x:c r="G216" s="11"/>
      <x:c r="H216" s="2"/>
      <x:c r="I216" s="7"/>
      <x:c r="J216" s="2"/>
      <x:c r="K216" s="2"/>
      <x:c r="L216" s="2"/>
      <x:c r="M216" s="2"/>
      <x:c r="N216" s="11" t="str">
        <x:f>IF(A216="","",IF(AND(ISNUMBER(G216),ISNUMBER(L216),ISNUMBER(M216)),G216+(L216+M216)/1440,""))</x:f>
      </x:c>
      <x:c r="O216" s="2" t="str">
        <x:f>IF(A216="","",IF(OR(N216="",F216=""),"Dados incompletos",IF(OR(I216="pendente",I216="confirmado"),IF(K216="",0,COUNTIFS($F$2:$F$501,F216,$G$2:$G$501,"&lt;"&amp;N216,$N$2:$N$501,"&gt;"&amp;G216,$I$2:$I$501,"pendente",$K$2:$K$501,K216)+COUNTIFS($F$2:$F$501,F216,$G$2:$G$501,"&lt;"&amp;N216,$N$2:$N$501,"&gt;"&amp;G216,$I$2:$I$501,"confirmado",$K$2:$K$501,K216)-1),0)))</x:f>
      </x:c>
      <x:c r="P216" s="2" t="str">
        <x:f>IF(A216="","",IF(OR(N216="",F216=""),"Dados incompletos",IF(OR(I216="pendente",I216="confirmado"),COUNTIFS($F$2:$F$501,F216,$G$2:$G$501,"&lt;"&amp;N216,$N$2:$N$501,"&gt;"&amp;G216,$I$2:$I$501,"pendente",$E$2:$E$501,E216)+COUNTIFS($F$2:$F$501,F216,$G$2:$G$501,"&lt;"&amp;N216,$N$2:$N$501,"&gt;"&amp;G216,$I$2:$I$501,"confirmado",$E$2:$E$501,E216)-1,0)))</x:f>
      </x:c>
    </x:row>
    <x:row r="217" ht="24" customHeight="1">
      <x:c r="A217" s="17"/>
      <x:c r="B217" s="16"/>
      <x:c r="C217" s="2"/>
      <x:c r="D217" s="17"/>
      <x:c r="E217" s="2"/>
      <x:c r="F217" s="10"/>
      <x:c r="G217" s="11"/>
      <x:c r="H217" s="2"/>
      <x:c r="I217" s="7"/>
      <x:c r="J217" s="2"/>
      <x:c r="K217" s="2"/>
      <x:c r="L217" s="2"/>
      <x:c r="M217" s="2"/>
      <x:c r="N217" s="11" t="str">
        <x:f>IF(A217="","",IF(AND(ISNUMBER(G217),ISNUMBER(L217),ISNUMBER(M217)),G217+(L217+M217)/1440,""))</x:f>
      </x:c>
      <x:c r="O217" s="2" t="str">
        <x:f>IF(A217="","",IF(OR(N217="",F217=""),"Dados incompletos",IF(OR(I217="pendente",I217="confirmado"),IF(K217="",0,COUNTIFS($F$2:$F$501,F217,$G$2:$G$501,"&lt;"&amp;N217,$N$2:$N$501,"&gt;"&amp;G217,$I$2:$I$501,"pendente",$K$2:$K$501,K217)+COUNTIFS($F$2:$F$501,F217,$G$2:$G$501,"&lt;"&amp;N217,$N$2:$N$501,"&gt;"&amp;G217,$I$2:$I$501,"confirmado",$K$2:$K$501,K217)-1),0)))</x:f>
      </x:c>
      <x:c r="P217" s="2" t="str">
        <x:f>IF(A217="","",IF(OR(N217="",F217=""),"Dados incompletos",IF(OR(I217="pendente",I217="confirmado"),COUNTIFS($F$2:$F$501,F217,$G$2:$G$501,"&lt;"&amp;N217,$N$2:$N$501,"&gt;"&amp;G217,$I$2:$I$501,"pendente",$E$2:$E$501,E217)+COUNTIFS($F$2:$F$501,F217,$G$2:$G$501,"&lt;"&amp;N217,$N$2:$N$501,"&gt;"&amp;G217,$I$2:$I$501,"confirmado",$E$2:$E$501,E217)-1,0)))</x:f>
      </x:c>
    </x:row>
    <x:row r="218" ht="24" customHeight="1">
      <x:c r="A218" s="17"/>
      <x:c r="B218" s="16"/>
      <x:c r="C218" s="2"/>
      <x:c r="D218" s="17"/>
      <x:c r="E218" s="2"/>
      <x:c r="F218" s="10"/>
      <x:c r="G218" s="11"/>
      <x:c r="H218" s="2"/>
      <x:c r="I218" s="7"/>
      <x:c r="J218" s="2"/>
      <x:c r="K218" s="2"/>
      <x:c r="L218" s="2"/>
      <x:c r="M218" s="2"/>
      <x:c r="N218" s="11" t="str">
        <x:f>IF(A218="","",IF(AND(ISNUMBER(G218),ISNUMBER(L218),ISNUMBER(M218)),G218+(L218+M218)/1440,""))</x:f>
      </x:c>
      <x:c r="O218" s="2" t="str">
        <x:f>IF(A218="","",IF(OR(N218="",F218=""),"Dados incompletos",IF(OR(I218="pendente",I218="confirmado"),IF(K218="",0,COUNTIFS($F$2:$F$501,F218,$G$2:$G$501,"&lt;"&amp;N218,$N$2:$N$501,"&gt;"&amp;G218,$I$2:$I$501,"pendente",$K$2:$K$501,K218)+COUNTIFS($F$2:$F$501,F218,$G$2:$G$501,"&lt;"&amp;N218,$N$2:$N$501,"&gt;"&amp;G218,$I$2:$I$501,"confirmado",$K$2:$K$501,K218)-1),0)))</x:f>
      </x:c>
      <x:c r="P218" s="2" t="str">
        <x:f>IF(A218="","",IF(OR(N218="",F218=""),"Dados incompletos",IF(OR(I218="pendente",I218="confirmado"),COUNTIFS($F$2:$F$501,F218,$G$2:$G$501,"&lt;"&amp;N218,$N$2:$N$501,"&gt;"&amp;G218,$I$2:$I$501,"pendente",$E$2:$E$501,E218)+COUNTIFS($F$2:$F$501,F218,$G$2:$G$501,"&lt;"&amp;N218,$N$2:$N$501,"&gt;"&amp;G218,$I$2:$I$501,"confirmado",$E$2:$E$501,E218)-1,0)))</x:f>
      </x:c>
    </x:row>
    <x:row r="219" ht="24" customHeight="1">
      <x:c r="A219" s="17"/>
      <x:c r="B219" s="16"/>
      <x:c r="C219" s="2"/>
      <x:c r="D219" s="17"/>
      <x:c r="E219" s="2"/>
      <x:c r="F219" s="10"/>
      <x:c r="G219" s="11"/>
      <x:c r="H219" s="2"/>
      <x:c r="I219" s="7"/>
      <x:c r="J219" s="2"/>
      <x:c r="K219" s="2"/>
      <x:c r="L219" s="2"/>
      <x:c r="M219" s="2"/>
      <x:c r="N219" s="11" t="str">
        <x:f>IF(A219="","",IF(AND(ISNUMBER(G219),ISNUMBER(L219),ISNUMBER(M219)),G219+(L219+M219)/1440,""))</x:f>
      </x:c>
      <x:c r="O219" s="2" t="str">
        <x:f>IF(A219="","",IF(OR(N219="",F219=""),"Dados incompletos",IF(OR(I219="pendente",I219="confirmado"),IF(K219="",0,COUNTIFS($F$2:$F$501,F219,$G$2:$G$501,"&lt;"&amp;N219,$N$2:$N$501,"&gt;"&amp;G219,$I$2:$I$501,"pendente",$K$2:$K$501,K219)+COUNTIFS($F$2:$F$501,F219,$G$2:$G$501,"&lt;"&amp;N219,$N$2:$N$501,"&gt;"&amp;G219,$I$2:$I$501,"confirmado",$K$2:$K$501,K219)-1),0)))</x:f>
      </x:c>
      <x:c r="P219" s="2" t="str">
        <x:f>IF(A219="","",IF(OR(N219="",F219=""),"Dados incompletos",IF(OR(I219="pendente",I219="confirmado"),COUNTIFS($F$2:$F$501,F219,$G$2:$G$501,"&lt;"&amp;N219,$N$2:$N$501,"&gt;"&amp;G219,$I$2:$I$501,"pendente",$E$2:$E$501,E219)+COUNTIFS($F$2:$F$501,F219,$G$2:$G$501,"&lt;"&amp;N219,$N$2:$N$501,"&gt;"&amp;G219,$I$2:$I$501,"confirmado",$E$2:$E$501,E219)-1,0)))</x:f>
      </x:c>
    </x:row>
    <x:row r="220" ht="24" customHeight="1">
      <x:c r="A220" s="17"/>
      <x:c r="B220" s="16"/>
      <x:c r="C220" s="2"/>
      <x:c r="D220" s="17"/>
      <x:c r="E220" s="2"/>
      <x:c r="F220" s="10"/>
      <x:c r="G220" s="11"/>
      <x:c r="H220" s="2"/>
      <x:c r="I220" s="7"/>
      <x:c r="J220" s="2"/>
      <x:c r="K220" s="2"/>
      <x:c r="L220" s="2"/>
      <x:c r="M220" s="2"/>
      <x:c r="N220" s="11" t="str">
        <x:f>IF(A220="","",IF(AND(ISNUMBER(G220),ISNUMBER(L220),ISNUMBER(M220)),G220+(L220+M220)/1440,""))</x:f>
      </x:c>
      <x:c r="O220" s="2" t="str">
        <x:f>IF(A220="","",IF(OR(N220="",F220=""),"Dados incompletos",IF(OR(I220="pendente",I220="confirmado"),IF(K220="",0,COUNTIFS($F$2:$F$501,F220,$G$2:$G$501,"&lt;"&amp;N220,$N$2:$N$501,"&gt;"&amp;G220,$I$2:$I$501,"pendente",$K$2:$K$501,K220)+COUNTIFS($F$2:$F$501,F220,$G$2:$G$501,"&lt;"&amp;N220,$N$2:$N$501,"&gt;"&amp;G220,$I$2:$I$501,"confirmado",$K$2:$K$501,K220)-1),0)))</x:f>
      </x:c>
      <x:c r="P220" s="2" t="str">
        <x:f>IF(A220="","",IF(OR(N220="",F220=""),"Dados incompletos",IF(OR(I220="pendente",I220="confirmado"),COUNTIFS($F$2:$F$501,F220,$G$2:$G$501,"&lt;"&amp;N220,$N$2:$N$501,"&gt;"&amp;G220,$I$2:$I$501,"pendente",$E$2:$E$501,E220)+COUNTIFS($F$2:$F$501,F220,$G$2:$G$501,"&lt;"&amp;N220,$N$2:$N$501,"&gt;"&amp;G220,$I$2:$I$501,"confirmado",$E$2:$E$501,E220)-1,0)))</x:f>
      </x:c>
    </x:row>
    <x:row r="221" ht="24" customHeight="1">
      <x:c r="A221" s="17"/>
      <x:c r="B221" s="16"/>
      <x:c r="C221" s="2"/>
      <x:c r="D221" s="17"/>
      <x:c r="E221" s="2"/>
      <x:c r="F221" s="10"/>
      <x:c r="G221" s="11"/>
      <x:c r="H221" s="2"/>
      <x:c r="I221" s="7"/>
      <x:c r="J221" s="2"/>
      <x:c r="K221" s="2"/>
      <x:c r="L221" s="2"/>
      <x:c r="M221" s="2"/>
      <x:c r="N221" s="11" t="str">
        <x:f>IF(A221="","",IF(AND(ISNUMBER(G221),ISNUMBER(L221),ISNUMBER(M221)),G221+(L221+M221)/1440,""))</x:f>
      </x:c>
      <x:c r="O221" s="2" t="str">
        <x:f>IF(A221="","",IF(OR(N221="",F221=""),"Dados incompletos",IF(OR(I221="pendente",I221="confirmado"),IF(K221="",0,COUNTIFS($F$2:$F$501,F221,$G$2:$G$501,"&lt;"&amp;N221,$N$2:$N$501,"&gt;"&amp;G221,$I$2:$I$501,"pendente",$K$2:$K$501,K221)+COUNTIFS($F$2:$F$501,F221,$G$2:$G$501,"&lt;"&amp;N221,$N$2:$N$501,"&gt;"&amp;G221,$I$2:$I$501,"confirmado",$K$2:$K$501,K221)-1),0)))</x:f>
      </x:c>
      <x:c r="P221" s="2" t="str">
        <x:f>IF(A221="","",IF(OR(N221="",F221=""),"Dados incompletos",IF(OR(I221="pendente",I221="confirmado"),COUNTIFS($F$2:$F$501,F221,$G$2:$G$501,"&lt;"&amp;N221,$N$2:$N$501,"&gt;"&amp;G221,$I$2:$I$501,"pendente",$E$2:$E$501,E221)+COUNTIFS($F$2:$F$501,F221,$G$2:$G$501,"&lt;"&amp;N221,$N$2:$N$501,"&gt;"&amp;G221,$I$2:$I$501,"confirmado",$E$2:$E$501,E221)-1,0)))</x:f>
      </x:c>
    </x:row>
    <x:row r="222" ht="24" customHeight="1">
      <x:c r="A222" s="17"/>
      <x:c r="B222" s="16"/>
      <x:c r="C222" s="2"/>
      <x:c r="D222" s="17"/>
      <x:c r="E222" s="2"/>
      <x:c r="F222" s="10"/>
      <x:c r="G222" s="11"/>
      <x:c r="H222" s="2"/>
      <x:c r="I222" s="7"/>
      <x:c r="J222" s="2"/>
      <x:c r="K222" s="2"/>
      <x:c r="L222" s="2"/>
      <x:c r="M222" s="2"/>
      <x:c r="N222" s="11" t="str">
        <x:f>IF(A222="","",IF(AND(ISNUMBER(G222),ISNUMBER(L222),ISNUMBER(M222)),G222+(L222+M222)/1440,""))</x:f>
      </x:c>
      <x:c r="O222" s="2" t="str">
        <x:f>IF(A222="","",IF(OR(N222="",F222=""),"Dados incompletos",IF(OR(I222="pendente",I222="confirmado"),IF(K222="",0,COUNTIFS($F$2:$F$501,F222,$G$2:$G$501,"&lt;"&amp;N222,$N$2:$N$501,"&gt;"&amp;G222,$I$2:$I$501,"pendente",$K$2:$K$501,K222)+COUNTIFS($F$2:$F$501,F222,$G$2:$G$501,"&lt;"&amp;N222,$N$2:$N$501,"&gt;"&amp;G222,$I$2:$I$501,"confirmado",$K$2:$K$501,K222)-1),0)))</x:f>
      </x:c>
      <x:c r="P222" s="2" t="str">
        <x:f>IF(A222="","",IF(OR(N222="",F222=""),"Dados incompletos",IF(OR(I222="pendente",I222="confirmado"),COUNTIFS($F$2:$F$501,F222,$G$2:$G$501,"&lt;"&amp;N222,$N$2:$N$501,"&gt;"&amp;G222,$I$2:$I$501,"pendente",$E$2:$E$501,E222)+COUNTIFS($F$2:$F$501,F222,$G$2:$G$501,"&lt;"&amp;N222,$N$2:$N$501,"&gt;"&amp;G222,$I$2:$I$501,"confirmado",$E$2:$E$501,E222)-1,0)))</x:f>
      </x:c>
    </x:row>
    <x:row r="223" ht="24" customHeight="1">
      <x:c r="A223" s="17"/>
      <x:c r="B223" s="16"/>
      <x:c r="C223" s="2"/>
      <x:c r="D223" s="17"/>
      <x:c r="E223" s="2"/>
      <x:c r="F223" s="10"/>
      <x:c r="G223" s="11"/>
      <x:c r="H223" s="2"/>
      <x:c r="I223" s="7"/>
      <x:c r="J223" s="2"/>
      <x:c r="K223" s="2"/>
      <x:c r="L223" s="2"/>
      <x:c r="M223" s="2"/>
      <x:c r="N223" s="11" t="str">
        <x:f>IF(A223="","",IF(AND(ISNUMBER(G223),ISNUMBER(L223),ISNUMBER(M223)),G223+(L223+M223)/1440,""))</x:f>
      </x:c>
      <x:c r="O223" s="2" t="str">
        <x:f>IF(A223="","",IF(OR(N223="",F223=""),"Dados incompletos",IF(OR(I223="pendente",I223="confirmado"),IF(K223="",0,COUNTIFS($F$2:$F$501,F223,$G$2:$G$501,"&lt;"&amp;N223,$N$2:$N$501,"&gt;"&amp;G223,$I$2:$I$501,"pendente",$K$2:$K$501,K223)+COUNTIFS($F$2:$F$501,F223,$G$2:$G$501,"&lt;"&amp;N223,$N$2:$N$501,"&gt;"&amp;G223,$I$2:$I$501,"confirmado",$K$2:$K$501,K223)-1),0)))</x:f>
      </x:c>
      <x:c r="P223" s="2" t="str">
        <x:f>IF(A223="","",IF(OR(N223="",F223=""),"Dados incompletos",IF(OR(I223="pendente",I223="confirmado"),COUNTIFS($F$2:$F$501,F223,$G$2:$G$501,"&lt;"&amp;N223,$N$2:$N$501,"&gt;"&amp;G223,$I$2:$I$501,"pendente",$E$2:$E$501,E223)+COUNTIFS($F$2:$F$501,F223,$G$2:$G$501,"&lt;"&amp;N223,$N$2:$N$501,"&gt;"&amp;G223,$I$2:$I$501,"confirmado",$E$2:$E$501,E223)-1,0)))</x:f>
      </x:c>
    </x:row>
    <x:row r="224" ht="24" customHeight="1">
      <x:c r="A224" s="17"/>
      <x:c r="B224" s="16"/>
      <x:c r="C224" s="2"/>
      <x:c r="D224" s="17"/>
      <x:c r="E224" s="2"/>
      <x:c r="F224" s="10"/>
      <x:c r="G224" s="11"/>
      <x:c r="H224" s="2"/>
      <x:c r="I224" s="7"/>
      <x:c r="J224" s="2"/>
      <x:c r="K224" s="2"/>
      <x:c r="L224" s="2"/>
      <x:c r="M224" s="2"/>
      <x:c r="N224" s="11" t="str">
        <x:f>IF(A224="","",IF(AND(ISNUMBER(G224),ISNUMBER(L224),ISNUMBER(M224)),G224+(L224+M224)/1440,""))</x:f>
      </x:c>
      <x:c r="O224" s="2" t="str">
        <x:f>IF(A224="","",IF(OR(N224="",F224=""),"Dados incompletos",IF(OR(I224="pendente",I224="confirmado"),IF(K224="",0,COUNTIFS($F$2:$F$501,F224,$G$2:$G$501,"&lt;"&amp;N224,$N$2:$N$501,"&gt;"&amp;G224,$I$2:$I$501,"pendente",$K$2:$K$501,K224)+COUNTIFS($F$2:$F$501,F224,$G$2:$G$501,"&lt;"&amp;N224,$N$2:$N$501,"&gt;"&amp;G224,$I$2:$I$501,"confirmado",$K$2:$K$501,K224)-1),0)))</x:f>
      </x:c>
      <x:c r="P224" s="2" t="str">
        <x:f>IF(A224="","",IF(OR(N224="",F224=""),"Dados incompletos",IF(OR(I224="pendente",I224="confirmado"),COUNTIFS($F$2:$F$501,F224,$G$2:$G$501,"&lt;"&amp;N224,$N$2:$N$501,"&gt;"&amp;G224,$I$2:$I$501,"pendente",$E$2:$E$501,E224)+COUNTIFS($F$2:$F$501,F224,$G$2:$G$501,"&lt;"&amp;N224,$N$2:$N$501,"&gt;"&amp;G224,$I$2:$I$501,"confirmado",$E$2:$E$501,E224)-1,0)))</x:f>
      </x:c>
    </x:row>
    <x:row r="225" ht="24" customHeight="1">
      <x:c r="A225" s="17"/>
      <x:c r="B225" s="16"/>
      <x:c r="C225" s="2"/>
      <x:c r="D225" s="17"/>
      <x:c r="E225" s="2"/>
      <x:c r="F225" s="10"/>
      <x:c r="G225" s="11"/>
      <x:c r="H225" s="2"/>
      <x:c r="I225" s="7"/>
      <x:c r="J225" s="2"/>
      <x:c r="K225" s="2"/>
      <x:c r="L225" s="2"/>
      <x:c r="M225" s="2"/>
      <x:c r="N225" s="11" t="str">
        <x:f>IF(A225="","",IF(AND(ISNUMBER(G225),ISNUMBER(L225),ISNUMBER(M225)),G225+(L225+M225)/1440,""))</x:f>
      </x:c>
      <x:c r="O225" s="2" t="str">
        <x:f>IF(A225="","",IF(OR(N225="",F225=""),"Dados incompletos",IF(OR(I225="pendente",I225="confirmado"),IF(K225="",0,COUNTIFS($F$2:$F$501,F225,$G$2:$G$501,"&lt;"&amp;N225,$N$2:$N$501,"&gt;"&amp;G225,$I$2:$I$501,"pendente",$K$2:$K$501,K225)+COUNTIFS($F$2:$F$501,F225,$G$2:$G$501,"&lt;"&amp;N225,$N$2:$N$501,"&gt;"&amp;G225,$I$2:$I$501,"confirmado",$K$2:$K$501,K225)-1),0)))</x:f>
      </x:c>
      <x:c r="P225" s="2" t="str">
        <x:f>IF(A225="","",IF(OR(N225="",F225=""),"Dados incompletos",IF(OR(I225="pendente",I225="confirmado"),COUNTIFS($F$2:$F$501,F225,$G$2:$G$501,"&lt;"&amp;N225,$N$2:$N$501,"&gt;"&amp;G225,$I$2:$I$501,"pendente",$E$2:$E$501,E225)+COUNTIFS($F$2:$F$501,F225,$G$2:$G$501,"&lt;"&amp;N225,$N$2:$N$501,"&gt;"&amp;G225,$I$2:$I$501,"confirmado",$E$2:$E$501,E225)-1,0)))</x:f>
      </x:c>
    </x:row>
    <x:row r="226" ht="24" customHeight="1">
      <x:c r="A226" s="17"/>
      <x:c r="B226" s="16"/>
      <x:c r="C226" s="2"/>
      <x:c r="D226" s="17"/>
      <x:c r="E226" s="2"/>
      <x:c r="F226" s="10"/>
      <x:c r="G226" s="11"/>
      <x:c r="H226" s="2"/>
      <x:c r="I226" s="7"/>
      <x:c r="J226" s="2"/>
      <x:c r="K226" s="2"/>
      <x:c r="L226" s="2"/>
      <x:c r="M226" s="2"/>
      <x:c r="N226" s="11" t="str">
        <x:f>IF(A226="","",IF(AND(ISNUMBER(G226),ISNUMBER(L226),ISNUMBER(M226)),G226+(L226+M226)/1440,""))</x:f>
      </x:c>
      <x:c r="O226" s="2" t="str">
        <x:f>IF(A226="","",IF(OR(N226="",F226=""),"Dados incompletos",IF(OR(I226="pendente",I226="confirmado"),IF(K226="",0,COUNTIFS($F$2:$F$501,F226,$G$2:$G$501,"&lt;"&amp;N226,$N$2:$N$501,"&gt;"&amp;G226,$I$2:$I$501,"pendente",$K$2:$K$501,K226)+COUNTIFS($F$2:$F$501,F226,$G$2:$G$501,"&lt;"&amp;N226,$N$2:$N$501,"&gt;"&amp;G226,$I$2:$I$501,"confirmado",$K$2:$K$501,K226)-1),0)))</x:f>
      </x:c>
      <x:c r="P226" s="2" t="str">
        <x:f>IF(A226="","",IF(OR(N226="",F226=""),"Dados incompletos",IF(OR(I226="pendente",I226="confirmado"),COUNTIFS($F$2:$F$501,F226,$G$2:$G$501,"&lt;"&amp;N226,$N$2:$N$501,"&gt;"&amp;G226,$I$2:$I$501,"pendente",$E$2:$E$501,E226)+COUNTIFS($F$2:$F$501,F226,$G$2:$G$501,"&lt;"&amp;N226,$N$2:$N$501,"&gt;"&amp;G226,$I$2:$I$501,"confirmado",$E$2:$E$501,E226)-1,0)))</x:f>
      </x:c>
    </x:row>
    <x:row r="227" ht="24" customHeight="1">
      <x:c r="A227" s="17"/>
      <x:c r="B227" s="16"/>
      <x:c r="C227" s="2"/>
      <x:c r="D227" s="17"/>
      <x:c r="E227" s="2"/>
      <x:c r="F227" s="10"/>
      <x:c r="G227" s="11"/>
      <x:c r="H227" s="2"/>
      <x:c r="I227" s="7"/>
      <x:c r="J227" s="2"/>
      <x:c r="K227" s="2"/>
      <x:c r="L227" s="2"/>
      <x:c r="M227" s="2"/>
      <x:c r="N227" s="11" t="str">
        <x:f>IF(A227="","",IF(AND(ISNUMBER(G227),ISNUMBER(L227),ISNUMBER(M227)),G227+(L227+M227)/1440,""))</x:f>
      </x:c>
      <x:c r="O227" s="2" t="str">
        <x:f>IF(A227="","",IF(OR(N227="",F227=""),"Dados incompletos",IF(OR(I227="pendente",I227="confirmado"),IF(K227="",0,COUNTIFS($F$2:$F$501,F227,$G$2:$G$501,"&lt;"&amp;N227,$N$2:$N$501,"&gt;"&amp;G227,$I$2:$I$501,"pendente",$K$2:$K$501,K227)+COUNTIFS($F$2:$F$501,F227,$G$2:$G$501,"&lt;"&amp;N227,$N$2:$N$501,"&gt;"&amp;G227,$I$2:$I$501,"confirmado",$K$2:$K$501,K227)-1),0)))</x:f>
      </x:c>
      <x:c r="P227" s="2" t="str">
        <x:f>IF(A227="","",IF(OR(N227="",F227=""),"Dados incompletos",IF(OR(I227="pendente",I227="confirmado"),COUNTIFS($F$2:$F$501,F227,$G$2:$G$501,"&lt;"&amp;N227,$N$2:$N$501,"&gt;"&amp;G227,$I$2:$I$501,"pendente",$E$2:$E$501,E227)+COUNTIFS($F$2:$F$501,F227,$G$2:$G$501,"&lt;"&amp;N227,$N$2:$N$501,"&gt;"&amp;G227,$I$2:$I$501,"confirmado",$E$2:$E$501,E227)-1,0)))</x:f>
      </x:c>
    </x:row>
    <x:row r="228" ht="24" customHeight="1">
      <x:c r="A228" s="17"/>
      <x:c r="B228" s="16"/>
      <x:c r="C228" s="2"/>
      <x:c r="D228" s="17"/>
      <x:c r="E228" s="2"/>
      <x:c r="F228" s="10"/>
      <x:c r="G228" s="11"/>
      <x:c r="H228" s="2"/>
      <x:c r="I228" s="7"/>
      <x:c r="J228" s="2"/>
      <x:c r="K228" s="2"/>
      <x:c r="L228" s="2"/>
      <x:c r="M228" s="2"/>
      <x:c r="N228" s="11" t="str">
        <x:f>IF(A228="","",IF(AND(ISNUMBER(G228),ISNUMBER(L228),ISNUMBER(M228)),G228+(L228+M228)/1440,""))</x:f>
      </x:c>
      <x:c r="O228" s="2" t="str">
        <x:f>IF(A228="","",IF(OR(N228="",F228=""),"Dados incompletos",IF(OR(I228="pendente",I228="confirmado"),IF(K228="",0,COUNTIFS($F$2:$F$501,F228,$G$2:$G$501,"&lt;"&amp;N228,$N$2:$N$501,"&gt;"&amp;G228,$I$2:$I$501,"pendente",$K$2:$K$501,K228)+COUNTIFS($F$2:$F$501,F228,$G$2:$G$501,"&lt;"&amp;N228,$N$2:$N$501,"&gt;"&amp;G228,$I$2:$I$501,"confirmado",$K$2:$K$501,K228)-1),0)))</x:f>
      </x:c>
      <x:c r="P228" s="2" t="str">
        <x:f>IF(A228="","",IF(OR(N228="",F228=""),"Dados incompletos",IF(OR(I228="pendente",I228="confirmado"),COUNTIFS($F$2:$F$501,F228,$G$2:$G$501,"&lt;"&amp;N228,$N$2:$N$501,"&gt;"&amp;G228,$I$2:$I$501,"pendente",$E$2:$E$501,E228)+COUNTIFS($F$2:$F$501,F228,$G$2:$G$501,"&lt;"&amp;N228,$N$2:$N$501,"&gt;"&amp;G228,$I$2:$I$501,"confirmado",$E$2:$E$501,E228)-1,0)))</x:f>
      </x:c>
    </x:row>
    <x:row r="229" ht="24" customHeight="1">
      <x:c r="A229" s="17"/>
      <x:c r="B229" s="16"/>
      <x:c r="C229" s="2"/>
      <x:c r="D229" s="17"/>
      <x:c r="E229" s="2"/>
      <x:c r="F229" s="10"/>
      <x:c r="G229" s="11"/>
      <x:c r="H229" s="2"/>
      <x:c r="I229" s="7"/>
      <x:c r="J229" s="2"/>
      <x:c r="K229" s="2"/>
      <x:c r="L229" s="2"/>
      <x:c r="M229" s="2"/>
      <x:c r="N229" s="11" t="str">
        <x:f>IF(A229="","",IF(AND(ISNUMBER(G229),ISNUMBER(L229),ISNUMBER(M229)),G229+(L229+M229)/1440,""))</x:f>
      </x:c>
      <x:c r="O229" s="2" t="str">
        <x:f>IF(A229="","",IF(OR(N229="",F229=""),"Dados incompletos",IF(OR(I229="pendente",I229="confirmado"),IF(K229="",0,COUNTIFS($F$2:$F$501,F229,$G$2:$G$501,"&lt;"&amp;N229,$N$2:$N$501,"&gt;"&amp;G229,$I$2:$I$501,"pendente",$K$2:$K$501,K229)+COUNTIFS($F$2:$F$501,F229,$G$2:$G$501,"&lt;"&amp;N229,$N$2:$N$501,"&gt;"&amp;G229,$I$2:$I$501,"confirmado",$K$2:$K$501,K229)-1),0)))</x:f>
      </x:c>
      <x:c r="P229" s="2" t="str">
        <x:f>IF(A229="","",IF(OR(N229="",F229=""),"Dados incompletos",IF(OR(I229="pendente",I229="confirmado"),COUNTIFS($F$2:$F$501,F229,$G$2:$G$501,"&lt;"&amp;N229,$N$2:$N$501,"&gt;"&amp;G229,$I$2:$I$501,"pendente",$E$2:$E$501,E229)+COUNTIFS($F$2:$F$501,F229,$G$2:$G$501,"&lt;"&amp;N229,$N$2:$N$501,"&gt;"&amp;G229,$I$2:$I$501,"confirmado",$E$2:$E$501,E229)-1,0)))</x:f>
      </x:c>
    </x:row>
    <x:row r="230" ht="24" customHeight="1">
      <x:c r="A230" s="17"/>
      <x:c r="B230" s="16"/>
      <x:c r="C230" s="2"/>
      <x:c r="D230" s="17"/>
      <x:c r="E230" s="2"/>
      <x:c r="F230" s="10"/>
      <x:c r="G230" s="11"/>
      <x:c r="H230" s="2"/>
      <x:c r="I230" s="7"/>
      <x:c r="J230" s="2"/>
      <x:c r="K230" s="2"/>
      <x:c r="L230" s="2"/>
      <x:c r="M230" s="2"/>
      <x:c r="N230" s="11" t="str">
        <x:f>IF(A230="","",IF(AND(ISNUMBER(G230),ISNUMBER(L230),ISNUMBER(M230)),G230+(L230+M230)/1440,""))</x:f>
      </x:c>
      <x:c r="O230" s="2" t="str">
        <x:f>IF(A230="","",IF(OR(N230="",F230=""),"Dados incompletos",IF(OR(I230="pendente",I230="confirmado"),IF(K230="",0,COUNTIFS($F$2:$F$501,F230,$G$2:$G$501,"&lt;"&amp;N230,$N$2:$N$501,"&gt;"&amp;G230,$I$2:$I$501,"pendente",$K$2:$K$501,K230)+COUNTIFS($F$2:$F$501,F230,$G$2:$G$501,"&lt;"&amp;N230,$N$2:$N$501,"&gt;"&amp;G230,$I$2:$I$501,"confirmado",$K$2:$K$501,K230)-1),0)))</x:f>
      </x:c>
      <x:c r="P230" s="2" t="str">
        <x:f>IF(A230="","",IF(OR(N230="",F230=""),"Dados incompletos",IF(OR(I230="pendente",I230="confirmado"),COUNTIFS($F$2:$F$501,F230,$G$2:$G$501,"&lt;"&amp;N230,$N$2:$N$501,"&gt;"&amp;G230,$I$2:$I$501,"pendente",$E$2:$E$501,E230)+COUNTIFS($F$2:$F$501,F230,$G$2:$G$501,"&lt;"&amp;N230,$N$2:$N$501,"&gt;"&amp;G230,$I$2:$I$501,"confirmado",$E$2:$E$501,E230)-1,0)))</x:f>
      </x:c>
    </x:row>
    <x:row r="231" ht="24" customHeight="1">
      <x:c r="A231" s="17"/>
      <x:c r="B231" s="16"/>
      <x:c r="C231" s="2"/>
      <x:c r="D231" s="17"/>
      <x:c r="E231" s="2"/>
      <x:c r="F231" s="10"/>
      <x:c r="G231" s="11"/>
      <x:c r="H231" s="2"/>
      <x:c r="I231" s="7"/>
      <x:c r="J231" s="2"/>
      <x:c r="K231" s="2"/>
      <x:c r="L231" s="2"/>
      <x:c r="M231" s="2"/>
      <x:c r="N231" s="11" t="str">
        <x:f>IF(A231="","",IF(AND(ISNUMBER(G231),ISNUMBER(L231),ISNUMBER(M231)),G231+(L231+M231)/1440,""))</x:f>
      </x:c>
      <x:c r="O231" s="2" t="str">
        <x:f>IF(A231="","",IF(OR(N231="",F231=""),"Dados incompletos",IF(OR(I231="pendente",I231="confirmado"),IF(K231="",0,COUNTIFS($F$2:$F$501,F231,$G$2:$G$501,"&lt;"&amp;N231,$N$2:$N$501,"&gt;"&amp;G231,$I$2:$I$501,"pendente",$K$2:$K$501,K231)+COUNTIFS($F$2:$F$501,F231,$G$2:$G$501,"&lt;"&amp;N231,$N$2:$N$501,"&gt;"&amp;G231,$I$2:$I$501,"confirmado",$K$2:$K$501,K231)-1),0)))</x:f>
      </x:c>
      <x:c r="P231" s="2" t="str">
        <x:f>IF(A231="","",IF(OR(N231="",F231=""),"Dados incompletos",IF(OR(I231="pendente",I231="confirmado"),COUNTIFS($F$2:$F$501,F231,$G$2:$G$501,"&lt;"&amp;N231,$N$2:$N$501,"&gt;"&amp;G231,$I$2:$I$501,"pendente",$E$2:$E$501,E231)+COUNTIFS($F$2:$F$501,F231,$G$2:$G$501,"&lt;"&amp;N231,$N$2:$N$501,"&gt;"&amp;G231,$I$2:$I$501,"confirmado",$E$2:$E$501,E231)-1,0)))</x:f>
      </x:c>
    </x:row>
    <x:row r="232" ht="24" customHeight="1">
      <x:c r="A232" s="17"/>
      <x:c r="B232" s="16"/>
      <x:c r="C232" s="2"/>
      <x:c r="D232" s="17"/>
      <x:c r="E232" s="2"/>
      <x:c r="F232" s="10"/>
      <x:c r="G232" s="11"/>
      <x:c r="H232" s="2"/>
      <x:c r="I232" s="7"/>
      <x:c r="J232" s="2"/>
      <x:c r="K232" s="2"/>
      <x:c r="L232" s="2"/>
      <x:c r="M232" s="2"/>
      <x:c r="N232" s="11" t="str">
        <x:f>IF(A232="","",IF(AND(ISNUMBER(G232),ISNUMBER(L232),ISNUMBER(M232)),G232+(L232+M232)/1440,""))</x:f>
      </x:c>
      <x:c r="O232" s="2" t="str">
        <x:f>IF(A232="","",IF(OR(N232="",F232=""),"Dados incompletos",IF(OR(I232="pendente",I232="confirmado"),IF(K232="",0,COUNTIFS($F$2:$F$501,F232,$G$2:$G$501,"&lt;"&amp;N232,$N$2:$N$501,"&gt;"&amp;G232,$I$2:$I$501,"pendente",$K$2:$K$501,K232)+COUNTIFS($F$2:$F$501,F232,$G$2:$G$501,"&lt;"&amp;N232,$N$2:$N$501,"&gt;"&amp;G232,$I$2:$I$501,"confirmado",$K$2:$K$501,K232)-1),0)))</x:f>
      </x:c>
      <x:c r="P232" s="2" t="str">
        <x:f>IF(A232="","",IF(OR(N232="",F232=""),"Dados incompletos",IF(OR(I232="pendente",I232="confirmado"),COUNTIFS($F$2:$F$501,F232,$G$2:$G$501,"&lt;"&amp;N232,$N$2:$N$501,"&gt;"&amp;G232,$I$2:$I$501,"pendente",$E$2:$E$501,E232)+COUNTIFS($F$2:$F$501,F232,$G$2:$G$501,"&lt;"&amp;N232,$N$2:$N$501,"&gt;"&amp;G232,$I$2:$I$501,"confirmado",$E$2:$E$501,E232)-1,0)))</x:f>
      </x:c>
    </x:row>
    <x:row r="233" ht="24" customHeight="1">
      <x:c r="A233" s="17"/>
      <x:c r="B233" s="16"/>
      <x:c r="C233" s="2"/>
      <x:c r="D233" s="17"/>
      <x:c r="E233" s="2"/>
      <x:c r="F233" s="10"/>
      <x:c r="G233" s="11"/>
      <x:c r="H233" s="2"/>
      <x:c r="I233" s="7"/>
      <x:c r="J233" s="2"/>
      <x:c r="K233" s="2"/>
      <x:c r="L233" s="2"/>
      <x:c r="M233" s="2"/>
      <x:c r="N233" s="11" t="str">
        <x:f>IF(A233="","",IF(AND(ISNUMBER(G233),ISNUMBER(L233),ISNUMBER(M233)),G233+(L233+M233)/1440,""))</x:f>
      </x:c>
      <x:c r="O233" s="2" t="str">
        <x:f>IF(A233="","",IF(OR(N233="",F233=""),"Dados incompletos",IF(OR(I233="pendente",I233="confirmado"),IF(K233="",0,COUNTIFS($F$2:$F$501,F233,$G$2:$G$501,"&lt;"&amp;N233,$N$2:$N$501,"&gt;"&amp;G233,$I$2:$I$501,"pendente",$K$2:$K$501,K233)+COUNTIFS($F$2:$F$501,F233,$G$2:$G$501,"&lt;"&amp;N233,$N$2:$N$501,"&gt;"&amp;G233,$I$2:$I$501,"confirmado",$K$2:$K$501,K233)-1),0)))</x:f>
      </x:c>
      <x:c r="P233" s="2" t="str">
        <x:f>IF(A233="","",IF(OR(N233="",F233=""),"Dados incompletos",IF(OR(I233="pendente",I233="confirmado"),COUNTIFS($F$2:$F$501,F233,$G$2:$G$501,"&lt;"&amp;N233,$N$2:$N$501,"&gt;"&amp;G233,$I$2:$I$501,"pendente",$E$2:$E$501,E233)+COUNTIFS($F$2:$F$501,F233,$G$2:$G$501,"&lt;"&amp;N233,$N$2:$N$501,"&gt;"&amp;G233,$I$2:$I$501,"confirmado",$E$2:$E$501,E233)-1,0)))</x:f>
      </x:c>
    </x:row>
    <x:row r="234" ht="24" customHeight="1">
      <x:c r="A234" s="17"/>
      <x:c r="B234" s="16"/>
      <x:c r="C234" s="2"/>
      <x:c r="D234" s="17"/>
      <x:c r="E234" s="2"/>
      <x:c r="F234" s="10"/>
      <x:c r="G234" s="11"/>
      <x:c r="H234" s="2"/>
      <x:c r="I234" s="7"/>
      <x:c r="J234" s="2"/>
      <x:c r="K234" s="2"/>
      <x:c r="L234" s="2"/>
      <x:c r="M234" s="2"/>
      <x:c r="N234" s="11" t="str">
        <x:f>IF(A234="","",IF(AND(ISNUMBER(G234),ISNUMBER(L234),ISNUMBER(M234)),G234+(L234+M234)/1440,""))</x:f>
      </x:c>
      <x:c r="O234" s="2" t="str">
        <x:f>IF(A234="","",IF(OR(N234="",F234=""),"Dados incompletos",IF(OR(I234="pendente",I234="confirmado"),IF(K234="",0,COUNTIFS($F$2:$F$501,F234,$G$2:$G$501,"&lt;"&amp;N234,$N$2:$N$501,"&gt;"&amp;G234,$I$2:$I$501,"pendente",$K$2:$K$501,K234)+COUNTIFS($F$2:$F$501,F234,$G$2:$G$501,"&lt;"&amp;N234,$N$2:$N$501,"&gt;"&amp;G234,$I$2:$I$501,"confirmado",$K$2:$K$501,K234)-1),0)))</x:f>
      </x:c>
      <x:c r="P234" s="2" t="str">
        <x:f>IF(A234="","",IF(OR(N234="",F234=""),"Dados incompletos",IF(OR(I234="pendente",I234="confirmado"),COUNTIFS($F$2:$F$501,F234,$G$2:$G$501,"&lt;"&amp;N234,$N$2:$N$501,"&gt;"&amp;G234,$I$2:$I$501,"pendente",$E$2:$E$501,E234)+COUNTIFS($F$2:$F$501,F234,$G$2:$G$501,"&lt;"&amp;N234,$N$2:$N$501,"&gt;"&amp;G234,$I$2:$I$501,"confirmado",$E$2:$E$501,E234)-1,0)))</x:f>
      </x:c>
    </x:row>
    <x:row r="235" ht="24" customHeight="1">
      <x:c r="A235" s="17"/>
      <x:c r="B235" s="16"/>
      <x:c r="C235" s="2"/>
      <x:c r="D235" s="17"/>
      <x:c r="E235" s="2"/>
      <x:c r="F235" s="10"/>
      <x:c r="G235" s="11"/>
      <x:c r="H235" s="2"/>
      <x:c r="I235" s="7"/>
      <x:c r="J235" s="2"/>
      <x:c r="K235" s="2"/>
      <x:c r="L235" s="2"/>
      <x:c r="M235" s="2"/>
      <x:c r="N235" s="11" t="str">
        <x:f>IF(A235="","",IF(AND(ISNUMBER(G235),ISNUMBER(L235),ISNUMBER(M235)),G235+(L235+M235)/1440,""))</x:f>
      </x:c>
      <x:c r="O235" s="2" t="str">
        <x:f>IF(A235="","",IF(OR(N235="",F235=""),"Dados incompletos",IF(OR(I235="pendente",I235="confirmado"),IF(K235="",0,COUNTIFS($F$2:$F$501,F235,$G$2:$G$501,"&lt;"&amp;N235,$N$2:$N$501,"&gt;"&amp;G235,$I$2:$I$501,"pendente",$K$2:$K$501,K235)+COUNTIFS($F$2:$F$501,F235,$G$2:$G$501,"&lt;"&amp;N235,$N$2:$N$501,"&gt;"&amp;G235,$I$2:$I$501,"confirmado",$K$2:$K$501,K235)-1),0)))</x:f>
      </x:c>
      <x:c r="P235" s="2" t="str">
        <x:f>IF(A235="","",IF(OR(N235="",F235=""),"Dados incompletos",IF(OR(I235="pendente",I235="confirmado"),COUNTIFS($F$2:$F$501,F235,$G$2:$G$501,"&lt;"&amp;N235,$N$2:$N$501,"&gt;"&amp;G235,$I$2:$I$501,"pendente",$E$2:$E$501,E235)+COUNTIFS($F$2:$F$501,F235,$G$2:$G$501,"&lt;"&amp;N235,$N$2:$N$501,"&gt;"&amp;G235,$I$2:$I$501,"confirmado",$E$2:$E$501,E235)-1,0)))</x:f>
      </x:c>
    </x:row>
    <x:row r="236" ht="24" customHeight="1">
      <x:c r="A236" s="17"/>
      <x:c r="B236" s="16"/>
      <x:c r="C236" s="2"/>
      <x:c r="D236" s="17"/>
      <x:c r="E236" s="2"/>
      <x:c r="F236" s="10"/>
      <x:c r="G236" s="11"/>
      <x:c r="H236" s="2"/>
      <x:c r="I236" s="7"/>
      <x:c r="J236" s="2"/>
      <x:c r="K236" s="2"/>
      <x:c r="L236" s="2"/>
      <x:c r="M236" s="2"/>
      <x:c r="N236" s="11" t="str">
        <x:f>IF(A236="","",IF(AND(ISNUMBER(G236),ISNUMBER(L236),ISNUMBER(M236)),G236+(L236+M236)/1440,""))</x:f>
      </x:c>
      <x:c r="O236" s="2" t="str">
        <x:f>IF(A236="","",IF(OR(N236="",F236=""),"Dados incompletos",IF(OR(I236="pendente",I236="confirmado"),IF(K236="",0,COUNTIFS($F$2:$F$501,F236,$G$2:$G$501,"&lt;"&amp;N236,$N$2:$N$501,"&gt;"&amp;G236,$I$2:$I$501,"pendente",$K$2:$K$501,K236)+COUNTIFS($F$2:$F$501,F236,$G$2:$G$501,"&lt;"&amp;N236,$N$2:$N$501,"&gt;"&amp;G236,$I$2:$I$501,"confirmado",$K$2:$K$501,K236)-1),0)))</x:f>
      </x:c>
      <x:c r="P236" s="2" t="str">
        <x:f>IF(A236="","",IF(OR(N236="",F236=""),"Dados incompletos",IF(OR(I236="pendente",I236="confirmado"),COUNTIFS($F$2:$F$501,F236,$G$2:$G$501,"&lt;"&amp;N236,$N$2:$N$501,"&gt;"&amp;G236,$I$2:$I$501,"pendente",$E$2:$E$501,E236)+COUNTIFS($F$2:$F$501,F236,$G$2:$G$501,"&lt;"&amp;N236,$N$2:$N$501,"&gt;"&amp;G236,$I$2:$I$501,"confirmado",$E$2:$E$501,E236)-1,0)))</x:f>
      </x:c>
    </x:row>
    <x:row r="237" ht="24" customHeight="1">
      <x:c r="A237" s="17"/>
      <x:c r="B237" s="16"/>
      <x:c r="C237" s="2"/>
      <x:c r="D237" s="17"/>
      <x:c r="E237" s="2"/>
      <x:c r="F237" s="10"/>
      <x:c r="G237" s="11"/>
      <x:c r="H237" s="2"/>
      <x:c r="I237" s="7"/>
      <x:c r="J237" s="2"/>
      <x:c r="K237" s="2"/>
      <x:c r="L237" s="2"/>
      <x:c r="M237" s="2"/>
      <x:c r="N237" s="11" t="str">
        <x:f>IF(A237="","",IF(AND(ISNUMBER(G237),ISNUMBER(L237),ISNUMBER(M237)),G237+(L237+M237)/1440,""))</x:f>
      </x:c>
      <x:c r="O237" s="2" t="str">
        <x:f>IF(A237="","",IF(OR(N237="",F237=""),"Dados incompletos",IF(OR(I237="pendente",I237="confirmado"),IF(K237="",0,COUNTIFS($F$2:$F$501,F237,$G$2:$G$501,"&lt;"&amp;N237,$N$2:$N$501,"&gt;"&amp;G237,$I$2:$I$501,"pendente",$K$2:$K$501,K237)+COUNTIFS($F$2:$F$501,F237,$G$2:$G$501,"&lt;"&amp;N237,$N$2:$N$501,"&gt;"&amp;G237,$I$2:$I$501,"confirmado",$K$2:$K$501,K237)-1),0)))</x:f>
      </x:c>
      <x:c r="P237" s="2" t="str">
        <x:f>IF(A237="","",IF(OR(N237="",F237=""),"Dados incompletos",IF(OR(I237="pendente",I237="confirmado"),COUNTIFS($F$2:$F$501,F237,$G$2:$G$501,"&lt;"&amp;N237,$N$2:$N$501,"&gt;"&amp;G237,$I$2:$I$501,"pendente",$E$2:$E$501,E237)+COUNTIFS($F$2:$F$501,F237,$G$2:$G$501,"&lt;"&amp;N237,$N$2:$N$501,"&gt;"&amp;G237,$I$2:$I$501,"confirmado",$E$2:$E$501,E237)-1,0)))</x:f>
      </x:c>
    </x:row>
    <x:row r="238" ht="24" customHeight="1">
      <x:c r="A238" s="17"/>
      <x:c r="B238" s="16"/>
      <x:c r="C238" s="2"/>
      <x:c r="D238" s="17"/>
      <x:c r="E238" s="2"/>
      <x:c r="F238" s="10"/>
      <x:c r="G238" s="11"/>
      <x:c r="H238" s="2"/>
      <x:c r="I238" s="7"/>
      <x:c r="J238" s="2"/>
      <x:c r="K238" s="2"/>
      <x:c r="L238" s="2"/>
      <x:c r="M238" s="2"/>
      <x:c r="N238" s="11" t="str">
        <x:f>IF(A238="","",IF(AND(ISNUMBER(G238),ISNUMBER(L238),ISNUMBER(M238)),G238+(L238+M238)/1440,""))</x:f>
      </x:c>
      <x:c r="O238" s="2" t="str">
        <x:f>IF(A238="","",IF(OR(N238="",F238=""),"Dados incompletos",IF(OR(I238="pendente",I238="confirmado"),IF(K238="",0,COUNTIFS($F$2:$F$501,F238,$G$2:$G$501,"&lt;"&amp;N238,$N$2:$N$501,"&gt;"&amp;G238,$I$2:$I$501,"pendente",$K$2:$K$501,K238)+COUNTIFS($F$2:$F$501,F238,$G$2:$G$501,"&lt;"&amp;N238,$N$2:$N$501,"&gt;"&amp;G238,$I$2:$I$501,"confirmado",$K$2:$K$501,K238)-1),0)))</x:f>
      </x:c>
      <x:c r="P238" s="2" t="str">
        <x:f>IF(A238="","",IF(OR(N238="",F238=""),"Dados incompletos",IF(OR(I238="pendente",I238="confirmado"),COUNTIFS($F$2:$F$501,F238,$G$2:$G$501,"&lt;"&amp;N238,$N$2:$N$501,"&gt;"&amp;G238,$I$2:$I$501,"pendente",$E$2:$E$501,E238)+COUNTIFS($F$2:$F$501,F238,$G$2:$G$501,"&lt;"&amp;N238,$N$2:$N$501,"&gt;"&amp;G238,$I$2:$I$501,"confirmado",$E$2:$E$501,E238)-1,0)))</x:f>
      </x:c>
    </x:row>
    <x:row r="239" ht="24" customHeight="1">
      <x:c r="A239" s="17"/>
      <x:c r="B239" s="16"/>
      <x:c r="C239" s="2"/>
      <x:c r="D239" s="17"/>
      <x:c r="E239" s="2"/>
      <x:c r="F239" s="10"/>
      <x:c r="G239" s="11"/>
      <x:c r="H239" s="2"/>
      <x:c r="I239" s="7"/>
      <x:c r="J239" s="2"/>
      <x:c r="K239" s="2"/>
      <x:c r="L239" s="2"/>
      <x:c r="M239" s="2"/>
      <x:c r="N239" s="11" t="str">
        <x:f>IF(A239="","",IF(AND(ISNUMBER(G239),ISNUMBER(L239),ISNUMBER(M239)),G239+(L239+M239)/1440,""))</x:f>
      </x:c>
      <x:c r="O239" s="2" t="str">
        <x:f>IF(A239="","",IF(OR(N239="",F239=""),"Dados incompletos",IF(OR(I239="pendente",I239="confirmado"),IF(K239="",0,COUNTIFS($F$2:$F$501,F239,$G$2:$G$501,"&lt;"&amp;N239,$N$2:$N$501,"&gt;"&amp;G239,$I$2:$I$501,"pendente",$K$2:$K$501,K239)+COUNTIFS($F$2:$F$501,F239,$G$2:$G$501,"&lt;"&amp;N239,$N$2:$N$501,"&gt;"&amp;G239,$I$2:$I$501,"confirmado",$K$2:$K$501,K239)-1),0)))</x:f>
      </x:c>
      <x:c r="P239" s="2" t="str">
        <x:f>IF(A239="","",IF(OR(N239="",F239=""),"Dados incompletos",IF(OR(I239="pendente",I239="confirmado"),COUNTIFS($F$2:$F$501,F239,$G$2:$G$501,"&lt;"&amp;N239,$N$2:$N$501,"&gt;"&amp;G239,$I$2:$I$501,"pendente",$E$2:$E$501,E239)+COUNTIFS($F$2:$F$501,F239,$G$2:$G$501,"&lt;"&amp;N239,$N$2:$N$501,"&gt;"&amp;G239,$I$2:$I$501,"confirmado",$E$2:$E$501,E239)-1,0)))</x:f>
      </x:c>
    </x:row>
    <x:row r="240" ht="24" customHeight="1">
      <x:c r="A240" s="17"/>
      <x:c r="B240" s="16"/>
      <x:c r="C240" s="2"/>
      <x:c r="D240" s="17"/>
      <x:c r="E240" s="2"/>
      <x:c r="F240" s="10"/>
      <x:c r="G240" s="11"/>
      <x:c r="H240" s="2"/>
      <x:c r="I240" s="7"/>
      <x:c r="J240" s="2"/>
      <x:c r="K240" s="2"/>
      <x:c r="L240" s="2"/>
      <x:c r="M240" s="2"/>
      <x:c r="N240" s="11" t="str">
        <x:f>IF(A240="","",IF(AND(ISNUMBER(G240),ISNUMBER(L240),ISNUMBER(M240)),G240+(L240+M240)/1440,""))</x:f>
      </x:c>
      <x:c r="O240" s="2" t="str">
        <x:f>IF(A240="","",IF(OR(N240="",F240=""),"Dados incompletos",IF(OR(I240="pendente",I240="confirmado"),IF(K240="",0,COUNTIFS($F$2:$F$501,F240,$G$2:$G$501,"&lt;"&amp;N240,$N$2:$N$501,"&gt;"&amp;G240,$I$2:$I$501,"pendente",$K$2:$K$501,K240)+COUNTIFS($F$2:$F$501,F240,$G$2:$G$501,"&lt;"&amp;N240,$N$2:$N$501,"&gt;"&amp;G240,$I$2:$I$501,"confirmado",$K$2:$K$501,K240)-1),0)))</x:f>
      </x:c>
      <x:c r="P240" s="2" t="str">
        <x:f>IF(A240="","",IF(OR(N240="",F240=""),"Dados incompletos",IF(OR(I240="pendente",I240="confirmado"),COUNTIFS($F$2:$F$501,F240,$G$2:$G$501,"&lt;"&amp;N240,$N$2:$N$501,"&gt;"&amp;G240,$I$2:$I$501,"pendente",$E$2:$E$501,E240)+COUNTIFS($F$2:$F$501,F240,$G$2:$G$501,"&lt;"&amp;N240,$N$2:$N$501,"&gt;"&amp;G240,$I$2:$I$501,"confirmado",$E$2:$E$501,E240)-1,0)))</x:f>
      </x:c>
    </x:row>
    <x:row r="241" ht="24" customHeight="1">
      <x:c r="A241" s="17"/>
      <x:c r="B241" s="16"/>
      <x:c r="C241" s="2"/>
      <x:c r="D241" s="17"/>
      <x:c r="E241" s="2"/>
      <x:c r="F241" s="10"/>
      <x:c r="G241" s="11"/>
      <x:c r="H241" s="2"/>
      <x:c r="I241" s="7"/>
      <x:c r="J241" s="2"/>
      <x:c r="K241" s="2"/>
      <x:c r="L241" s="2"/>
      <x:c r="M241" s="2"/>
      <x:c r="N241" s="11" t="str">
        <x:f>IF(A241="","",IF(AND(ISNUMBER(G241),ISNUMBER(L241),ISNUMBER(M241)),G241+(L241+M241)/1440,""))</x:f>
      </x:c>
      <x:c r="O241" s="2" t="str">
        <x:f>IF(A241="","",IF(OR(N241="",F241=""),"Dados incompletos",IF(OR(I241="pendente",I241="confirmado"),IF(K241="",0,COUNTIFS($F$2:$F$501,F241,$G$2:$G$501,"&lt;"&amp;N241,$N$2:$N$501,"&gt;"&amp;G241,$I$2:$I$501,"pendente",$K$2:$K$501,K241)+COUNTIFS($F$2:$F$501,F241,$G$2:$G$501,"&lt;"&amp;N241,$N$2:$N$501,"&gt;"&amp;G241,$I$2:$I$501,"confirmado",$K$2:$K$501,K241)-1),0)))</x:f>
      </x:c>
      <x:c r="P241" s="2" t="str">
        <x:f>IF(A241="","",IF(OR(N241="",F241=""),"Dados incompletos",IF(OR(I241="pendente",I241="confirmado"),COUNTIFS($F$2:$F$501,F241,$G$2:$G$501,"&lt;"&amp;N241,$N$2:$N$501,"&gt;"&amp;G241,$I$2:$I$501,"pendente",$E$2:$E$501,E241)+COUNTIFS($F$2:$F$501,F241,$G$2:$G$501,"&lt;"&amp;N241,$N$2:$N$501,"&gt;"&amp;G241,$I$2:$I$501,"confirmado",$E$2:$E$501,E241)-1,0)))</x:f>
      </x:c>
    </x:row>
    <x:row r="242" ht="24" customHeight="1">
      <x:c r="A242" s="17"/>
      <x:c r="B242" s="16"/>
      <x:c r="C242" s="2"/>
      <x:c r="D242" s="17"/>
      <x:c r="E242" s="2"/>
      <x:c r="F242" s="10"/>
      <x:c r="G242" s="11"/>
      <x:c r="H242" s="2"/>
      <x:c r="I242" s="7"/>
      <x:c r="J242" s="2"/>
      <x:c r="K242" s="2"/>
      <x:c r="L242" s="2"/>
      <x:c r="M242" s="2"/>
      <x:c r="N242" s="11" t="str">
        <x:f>IF(A242="","",IF(AND(ISNUMBER(G242),ISNUMBER(L242),ISNUMBER(M242)),G242+(L242+M242)/1440,""))</x:f>
      </x:c>
      <x:c r="O242" s="2" t="str">
        <x:f>IF(A242="","",IF(OR(N242="",F242=""),"Dados incompletos",IF(OR(I242="pendente",I242="confirmado"),IF(K242="",0,COUNTIFS($F$2:$F$501,F242,$G$2:$G$501,"&lt;"&amp;N242,$N$2:$N$501,"&gt;"&amp;G242,$I$2:$I$501,"pendente",$K$2:$K$501,K242)+COUNTIFS($F$2:$F$501,F242,$G$2:$G$501,"&lt;"&amp;N242,$N$2:$N$501,"&gt;"&amp;G242,$I$2:$I$501,"confirmado",$K$2:$K$501,K242)-1),0)))</x:f>
      </x:c>
      <x:c r="P242" s="2" t="str">
        <x:f>IF(A242="","",IF(OR(N242="",F242=""),"Dados incompletos",IF(OR(I242="pendente",I242="confirmado"),COUNTIFS($F$2:$F$501,F242,$G$2:$G$501,"&lt;"&amp;N242,$N$2:$N$501,"&gt;"&amp;G242,$I$2:$I$501,"pendente",$E$2:$E$501,E242)+COUNTIFS($F$2:$F$501,F242,$G$2:$G$501,"&lt;"&amp;N242,$N$2:$N$501,"&gt;"&amp;G242,$I$2:$I$501,"confirmado",$E$2:$E$501,E242)-1,0)))</x:f>
      </x:c>
    </x:row>
    <x:row r="243" ht="24" customHeight="1">
      <x:c r="A243" s="17"/>
      <x:c r="B243" s="16"/>
      <x:c r="C243" s="2"/>
      <x:c r="D243" s="17"/>
      <x:c r="E243" s="2"/>
      <x:c r="F243" s="10"/>
      <x:c r="G243" s="11"/>
      <x:c r="H243" s="2"/>
      <x:c r="I243" s="7"/>
      <x:c r="J243" s="2"/>
      <x:c r="K243" s="2"/>
      <x:c r="L243" s="2"/>
      <x:c r="M243" s="2"/>
      <x:c r="N243" s="11" t="str">
        <x:f>IF(A243="","",IF(AND(ISNUMBER(G243),ISNUMBER(L243),ISNUMBER(M243)),G243+(L243+M243)/1440,""))</x:f>
      </x:c>
      <x:c r="O243" s="2" t="str">
        <x:f>IF(A243="","",IF(OR(N243="",F243=""),"Dados incompletos",IF(OR(I243="pendente",I243="confirmado"),IF(K243="",0,COUNTIFS($F$2:$F$501,F243,$G$2:$G$501,"&lt;"&amp;N243,$N$2:$N$501,"&gt;"&amp;G243,$I$2:$I$501,"pendente",$K$2:$K$501,K243)+COUNTIFS($F$2:$F$501,F243,$G$2:$G$501,"&lt;"&amp;N243,$N$2:$N$501,"&gt;"&amp;G243,$I$2:$I$501,"confirmado",$K$2:$K$501,K243)-1),0)))</x:f>
      </x:c>
      <x:c r="P243" s="2" t="str">
        <x:f>IF(A243="","",IF(OR(N243="",F243=""),"Dados incompletos",IF(OR(I243="pendente",I243="confirmado"),COUNTIFS($F$2:$F$501,F243,$G$2:$G$501,"&lt;"&amp;N243,$N$2:$N$501,"&gt;"&amp;G243,$I$2:$I$501,"pendente",$E$2:$E$501,E243)+COUNTIFS($F$2:$F$501,F243,$G$2:$G$501,"&lt;"&amp;N243,$N$2:$N$501,"&gt;"&amp;G243,$I$2:$I$501,"confirmado",$E$2:$E$501,E243)-1,0)))</x:f>
      </x:c>
    </x:row>
    <x:row r="244" ht="24" customHeight="1">
      <x:c r="A244" s="17"/>
      <x:c r="B244" s="16"/>
      <x:c r="C244" s="2"/>
      <x:c r="D244" s="17"/>
      <x:c r="E244" s="2"/>
      <x:c r="F244" s="10"/>
      <x:c r="G244" s="11"/>
      <x:c r="H244" s="2"/>
      <x:c r="I244" s="7"/>
      <x:c r="J244" s="2"/>
      <x:c r="K244" s="2"/>
      <x:c r="L244" s="2"/>
      <x:c r="M244" s="2"/>
      <x:c r="N244" s="11" t="str">
        <x:f>IF(A244="","",IF(AND(ISNUMBER(G244),ISNUMBER(L244),ISNUMBER(M244)),G244+(L244+M244)/1440,""))</x:f>
      </x:c>
      <x:c r="O244" s="2" t="str">
        <x:f>IF(A244="","",IF(OR(N244="",F244=""),"Dados incompletos",IF(OR(I244="pendente",I244="confirmado"),IF(K244="",0,COUNTIFS($F$2:$F$501,F244,$G$2:$G$501,"&lt;"&amp;N244,$N$2:$N$501,"&gt;"&amp;G244,$I$2:$I$501,"pendente",$K$2:$K$501,K244)+COUNTIFS($F$2:$F$501,F244,$G$2:$G$501,"&lt;"&amp;N244,$N$2:$N$501,"&gt;"&amp;G244,$I$2:$I$501,"confirmado",$K$2:$K$501,K244)-1),0)))</x:f>
      </x:c>
      <x:c r="P244" s="2" t="str">
        <x:f>IF(A244="","",IF(OR(N244="",F244=""),"Dados incompletos",IF(OR(I244="pendente",I244="confirmado"),COUNTIFS($F$2:$F$501,F244,$G$2:$G$501,"&lt;"&amp;N244,$N$2:$N$501,"&gt;"&amp;G244,$I$2:$I$501,"pendente",$E$2:$E$501,E244)+COUNTIFS($F$2:$F$501,F244,$G$2:$G$501,"&lt;"&amp;N244,$N$2:$N$501,"&gt;"&amp;G244,$I$2:$I$501,"confirmado",$E$2:$E$501,E244)-1,0)))</x:f>
      </x:c>
    </x:row>
    <x:row r="245" ht="24" customHeight="1">
      <x:c r="A245" s="17"/>
      <x:c r="B245" s="16"/>
      <x:c r="C245" s="2"/>
      <x:c r="D245" s="17"/>
      <x:c r="E245" s="2"/>
      <x:c r="F245" s="10"/>
      <x:c r="G245" s="11"/>
      <x:c r="H245" s="2"/>
      <x:c r="I245" s="7"/>
      <x:c r="J245" s="2"/>
      <x:c r="K245" s="2"/>
      <x:c r="L245" s="2"/>
      <x:c r="M245" s="2"/>
      <x:c r="N245" s="11" t="str">
        <x:f>IF(A245="","",IF(AND(ISNUMBER(G245),ISNUMBER(L245),ISNUMBER(M245)),G245+(L245+M245)/1440,""))</x:f>
      </x:c>
      <x:c r="O245" s="2" t="str">
        <x:f>IF(A245="","",IF(OR(N245="",F245=""),"Dados incompletos",IF(OR(I245="pendente",I245="confirmado"),IF(K245="",0,COUNTIFS($F$2:$F$501,F245,$G$2:$G$501,"&lt;"&amp;N245,$N$2:$N$501,"&gt;"&amp;G245,$I$2:$I$501,"pendente",$K$2:$K$501,K245)+COUNTIFS($F$2:$F$501,F245,$G$2:$G$501,"&lt;"&amp;N245,$N$2:$N$501,"&gt;"&amp;G245,$I$2:$I$501,"confirmado",$K$2:$K$501,K245)-1),0)))</x:f>
      </x:c>
      <x:c r="P245" s="2" t="str">
        <x:f>IF(A245="","",IF(OR(N245="",F245=""),"Dados incompletos",IF(OR(I245="pendente",I245="confirmado"),COUNTIFS($F$2:$F$501,F245,$G$2:$G$501,"&lt;"&amp;N245,$N$2:$N$501,"&gt;"&amp;G245,$I$2:$I$501,"pendente",$E$2:$E$501,E245)+COUNTIFS($F$2:$F$501,F245,$G$2:$G$501,"&lt;"&amp;N245,$N$2:$N$501,"&gt;"&amp;G245,$I$2:$I$501,"confirmado",$E$2:$E$501,E245)-1,0)))</x:f>
      </x:c>
    </x:row>
    <x:row r="246" ht="24" customHeight="1">
      <x:c r="A246" s="17"/>
      <x:c r="B246" s="16"/>
      <x:c r="C246" s="2"/>
      <x:c r="D246" s="17"/>
      <x:c r="E246" s="2"/>
      <x:c r="F246" s="10"/>
      <x:c r="G246" s="11"/>
      <x:c r="H246" s="2"/>
      <x:c r="I246" s="7"/>
      <x:c r="J246" s="2"/>
      <x:c r="K246" s="2"/>
      <x:c r="L246" s="2"/>
      <x:c r="M246" s="2"/>
      <x:c r="N246" s="11" t="str">
        <x:f>IF(A246="","",IF(AND(ISNUMBER(G246),ISNUMBER(L246),ISNUMBER(M246)),G246+(L246+M246)/1440,""))</x:f>
      </x:c>
      <x:c r="O246" s="2" t="str">
        <x:f>IF(A246="","",IF(OR(N246="",F246=""),"Dados incompletos",IF(OR(I246="pendente",I246="confirmado"),IF(K246="",0,COUNTIFS($F$2:$F$501,F246,$G$2:$G$501,"&lt;"&amp;N246,$N$2:$N$501,"&gt;"&amp;G246,$I$2:$I$501,"pendente",$K$2:$K$501,K246)+COUNTIFS($F$2:$F$501,F246,$G$2:$G$501,"&lt;"&amp;N246,$N$2:$N$501,"&gt;"&amp;G246,$I$2:$I$501,"confirmado",$K$2:$K$501,K246)-1),0)))</x:f>
      </x:c>
      <x:c r="P246" s="2" t="str">
        <x:f>IF(A246="","",IF(OR(N246="",F246=""),"Dados incompletos",IF(OR(I246="pendente",I246="confirmado"),COUNTIFS($F$2:$F$501,F246,$G$2:$G$501,"&lt;"&amp;N246,$N$2:$N$501,"&gt;"&amp;G246,$I$2:$I$501,"pendente",$E$2:$E$501,E246)+COUNTIFS($F$2:$F$501,F246,$G$2:$G$501,"&lt;"&amp;N246,$N$2:$N$501,"&gt;"&amp;G246,$I$2:$I$501,"confirmado",$E$2:$E$501,E246)-1,0)))</x:f>
      </x:c>
    </x:row>
    <x:row r="247" ht="24" customHeight="1">
      <x:c r="A247" s="17"/>
      <x:c r="B247" s="16"/>
      <x:c r="C247" s="2"/>
      <x:c r="D247" s="17"/>
      <x:c r="E247" s="2"/>
      <x:c r="F247" s="10"/>
      <x:c r="G247" s="11"/>
      <x:c r="H247" s="2"/>
      <x:c r="I247" s="7"/>
      <x:c r="J247" s="2"/>
      <x:c r="K247" s="2"/>
      <x:c r="L247" s="2"/>
      <x:c r="M247" s="2"/>
      <x:c r="N247" s="11" t="str">
        <x:f>IF(A247="","",IF(AND(ISNUMBER(G247),ISNUMBER(L247),ISNUMBER(M247)),G247+(L247+M247)/1440,""))</x:f>
      </x:c>
      <x:c r="O247" s="2" t="str">
        <x:f>IF(A247="","",IF(OR(N247="",F247=""),"Dados incompletos",IF(OR(I247="pendente",I247="confirmado"),IF(K247="",0,COUNTIFS($F$2:$F$501,F247,$G$2:$G$501,"&lt;"&amp;N247,$N$2:$N$501,"&gt;"&amp;G247,$I$2:$I$501,"pendente",$K$2:$K$501,K247)+COUNTIFS($F$2:$F$501,F247,$G$2:$G$501,"&lt;"&amp;N247,$N$2:$N$501,"&gt;"&amp;G247,$I$2:$I$501,"confirmado",$K$2:$K$501,K247)-1),0)))</x:f>
      </x:c>
      <x:c r="P247" s="2" t="str">
        <x:f>IF(A247="","",IF(OR(N247="",F247=""),"Dados incompletos",IF(OR(I247="pendente",I247="confirmado"),COUNTIFS($F$2:$F$501,F247,$G$2:$G$501,"&lt;"&amp;N247,$N$2:$N$501,"&gt;"&amp;G247,$I$2:$I$501,"pendente",$E$2:$E$501,E247)+COUNTIFS($F$2:$F$501,F247,$G$2:$G$501,"&lt;"&amp;N247,$N$2:$N$501,"&gt;"&amp;G247,$I$2:$I$501,"confirmado",$E$2:$E$501,E247)-1,0)))</x:f>
      </x:c>
    </x:row>
    <x:row r="248" ht="24" customHeight="1">
      <x:c r="A248" s="17"/>
      <x:c r="B248" s="16"/>
      <x:c r="C248" s="2"/>
      <x:c r="D248" s="17"/>
      <x:c r="E248" s="2"/>
      <x:c r="F248" s="10"/>
      <x:c r="G248" s="11"/>
      <x:c r="H248" s="2"/>
      <x:c r="I248" s="7"/>
      <x:c r="J248" s="2"/>
      <x:c r="K248" s="2"/>
      <x:c r="L248" s="2"/>
      <x:c r="M248" s="2"/>
      <x:c r="N248" s="11" t="str">
        <x:f>IF(A248="","",IF(AND(ISNUMBER(G248),ISNUMBER(L248),ISNUMBER(M248)),G248+(L248+M248)/1440,""))</x:f>
      </x:c>
      <x:c r="O248" s="2" t="str">
        <x:f>IF(A248="","",IF(OR(N248="",F248=""),"Dados incompletos",IF(OR(I248="pendente",I248="confirmado"),IF(K248="",0,COUNTIFS($F$2:$F$501,F248,$G$2:$G$501,"&lt;"&amp;N248,$N$2:$N$501,"&gt;"&amp;G248,$I$2:$I$501,"pendente",$K$2:$K$501,K248)+COUNTIFS($F$2:$F$501,F248,$G$2:$G$501,"&lt;"&amp;N248,$N$2:$N$501,"&gt;"&amp;G248,$I$2:$I$501,"confirmado",$K$2:$K$501,K248)-1),0)))</x:f>
      </x:c>
      <x:c r="P248" s="2" t="str">
        <x:f>IF(A248="","",IF(OR(N248="",F248=""),"Dados incompletos",IF(OR(I248="pendente",I248="confirmado"),COUNTIFS($F$2:$F$501,F248,$G$2:$G$501,"&lt;"&amp;N248,$N$2:$N$501,"&gt;"&amp;G248,$I$2:$I$501,"pendente",$E$2:$E$501,E248)+COUNTIFS($F$2:$F$501,F248,$G$2:$G$501,"&lt;"&amp;N248,$N$2:$N$501,"&gt;"&amp;G248,$I$2:$I$501,"confirmado",$E$2:$E$501,E248)-1,0)))</x:f>
      </x:c>
    </x:row>
    <x:row r="249" ht="24" customHeight="1">
      <x:c r="A249" s="17"/>
      <x:c r="B249" s="16"/>
      <x:c r="C249" s="2"/>
      <x:c r="D249" s="17"/>
      <x:c r="E249" s="2"/>
      <x:c r="F249" s="10"/>
      <x:c r="G249" s="11"/>
      <x:c r="H249" s="2"/>
      <x:c r="I249" s="7"/>
      <x:c r="J249" s="2"/>
      <x:c r="K249" s="2"/>
      <x:c r="L249" s="2"/>
      <x:c r="M249" s="2"/>
      <x:c r="N249" s="11" t="str">
        <x:f>IF(A249="","",IF(AND(ISNUMBER(G249),ISNUMBER(L249),ISNUMBER(M249)),G249+(L249+M249)/1440,""))</x:f>
      </x:c>
      <x:c r="O249" s="2" t="str">
        <x:f>IF(A249="","",IF(OR(N249="",F249=""),"Dados incompletos",IF(OR(I249="pendente",I249="confirmado"),IF(K249="",0,COUNTIFS($F$2:$F$501,F249,$G$2:$G$501,"&lt;"&amp;N249,$N$2:$N$501,"&gt;"&amp;G249,$I$2:$I$501,"pendente",$K$2:$K$501,K249)+COUNTIFS($F$2:$F$501,F249,$G$2:$G$501,"&lt;"&amp;N249,$N$2:$N$501,"&gt;"&amp;G249,$I$2:$I$501,"confirmado",$K$2:$K$501,K249)-1),0)))</x:f>
      </x:c>
      <x:c r="P249" s="2" t="str">
        <x:f>IF(A249="","",IF(OR(N249="",F249=""),"Dados incompletos",IF(OR(I249="pendente",I249="confirmado"),COUNTIFS($F$2:$F$501,F249,$G$2:$G$501,"&lt;"&amp;N249,$N$2:$N$501,"&gt;"&amp;G249,$I$2:$I$501,"pendente",$E$2:$E$501,E249)+COUNTIFS($F$2:$F$501,F249,$G$2:$G$501,"&lt;"&amp;N249,$N$2:$N$501,"&gt;"&amp;G249,$I$2:$I$501,"confirmado",$E$2:$E$501,E249)-1,0)))</x:f>
      </x:c>
    </x:row>
    <x:row r="250" ht="24" customHeight="1">
      <x:c r="A250" s="17"/>
      <x:c r="B250" s="16"/>
      <x:c r="C250" s="2"/>
      <x:c r="D250" s="17"/>
      <x:c r="E250" s="2"/>
      <x:c r="F250" s="10"/>
      <x:c r="G250" s="11"/>
      <x:c r="H250" s="2"/>
      <x:c r="I250" s="7"/>
      <x:c r="J250" s="2"/>
      <x:c r="K250" s="2"/>
      <x:c r="L250" s="2"/>
      <x:c r="M250" s="2"/>
      <x:c r="N250" s="11" t="str">
        <x:f>IF(A250="","",IF(AND(ISNUMBER(G250),ISNUMBER(L250),ISNUMBER(M250)),G250+(L250+M250)/1440,""))</x:f>
      </x:c>
      <x:c r="O250" s="2" t="str">
        <x:f>IF(A250="","",IF(OR(N250="",F250=""),"Dados incompletos",IF(OR(I250="pendente",I250="confirmado"),IF(K250="",0,COUNTIFS($F$2:$F$501,F250,$G$2:$G$501,"&lt;"&amp;N250,$N$2:$N$501,"&gt;"&amp;G250,$I$2:$I$501,"pendente",$K$2:$K$501,K250)+COUNTIFS($F$2:$F$501,F250,$G$2:$G$501,"&lt;"&amp;N250,$N$2:$N$501,"&gt;"&amp;G250,$I$2:$I$501,"confirmado",$K$2:$K$501,K250)-1),0)))</x:f>
      </x:c>
      <x:c r="P250" s="2" t="str">
        <x:f>IF(A250="","",IF(OR(N250="",F250=""),"Dados incompletos",IF(OR(I250="pendente",I250="confirmado"),COUNTIFS($F$2:$F$501,F250,$G$2:$G$501,"&lt;"&amp;N250,$N$2:$N$501,"&gt;"&amp;G250,$I$2:$I$501,"pendente",$E$2:$E$501,E250)+COUNTIFS($F$2:$F$501,F250,$G$2:$G$501,"&lt;"&amp;N250,$N$2:$N$501,"&gt;"&amp;G250,$I$2:$I$501,"confirmado",$E$2:$E$501,E250)-1,0)))</x:f>
      </x:c>
    </x:row>
    <x:row r="251" ht="24" customHeight="1">
      <x:c r="A251" s="17"/>
      <x:c r="B251" s="16"/>
      <x:c r="C251" s="2"/>
      <x:c r="D251" s="17"/>
      <x:c r="E251" s="2"/>
      <x:c r="F251" s="10"/>
      <x:c r="G251" s="11"/>
      <x:c r="H251" s="2"/>
      <x:c r="I251" s="7"/>
      <x:c r="J251" s="2"/>
      <x:c r="K251" s="2"/>
      <x:c r="L251" s="2"/>
      <x:c r="M251" s="2"/>
      <x:c r="N251" s="11" t="str">
        <x:f>IF(A251="","",IF(AND(ISNUMBER(G251),ISNUMBER(L251),ISNUMBER(M251)),G251+(L251+M251)/1440,""))</x:f>
      </x:c>
      <x:c r="O251" s="2" t="str">
        <x:f>IF(A251="","",IF(OR(N251="",F251=""),"Dados incompletos",IF(OR(I251="pendente",I251="confirmado"),IF(K251="",0,COUNTIFS($F$2:$F$501,F251,$G$2:$G$501,"&lt;"&amp;N251,$N$2:$N$501,"&gt;"&amp;G251,$I$2:$I$501,"pendente",$K$2:$K$501,K251)+COUNTIFS($F$2:$F$501,F251,$G$2:$G$501,"&lt;"&amp;N251,$N$2:$N$501,"&gt;"&amp;G251,$I$2:$I$501,"confirmado",$K$2:$K$501,K251)-1),0)))</x:f>
      </x:c>
      <x:c r="P251" s="2" t="str">
        <x:f>IF(A251="","",IF(OR(N251="",F251=""),"Dados incompletos",IF(OR(I251="pendente",I251="confirmado"),COUNTIFS($F$2:$F$501,F251,$G$2:$G$501,"&lt;"&amp;N251,$N$2:$N$501,"&gt;"&amp;G251,$I$2:$I$501,"pendente",$E$2:$E$501,E251)+COUNTIFS($F$2:$F$501,F251,$G$2:$G$501,"&lt;"&amp;N251,$N$2:$N$501,"&gt;"&amp;G251,$I$2:$I$501,"confirmado",$E$2:$E$501,E251)-1,0)))</x:f>
      </x:c>
    </x:row>
    <x:row r="252" ht="24" customHeight="1">
      <x:c r="A252" s="17"/>
      <x:c r="B252" s="16"/>
      <x:c r="C252" s="2"/>
      <x:c r="D252" s="17"/>
      <x:c r="E252" s="2"/>
      <x:c r="F252" s="10"/>
      <x:c r="G252" s="11"/>
      <x:c r="H252" s="2"/>
      <x:c r="I252" s="7"/>
      <x:c r="J252" s="2"/>
      <x:c r="K252" s="2"/>
      <x:c r="L252" s="2"/>
      <x:c r="M252" s="2"/>
      <x:c r="N252" s="11" t="str">
        <x:f>IF(A252="","",IF(AND(ISNUMBER(G252),ISNUMBER(L252),ISNUMBER(M252)),G252+(L252+M252)/1440,""))</x:f>
      </x:c>
      <x:c r="O252" s="2" t="str">
        <x:f>IF(A252="","",IF(OR(N252="",F252=""),"Dados incompletos",IF(OR(I252="pendente",I252="confirmado"),IF(K252="",0,COUNTIFS($F$2:$F$501,F252,$G$2:$G$501,"&lt;"&amp;N252,$N$2:$N$501,"&gt;"&amp;G252,$I$2:$I$501,"pendente",$K$2:$K$501,K252)+COUNTIFS($F$2:$F$501,F252,$G$2:$G$501,"&lt;"&amp;N252,$N$2:$N$501,"&gt;"&amp;G252,$I$2:$I$501,"confirmado",$K$2:$K$501,K252)-1),0)))</x:f>
      </x:c>
      <x:c r="P252" s="2" t="str">
        <x:f>IF(A252="","",IF(OR(N252="",F252=""),"Dados incompletos",IF(OR(I252="pendente",I252="confirmado"),COUNTIFS($F$2:$F$501,F252,$G$2:$G$501,"&lt;"&amp;N252,$N$2:$N$501,"&gt;"&amp;G252,$I$2:$I$501,"pendente",$E$2:$E$501,E252)+COUNTIFS($F$2:$F$501,F252,$G$2:$G$501,"&lt;"&amp;N252,$N$2:$N$501,"&gt;"&amp;G252,$I$2:$I$501,"confirmado",$E$2:$E$501,E252)-1,0)))</x:f>
      </x:c>
    </x:row>
    <x:row r="253" ht="24" customHeight="1">
      <x:c r="A253" s="17"/>
      <x:c r="B253" s="16"/>
      <x:c r="C253" s="2"/>
      <x:c r="D253" s="17"/>
      <x:c r="E253" s="2"/>
      <x:c r="F253" s="10"/>
      <x:c r="G253" s="11"/>
      <x:c r="H253" s="2"/>
      <x:c r="I253" s="7"/>
      <x:c r="J253" s="2"/>
      <x:c r="K253" s="2"/>
      <x:c r="L253" s="2"/>
      <x:c r="M253" s="2"/>
      <x:c r="N253" s="11" t="str">
        <x:f>IF(A253="","",IF(AND(ISNUMBER(G253),ISNUMBER(L253),ISNUMBER(M253)),G253+(L253+M253)/1440,""))</x:f>
      </x:c>
      <x:c r="O253" s="2" t="str">
        <x:f>IF(A253="","",IF(OR(N253="",F253=""),"Dados incompletos",IF(OR(I253="pendente",I253="confirmado"),IF(K253="",0,COUNTIFS($F$2:$F$501,F253,$G$2:$G$501,"&lt;"&amp;N253,$N$2:$N$501,"&gt;"&amp;G253,$I$2:$I$501,"pendente",$K$2:$K$501,K253)+COUNTIFS($F$2:$F$501,F253,$G$2:$G$501,"&lt;"&amp;N253,$N$2:$N$501,"&gt;"&amp;G253,$I$2:$I$501,"confirmado",$K$2:$K$501,K253)-1),0)))</x:f>
      </x:c>
      <x:c r="P253" s="2" t="str">
        <x:f>IF(A253="","",IF(OR(N253="",F253=""),"Dados incompletos",IF(OR(I253="pendente",I253="confirmado"),COUNTIFS($F$2:$F$501,F253,$G$2:$G$501,"&lt;"&amp;N253,$N$2:$N$501,"&gt;"&amp;G253,$I$2:$I$501,"pendente",$E$2:$E$501,E253)+COUNTIFS($F$2:$F$501,F253,$G$2:$G$501,"&lt;"&amp;N253,$N$2:$N$501,"&gt;"&amp;G253,$I$2:$I$501,"confirmado",$E$2:$E$501,E253)-1,0)))</x:f>
      </x:c>
    </x:row>
    <x:row r="254" ht="24" customHeight="1">
      <x:c r="A254" s="17"/>
      <x:c r="B254" s="16"/>
      <x:c r="C254" s="2"/>
      <x:c r="D254" s="17"/>
      <x:c r="E254" s="2"/>
      <x:c r="F254" s="10"/>
      <x:c r="G254" s="11"/>
      <x:c r="H254" s="2"/>
      <x:c r="I254" s="7"/>
      <x:c r="J254" s="2"/>
      <x:c r="K254" s="2"/>
      <x:c r="L254" s="2"/>
      <x:c r="M254" s="2"/>
      <x:c r="N254" s="11" t="str">
        <x:f>IF(A254="","",IF(AND(ISNUMBER(G254),ISNUMBER(L254),ISNUMBER(M254)),G254+(L254+M254)/1440,""))</x:f>
      </x:c>
      <x:c r="O254" s="2" t="str">
        <x:f>IF(A254="","",IF(OR(N254="",F254=""),"Dados incompletos",IF(OR(I254="pendente",I254="confirmado"),IF(K254="",0,COUNTIFS($F$2:$F$501,F254,$G$2:$G$501,"&lt;"&amp;N254,$N$2:$N$501,"&gt;"&amp;G254,$I$2:$I$501,"pendente",$K$2:$K$501,K254)+COUNTIFS($F$2:$F$501,F254,$G$2:$G$501,"&lt;"&amp;N254,$N$2:$N$501,"&gt;"&amp;G254,$I$2:$I$501,"confirmado",$K$2:$K$501,K254)-1),0)))</x:f>
      </x:c>
      <x:c r="P254" s="2" t="str">
        <x:f>IF(A254="","",IF(OR(N254="",F254=""),"Dados incompletos",IF(OR(I254="pendente",I254="confirmado"),COUNTIFS($F$2:$F$501,F254,$G$2:$G$501,"&lt;"&amp;N254,$N$2:$N$501,"&gt;"&amp;G254,$I$2:$I$501,"pendente",$E$2:$E$501,E254)+COUNTIFS($F$2:$F$501,F254,$G$2:$G$501,"&lt;"&amp;N254,$N$2:$N$501,"&gt;"&amp;G254,$I$2:$I$501,"confirmado",$E$2:$E$501,E254)-1,0)))</x:f>
      </x:c>
    </x:row>
    <x:row r="255" ht="24" customHeight="1">
      <x:c r="A255" s="17"/>
      <x:c r="B255" s="16"/>
      <x:c r="C255" s="2"/>
      <x:c r="D255" s="17"/>
      <x:c r="E255" s="2"/>
      <x:c r="F255" s="10"/>
      <x:c r="G255" s="11"/>
      <x:c r="H255" s="2"/>
      <x:c r="I255" s="7"/>
      <x:c r="J255" s="2"/>
      <x:c r="K255" s="2"/>
      <x:c r="L255" s="2"/>
      <x:c r="M255" s="2"/>
      <x:c r="N255" s="11" t="str">
        <x:f>IF(A255="","",IF(AND(ISNUMBER(G255),ISNUMBER(L255),ISNUMBER(M255)),G255+(L255+M255)/1440,""))</x:f>
      </x:c>
      <x:c r="O255" s="2" t="str">
        <x:f>IF(A255="","",IF(OR(N255="",F255=""),"Dados incompletos",IF(OR(I255="pendente",I255="confirmado"),IF(K255="",0,COUNTIFS($F$2:$F$501,F255,$G$2:$G$501,"&lt;"&amp;N255,$N$2:$N$501,"&gt;"&amp;G255,$I$2:$I$501,"pendente",$K$2:$K$501,K255)+COUNTIFS($F$2:$F$501,F255,$G$2:$G$501,"&lt;"&amp;N255,$N$2:$N$501,"&gt;"&amp;G255,$I$2:$I$501,"confirmado",$K$2:$K$501,K255)-1),0)))</x:f>
      </x:c>
      <x:c r="P255" s="2" t="str">
        <x:f>IF(A255="","",IF(OR(N255="",F255=""),"Dados incompletos",IF(OR(I255="pendente",I255="confirmado"),COUNTIFS($F$2:$F$501,F255,$G$2:$G$501,"&lt;"&amp;N255,$N$2:$N$501,"&gt;"&amp;G255,$I$2:$I$501,"pendente",$E$2:$E$501,E255)+COUNTIFS($F$2:$F$501,F255,$G$2:$G$501,"&lt;"&amp;N255,$N$2:$N$501,"&gt;"&amp;G255,$I$2:$I$501,"confirmado",$E$2:$E$501,E255)-1,0)))</x:f>
      </x:c>
    </x:row>
    <x:row r="256" ht="24" customHeight="1">
      <x:c r="A256" s="17"/>
      <x:c r="B256" s="16"/>
      <x:c r="C256" s="2"/>
      <x:c r="D256" s="17"/>
      <x:c r="E256" s="2"/>
      <x:c r="F256" s="10"/>
      <x:c r="G256" s="11"/>
      <x:c r="H256" s="2"/>
      <x:c r="I256" s="7"/>
      <x:c r="J256" s="2"/>
      <x:c r="K256" s="2"/>
      <x:c r="L256" s="2"/>
      <x:c r="M256" s="2"/>
      <x:c r="N256" s="11" t="str">
        <x:f>IF(A256="","",IF(AND(ISNUMBER(G256),ISNUMBER(L256),ISNUMBER(M256)),G256+(L256+M256)/1440,""))</x:f>
      </x:c>
      <x:c r="O256" s="2" t="str">
        <x:f>IF(A256="","",IF(OR(N256="",F256=""),"Dados incompletos",IF(OR(I256="pendente",I256="confirmado"),IF(K256="",0,COUNTIFS($F$2:$F$501,F256,$G$2:$G$501,"&lt;"&amp;N256,$N$2:$N$501,"&gt;"&amp;G256,$I$2:$I$501,"pendente",$K$2:$K$501,K256)+COUNTIFS($F$2:$F$501,F256,$G$2:$G$501,"&lt;"&amp;N256,$N$2:$N$501,"&gt;"&amp;G256,$I$2:$I$501,"confirmado",$K$2:$K$501,K256)-1),0)))</x:f>
      </x:c>
      <x:c r="P256" s="2" t="str">
        <x:f>IF(A256="","",IF(OR(N256="",F256=""),"Dados incompletos",IF(OR(I256="pendente",I256="confirmado"),COUNTIFS($F$2:$F$501,F256,$G$2:$G$501,"&lt;"&amp;N256,$N$2:$N$501,"&gt;"&amp;G256,$I$2:$I$501,"pendente",$E$2:$E$501,E256)+COUNTIFS($F$2:$F$501,F256,$G$2:$G$501,"&lt;"&amp;N256,$N$2:$N$501,"&gt;"&amp;G256,$I$2:$I$501,"confirmado",$E$2:$E$501,E256)-1,0)))</x:f>
      </x:c>
    </x:row>
    <x:row r="257" ht="24" customHeight="1">
      <x:c r="A257" s="17"/>
      <x:c r="B257" s="16"/>
      <x:c r="C257" s="2"/>
      <x:c r="D257" s="17"/>
      <x:c r="E257" s="2"/>
      <x:c r="F257" s="10"/>
      <x:c r="G257" s="11"/>
      <x:c r="H257" s="2"/>
      <x:c r="I257" s="7"/>
      <x:c r="J257" s="2"/>
      <x:c r="K257" s="2"/>
      <x:c r="L257" s="2"/>
      <x:c r="M257" s="2"/>
      <x:c r="N257" s="11" t="str">
        <x:f>IF(A257="","",IF(AND(ISNUMBER(G257),ISNUMBER(L257),ISNUMBER(M257)),G257+(L257+M257)/1440,""))</x:f>
      </x:c>
      <x:c r="O257" s="2" t="str">
        <x:f>IF(A257="","",IF(OR(N257="",F257=""),"Dados incompletos",IF(OR(I257="pendente",I257="confirmado"),IF(K257="",0,COUNTIFS($F$2:$F$501,F257,$G$2:$G$501,"&lt;"&amp;N257,$N$2:$N$501,"&gt;"&amp;G257,$I$2:$I$501,"pendente",$K$2:$K$501,K257)+COUNTIFS($F$2:$F$501,F257,$G$2:$G$501,"&lt;"&amp;N257,$N$2:$N$501,"&gt;"&amp;G257,$I$2:$I$501,"confirmado",$K$2:$K$501,K257)-1),0)))</x:f>
      </x:c>
      <x:c r="P257" s="2" t="str">
        <x:f>IF(A257="","",IF(OR(N257="",F257=""),"Dados incompletos",IF(OR(I257="pendente",I257="confirmado"),COUNTIFS($F$2:$F$501,F257,$G$2:$G$501,"&lt;"&amp;N257,$N$2:$N$501,"&gt;"&amp;G257,$I$2:$I$501,"pendente",$E$2:$E$501,E257)+COUNTIFS($F$2:$F$501,F257,$G$2:$G$501,"&lt;"&amp;N257,$N$2:$N$501,"&gt;"&amp;G257,$I$2:$I$501,"confirmado",$E$2:$E$501,E257)-1,0)))</x:f>
      </x:c>
    </x:row>
    <x:row r="258" ht="24" customHeight="1">
      <x:c r="A258" s="17"/>
      <x:c r="B258" s="16"/>
      <x:c r="C258" s="2"/>
      <x:c r="D258" s="17"/>
      <x:c r="E258" s="2"/>
      <x:c r="F258" s="10"/>
      <x:c r="G258" s="11"/>
      <x:c r="H258" s="2"/>
      <x:c r="I258" s="7"/>
      <x:c r="J258" s="2"/>
      <x:c r="K258" s="2"/>
      <x:c r="L258" s="2"/>
      <x:c r="M258" s="2"/>
      <x:c r="N258" s="11" t="str">
        <x:f>IF(A258="","",IF(AND(ISNUMBER(G258),ISNUMBER(L258),ISNUMBER(M258)),G258+(L258+M258)/1440,""))</x:f>
      </x:c>
      <x:c r="O258" s="2" t="str">
        <x:f>IF(A258="","",IF(OR(N258="",F258=""),"Dados incompletos",IF(OR(I258="pendente",I258="confirmado"),IF(K258="",0,COUNTIFS($F$2:$F$501,F258,$G$2:$G$501,"&lt;"&amp;N258,$N$2:$N$501,"&gt;"&amp;G258,$I$2:$I$501,"pendente",$K$2:$K$501,K258)+COUNTIFS($F$2:$F$501,F258,$G$2:$G$501,"&lt;"&amp;N258,$N$2:$N$501,"&gt;"&amp;G258,$I$2:$I$501,"confirmado",$K$2:$K$501,K258)-1),0)))</x:f>
      </x:c>
      <x:c r="P258" s="2" t="str">
        <x:f>IF(A258="","",IF(OR(N258="",F258=""),"Dados incompletos",IF(OR(I258="pendente",I258="confirmado"),COUNTIFS($F$2:$F$501,F258,$G$2:$G$501,"&lt;"&amp;N258,$N$2:$N$501,"&gt;"&amp;G258,$I$2:$I$501,"pendente",$E$2:$E$501,E258)+COUNTIFS($F$2:$F$501,F258,$G$2:$G$501,"&lt;"&amp;N258,$N$2:$N$501,"&gt;"&amp;G258,$I$2:$I$501,"confirmado",$E$2:$E$501,E258)-1,0)))</x:f>
      </x:c>
    </x:row>
    <x:row r="259" ht="24" customHeight="1">
      <x:c r="A259" s="17"/>
      <x:c r="B259" s="16"/>
      <x:c r="C259" s="2"/>
      <x:c r="D259" s="17"/>
      <x:c r="E259" s="2"/>
      <x:c r="F259" s="10"/>
      <x:c r="G259" s="11"/>
      <x:c r="H259" s="2"/>
      <x:c r="I259" s="7"/>
      <x:c r="J259" s="2"/>
      <x:c r="K259" s="2"/>
      <x:c r="L259" s="2"/>
      <x:c r="M259" s="2"/>
      <x:c r="N259" s="11" t="str">
        <x:f>IF(A259="","",IF(AND(ISNUMBER(G259),ISNUMBER(L259),ISNUMBER(M259)),G259+(L259+M259)/1440,""))</x:f>
      </x:c>
      <x:c r="O259" s="2" t="str">
        <x:f>IF(A259="","",IF(OR(N259="",F259=""),"Dados incompletos",IF(OR(I259="pendente",I259="confirmado"),IF(K259="",0,COUNTIFS($F$2:$F$501,F259,$G$2:$G$501,"&lt;"&amp;N259,$N$2:$N$501,"&gt;"&amp;G259,$I$2:$I$501,"pendente",$K$2:$K$501,K259)+COUNTIFS($F$2:$F$501,F259,$G$2:$G$501,"&lt;"&amp;N259,$N$2:$N$501,"&gt;"&amp;G259,$I$2:$I$501,"confirmado",$K$2:$K$501,K259)-1),0)))</x:f>
      </x:c>
      <x:c r="P259" s="2" t="str">
        <x:f>IF(A259="","",IF(OR(N259="",F259=""),"Dados incompletos",IF(OR(I259="pendente",I259="confirmado"),COUNTIFS($F$2:$F$501,F259,$G$2:$G$501,"&lt;"&amp;N259,$N$2:$N$501,"&gt;"&amp;G259,$I$2:$I$501,"pendente",$E$2:$E$501,E259)+COUNTIFS($F$2:$F$501,F259,$G$2:$G$501,"&lt;"&amp;N259,$N$2:$N$501,"&gt;"&amp;G259,$I$2:$I$501,"confirmado",$E$2:$E$501,E259)-1,0)))</x:f>
      </x:c>
    </x:row>
    <x:row r="260" ht="24" customHeight="1">
      <x:c r="A260" s="17"/>
      <x:c r="B260" s="16"/>
      <x:c r="C260" s="2"/>
      <x:c r="D260" s="17"/>
      <x:c r="E260" s="2"/>
      <x:c r="F260" s="10"/>
      <x:c r="G260" s="11"/>
      <x:c r="H260" s="2"/>
      <x:c r="I260" s="7"/>
      <x:c r="J260" s="2"/>
      <x:c r="K260" s="2"/>
      <x:c r="L260" s="2"/>
      <x:c r="M260" s="2"/>
      <x:c r="N260" s="11" t="str">
        <x:f>IF(A260="","",IF(AND(ISNUMBER(G260),ISNUMBER(L260),ISNUMBER(M260)),G260+(L260+M260)/1440,""))</x:f>
      </x:c>
      <x:c r="O260" s="2" t="str">
        <x:f>IF(A260="","",IF(OR(N260="",F260=""),"Dados incompletos",IF(OR(I260="pendente",I260="confirmado"),IF(K260="",0,COUNTIFS($F$2:$F$501,F260,$G$2:$G$501,"&lt;"&amp;N260,$N$2:$N$501,"&gt;"&amp;G260,$I$2:$I$501,"pendente",$K$2:$K$501,K260)+COUNTIFS($F$2:$F$501,F260,$G$2:$G$501,"&lt;"&amp;N260,$N$2:$N$501,"&gt;"&amp;G260,$I$2:$I$501,"confirmado",$K$2:$K$501,K260)-1),0)))</x:f>
      </x:c>
      <x:c r="P260" s="2" t="str">
        <x:f>IF(A260="","",IF(OR(N260="",F260=""),"Dados incompletos",IF(OR(I260="pendente",I260="confirmado"),COUNTIFS($F$2:$F$501,F260,$G$2:$G$501,"&lt;"&amp;N260,$N$2:$N$501,"&gt;"&amp;G260,$I$2:$I$501,"pendente",$E$2:$E$501,E260)+COUNTIFS($F$2:$F$501,F260,$G$2:$G$501,"&lt;"&amp;N260,$N$2:$N$501,"&gt;"&amp;G260,$I$2:$I$501,"confirmado",$E$2:$E$501,E260)-1,0)))</x:f>
      </x:c>
    </x:row>
    <x:row r="261" ht="24" customHeight="1">
      <x:c r="A261" s="17"/>
      <x:c r="B261" s="16"/>
      <x:c r="C261" s="2"/>
      <x:c r="D261" s="17"/>
      <x:c r="E261" s="2"/>
      <x:c r="F261" s="10"/>
      <x:c r="G261" s="11"/>
      <x:c r="H261" s="2"/>
      <x:c r="I261" s="7"/>
      <x:c r="J261" s="2"/>
      <x:c r="K261" s="2"/>
      <x:c r="L261" s="2"/>
      <x:c r="M261" s="2"/>
      <x:c r="N261" s="11" t="str">
        <x:f>IF(A261="","",IF(AND(ISNUMBER(G261),ISNUMBER(L261),ISNUMBER(M261)),G261+(L261+M261)/1440,""))</x:f>
      </x:c>
      <x:c r="O261" s="2" t="str">
        <x:f>IF(A261="","",IF(OR(N261="",F261=""),"Dados incompletos",IF(OR(I261="pendente",I261="confirmado"),IF(K261="",0,COUNTIFS($F$2:$F$501,F261,$G$2:$G$501,"&lt;"&amp;N261,$N$2:$N$501,"&gt;"&amp;G261,$I$2:$I$501,"pendente",$K$2:$K$501,K261)+COUNTIFS($F$2:$F$501,F261,$G$2:$G$501,"&lt;"&amp;N261,$N$2:$N$501,"&gt;"&amp;G261,$I$2:$I$501,"confirmado",$K$2:$K$501,K261)-1),0)))</x:f>
      </x:c>
      <x:c r="P261" s="2" t="str">
        <x:f>IF(A261="","",IF(OR(N261="",F261=""),"Dados incompletos",IF(OR(I261="pendente",I261="confirmado"),COUNTIFS($F$2:$F$501,F261,$G$2:$G$501,"&lt;"&amp;N261,$N$2:$N$501,"&gt;"&amp;G261,$I$2:$I$501,"pendente",$E$2:$E$501,E261)+COUNTIFS($F$2:$F$501,F261,$G$2:$G$501,"&lt;"&amp;N261,$N$2:$N$501,"&gt;"&amp;G261,$I$2:$I$501,"confirmado",$E$2:$E$501,E261)-1,0)))</x:f>
      </x:c>
    </x:row>
    <x:row r="262" ht="24" customHeight="1">
      <x:c r="A262" s="17"/>
      <x:c r="B262" s="16"/>
      <x:c r="C262" s="2"/>
      <x:c r="D262" s="17"/>
      <x:c r="E262" s="2"/>
      <x:c r="F262" s="10"/>
      <x:c r="G262" s="11"/>
      <x:c r="H262" s="2"/>
      <x:c r="I262" s="7"/>
      <x:c r="J262" s="2"/>
      <x:c r="K262" s="2"/>
      <x:c r="L262" s="2"/>
      <x:c r="M262" s="2"/>
      <x:c r="N262" s="11" t="str">
        <x:f>IF(A262="","",IF(AND(ISNUMBER(G262),ISNUMBER(L262),ISNUMBER(M262)),G262+(L262+M262)/1440,""))</x:f>
      </x:c>
      <x:c r="O262" s="2" t="str">
        <x:f>IF(A262="","",IF(OR(N262="",F262=""),"Dados incompletos",IF(OR(I262="pendente",I262="confirmado"),IF(K262="",0,COUNTIFS($F$2:$F$501,F262,$G$2:$G$501,"&lt;"&amp;N262,$N$2:$N$501,"&gt;"&amp;G262,$I$2:$I$501,"pendente",$K$2:$K$501,K262)+COUNTIFS($F$2:$F$501,F262,$G$2:$G$501,"&lt;"&amp;N262,$N$2:$N$501,"&gt;"&amp;G262,$I$2:$I$501,"confirmado",$K$2:$K$501,K262)-1),0)))</x:f>
      </x:c>
      <x:c r="P262" s="2" t="str">
        <x:f>IF(A262="","",IF(OR(N262="",F262=""),"Dados incompletos",IF(OR(I262="pendente",I262="confirmado"),COUNTIFS($F$2:$F$501,F262,$G$2:$G$501,"&lt;"&amp;N262,$N$2:$N$501,"&gt;"&amp;G262,$I$2:$I$501,"pendente",$E$2:$E$501,E262)+COUNTIFS($F$2:$F$501,F262,$G$2:$G$501,"&lt;"&amp;N262,$N$2:$N$501,"&gt;"&amp;G262,$I$2:$I$501,"confirmado",$E$2:$E$501,E262)-1,0)))</x:f>
      </x:c>
    </x:row>
    <x:row r="263" ht="24" customHeight="1">
      <x:c r="A263" s="17"/>
      <x:c r="B263" s="16"/>
      <x:c r="C263" s="2"/>
      <x:c r="D263" s="17"/>
      <x:c r="E263" s="2"/>
      <x:c r="F263" s="10"/>
      <x:c r="G263" s="11"/>
      <x:c r="H263" s="2"/>
      <x:c r="I263" s="7"/>
      <x:c r="J263" s="2"/>
      <x:c r="K263" s="2"/>
      <x:c r="L263" s="2"/>
      <x:c r="M263" s="2"/>
      <x:c r="N263" s="11" t="str">
        <x:f>IF(A263="","",IF(AND(ISNUMBER(G263),ISNUMBER(L263),ISNUMBER(M263)),G263+(L263+M263)/1440,""))</x:f>
      </x:c>
      <x:c r="O263" s="2" t="str">
        <x:f>IF(A263="","",IF(OR(N263="",F263=""),"Dados incompletos",IF(OR(I263="pendente",I263="confirmado"),IF(K263="",0,COUNTIFS($F$2:$F$501,F263,$G$2:$G$501,"&lt;"&amp;N263,$N$2:$N$501,"&gt;"&amp;G263,$I$2:$I$501,"pendente",$K$2:$K$501,K263)+COUNTIFS($F$2:$F$501,F263,$G$2:$G$501,"&lt;"&amp;N263,$N$2:$N$501,"&gt;"&amp;G263,$I$2:$I$501,"confirmado",$K$2:$K$501,K263)-1),0)))</x:f>
      </x:c>
      <x:c r="P263" s="2" t="str">
        <x:f>IF(A263="","",IF(OR(N263="",F263=""),"Dados incompletos",IF(OR(I263="pendente",I263="confirmado"),COUNTIFS($F$2:$F$501,F263,$G$2:$G$501,"&lt;"&amp;N263,$N$2:$N$501,"&gt;"&amp;G263,$I$2:$I$501,"pendente",$E$2:$E$501,E263)+COUNTIFS($F$2:$F$501,F263,$G$2:$G$501,"&lt;"&amp;N263,$N$2:$N$501,"&gt;"&amp;G263,$I$2:$I$501,"confirmado",$E$2:$E$501,E263)-1,0)))</x:f>
      </x:c>
    </x:row>
    <x:row r="264" ht="24" customHeight="1">
      <x:c r="A264" s="17"/>
      <x:c r="B264" s="16"/>
      <x:c r="C264" s="2"/>
      <x:c r="D264" s="17"/>
      <x:c r="E264" s="2"/>
      <x:c r="F264" s="10"/>
      <x:c r="G264" s="11"/>
      <x:c r="H264" s="2"/>
      <x:c r="I264" s="7"/>
      <x:c r="J264" s="2"/>
      <x:c r="K264" s="2"/>
      <x:c r="L264" s="2"/>
      <x:c r="M264" s="2"/>
      <x:c r="N264" s="11" t="str">
        <x:f>IF(A264="","",IF(AND(ISNUMBER(G264),ISNUMBER(L264),ISNUMBER(M264)),G264+(L264+M264)/1440,""))</x:f>
      </x:c>
      <x:c r="O264" s="2" t="str">
        <x:f>IF(A264="","",IF(OR(N264="",F264=""),"Dados incompletos",IF(OR(I264="pendente",I264="confirmado"),IF(K264="",0,COUNTIFS($F$2:$F$501,F264,$G$2:$G$501,"&lt;"&amp;N264,$N$2:$N$501,"&gt;"&amp;G264,$I$2:$I$501,"pendente",$K$2:$K$501,K264)+COUNTIFS($F$2:$F$501,F264,$G$2:$G$501,"&lt;"&amp;N264,$N$2:$N$501,"&gt;"&amp;G264,$I$2:$I$501,"confirmado",$K$2:$K$501,K264)-1),0)))</x:f>
      </x:c>
      <x:c r="P264" s="2" t="str">
        <x:f>IF(A264="","",IF(OR(N264="",F264=""),"Dados incompletos",IF(OR(I264="pendente",I264="confirmado"),COUNTIFS($F$2:$F$501,F264,$G$2:$G$501,"&lt;"&amp;N264,$N$2:$N$501,"&gt;"&amp;G264,$I$2:$I$501,"pendente",$E$2:$E$501,E264)+COUNTIFS($F$2:$F$501,F264,$G$2:$G$501,"&lt;"&amp;N264,$N$2:$N$501,"&gt;"&amp;G264,$I$2:$I$501,"confirmado",$E$2:$E$501,E264)-1,0)))</x:f>
      </x:c>
    </x:row>
    <x:row r="265" ht="24" customHeight="1">
      <x:c r="A265" s="17"/>
      <x:c r="B265" s="16"/>
      <x:c r="C265" s="2"/>
      <x:c r="D265" s="17"/>
      <x:c r="E265" s="2"/>
      <x:c r="F265" s="10"/>
      <x:c r="G265" s="11"/>
      <x:c r="H265" s="2"/>
      <x:c r="I265" s="7"/>
      <x:c r="J265" s="2"/>
      <x:c r="K265" s="2"/>
      <x:c r="L265" s="2"/>
      <x:c r="M265" s="2"/>
      <x:c r="N265" s="11" t="str">
        <x:f>IF(A265="","",IF(AND(ISNUMBER(G265),ISNUMBER(L265),ISNUMBER(M265)),G265+(L265+M265)/1440,""))</x:f>
      </x:c>
      <x:c r="O265" s="2" t="str">
        <x:f>IF(A265="","",IF(OR(N265="",F265=""),"Dados incompletos",IF(OR(I265="pendente",I265="confirmado"),IF(K265="",0,COUNTIFS($F$2:$F$501,F265,$G$2:$G$501,"&lt;"&amp;N265,$N$2:$N$501,"&gt;"&amp;G265,$I$2:$I$501,"pendente",$K$2:$K$501,K265)+COUNTIFS($F$2:$F$501,F265,$G$2:$G$501,"&lt;"&amp;N265,$N$2:$N$501,"&gt;"&amp;G265,$I$2:$I$501,"confirmado",$K$2:$K$501,K265)-1),0)))</x:f>
      </x:c>
      <x:c r="P265" s="2" t="str">
        <x:f>IF(A265="","",IF(OR(N265="",F265=""),"Dados incompletos",IF(OR(I265="pendente",I265="confirmado"),COUNTIFS($F$2:$F$501,F265,$G$2:$G$501,"&lt;"&amp;N265,$N$2:$N$501,"&gt;"&amp;G265,$I$2:$I$501,"pendente",$E$2:$E$501,E265)+COUNTIFS($F$2:$F$501,F265,$G$2:$G$501,"&lt;"&amp;N265,$N$2:$N$501,"&gt;"&amp;G265,$I$2:$I$501,"confirmado",$E$2:$E$501,E265)-1,0)))</x:f>
      </x:c>
    </x:row>
    <x:row r="266" ht="24" customHeight="1">
      <x:c r="A266" s="17"/>
      <x:c r="B266" s="16"/>
      <x:c r="C266" s="2"/>
      <x:c r="D266" s="17"/>
      <x:c r="E266" s="2"/>
      <x:c r="F266" s="10"/>
      <x:c r="G266" s="11"/>
      <x:c r="H266" s="2"/>
      <x:c r="I266" s="7"/>
      <x:c r="J266" s="2"/>
      <x:c r="K266" s="2"/>
      <x:c r="L266" s="2"/>
      <x:c r="M266" s="2"/>
      <x:c r="N266" s="11" t="str">
        <x:f>IF(A266="","",IF(AND(ISNUMBER(G266),ISNUMBER(L266),ISNUMBER(M266)),G266+(L266+M266)/1440,""))</x:f>
      </x:c>
      <x:c r="O266" s="2" t="str">
        <x:f>IF(A266="","",IF(OR(N266="",F266=""),"Dados incompletos",IF(OR(I266="pendente",I266="confirmado"),IF(K266="",0,COUNTIFS($F$2:$F$501,F266,$G$2:$G$501,"&lt;"&amp;N266,$N$2:$N$501,"&gt;"&amp;G266,$I$2:$I$501,"pendente",$K$2:$K$501,K266)+COUNTIFS($F$2:$F$501,F266,$G$2:$G$501,"&lt;"&amp;N266,$N$2:$N$501,"&gt;"&amp;G266,$I$2:$I$501,"confirmado",$K$2:$K$501,K266)-1),0)))</x:f>
      </x:c>
      <x:c r="P266" s="2" t="str">
        <x:f>IF(A266="","",IF(OR(N266="",F266=""),"Dados incompletos",IF(OR(I266="pendente",I266="confirmado"),COUNTIFS($F$2:$F$501,F266,$G$2:$G$501,"&lt;"&amp;N266,$N$2:$N$501,"&gt;"&amp;G266,$I$2:$I$501,"pendente",$E$2:$E$501,E266)+COUNTIFS($F$2:$F$501,F266,$G$2:$G$501,"&lt;"&amp;N266,$N$2:$N$501,"&gt;"&amp;G266,$I$2:$I$501,"confirmado",$E$2:$E$501,E266)-1,0)))</x:f>
      </x:c>
    </x:row>
    <x:row r="267" ht="24" customHeight="1">
      <x:c r="A267" s="17"/>
      <x:c r="B267" s="16"/>
      <x:c r="C267" s="2"/>
      <x:c r="D267" s="17"/>
      <x:c r="E267" s="2"/>
      <x:c r="F267" s="10"/>
      <x:c r="G267" s="11"/>
      <x:c r="H267" s="2"/>
      <x:c r="I267" s="7"/>
      <x:c r="J267" s="2"/>
      <x:c r="K267" s="2"/>
      <x:c r="L267" s="2"/>
      <x:c r="M267" s="2"/>
      <x:c r="N267" s="11" t="str">
        <x:f>IF(A267="","",IF(AND(ISNUMBER(G267),ISNUMBER(L267),ISNUMBER(M267)),G267+(L267+M267)/1440,""))</x:f>
      </x:c>
      <x:c r="O267" s="2" t="str">
        <x:f>IF(A267="","",IF(OR(N267="",F267=""),"Dados incompletos",IF(OR(I267="pendente",I267="confirmado"),IF(K267="",0,COUNTIFS($F$2:$F$501,F267,$G$2:$G$501,"&lt;"&amp;N267,$N$2:$N$501,"&gt;"&amp;G267,$I$2:$I$501,"pendente",$K$2:$K$501,K267)+COUNTIFS($F$2:$F$501,F267,$G$2:$G$501,"&lt;"&amp;N267,$N$2:$N$501,"&gt;"&amp;G267,$I$2:$I$501,"confirmado",$K$2:$K$501,K267)-1),0)))</x:f>
      </x:c>
      <x:c r="P267" s="2" t="str">
        <x:f>IF(A267="","",IF(OR(N267="",F267=""),"Dados incompletos",IF(OR(I267="pendente",I267="confirmado"),COUNTIFS($F$2:$F$501,F267,$G$2:$G$501,"&lt;"&amp;N267,$N$2:$N$501,"&gt;"&amp;G267,$I$2:$I$501,"pendente",$E$2:$E$501,E267)+COUNTIFS($F$2:$F$501,F267,$G$2:$G$501,"&lt;"&amp;N267,$N$2:$N$501,"&gt;"&amp;G267,$I$2:$I$501,"confirmado",$E$2:$E$501,E267)-1,0)))</x:f>
      </x:c>
    </x:row>
    <x:row r="268" ht="24" customHeight="1">
      <x:c r="A268" s="17"/>
      <x:c r="B268" s="16"/>
      <x:c r="C268" s="2"/>
      <x:c r="D268" s="17"/>
      <x:c r="E268" s="2"/>
      <x:c r="F268" s="10"/>
      <x:c r="G268" s="11"/>
      <x:c r="H268" s="2"/>
      <x:c r="I268" s="7"/>
      <x:c r="J268" s="2"/>
      <x:c r="K268" s="2"/>
      <x:c r="L268" s="2"/>
      <x:c r="M268" s="2"/>
      <x:c r="N268" s="11" t="str">
        <x:f>IF(A268="","",IF(AND(ISNUMBER(G268),ISNUMBER(L268),ISNUMBER(M268)),G268+(L268+M268)/1440,""))</x:f>
      </x:c>
      <x:c r="O268" s="2" t="str">
        <x:f>IF(A268="","",IF(OR(N268="",F268=""),"Dados incompletos",IF(OR(I268="pendente",I268="confirmado"),IF(K268="",0,COUNTIFS($F$2:$F$501,F268,$G$2:$G$501,"&lt;"&amp;N268,$N$2:$N$501,"&gt;"&amp;G268,$I$2:$I$501,"pendente",$K$2:$K$501,K268)+COUNTIFS($F$2:$F$501,F268,$G$2:$G$501,"&lt;"&amp;N268,$N$2:$N$501,"&gt;"&amp;G268,$I$2:$I$501,"confirmado",$K$2:$K$501,K268)-1),0)))</x:f>
      </x:c>
      <x:c r="P268" s="2" t="str">
        <x:f>IF(A268="","",IF(OR(N268="",F268=""),"Dados incompletos",IF(OR(I268="pendente",I268="confirmado"),COUNTIFS($F$2:$F$501,F268,$G$2:$G$501,"&lt;"&amp;N268,$N$2:$N$501,"&gt;"&amp;G268,$I$2:$I$501,"pendente",$E$2:$E$501,E268)+COUNTIFS($F$2:$F$501,F268,$G$2:$G$501,"&lt;"&amp;N268,$N$2:$N$501,"&gt;"&amp;G268,$I$2:$I$501,"confirmado",$E$2:$E$501,E268)-1,0)))</x:f>
      </x:c>
    </x:row>
    <x:row r="269" ht="24" customHeight="1">
      <x:c r="A269" s="17"/>
      <x:c r="B269" s="16"/>
      <x:c r="C269" s="2"/>
      <x:c r="D269" s="17"/>
      <x:c r="E269" s="2"/>
      <x:c r="F269" s="10"/>
      <x:c r="G269" s="11"/>
      <x:c r="H269" s="2"/>
      <x:c r="I269" s="7"/>
      <x:c r="J269" s="2"/>
      <x:c r="K269" s="2"/>
      <x:c r="L269" s="2"/>
      <x:c r="M269" s="2"/>
      <x:c r="N269" s="11" t="str">
        <x:f>IF(A269="","",IF(AND(ISNUMBER(G269),ISNUMBER(L269),ISNUMBER(M269)),G269+(L269+M269)/1440,""))</x:f>
      </x:c>
      <x:c r="O269" s="2" t="str">
        <x:f>IF(A269="","",IF(OR(N269="",F269=""),"Dados incompletos",IF(OR(I269="pendente",I269="confirmado"),IF(K269="",0,COUNTIFS($F$2:$F$501,F269,$G$2:$G$501,"&lt;"&amp;N269,$N$2:$N$501,"&gt;"&amp;G269,$I$2:$I$501,"pendente",$K$2:$K$501,K269)+COUNTIFS($F$2:$F$501,F269,$G$2:$G$501,"&lt;"&amp;N269,$N$2:$N$501,"&gt;"&amp;G269,$I$2:$I$501,"confirmado",$K$2:$K$501,K269)-1),0)))</x:f>
      </x:c>
      <x:c r="P269" s="2" t="str">
        <x:f>IF(A269="","",IF(OR(N269="",F269=""),"Dados incompletos",IF(OR(I269="pendente",I269="confirmado"),COUNTIFS($F$2:$F$501,F269,$G$2:$G$501,"&lt;"&amp;N269,$N$2:$N$501,"&gt;"&amp;G269,$I$2:$I$501,"pendente",$E$2:$E$501,E269)+COUNTIFS($F$2:$F$501,F269,$G$2:$G$501,"&lt;"&amp;N269,$N$2:$N$501,"&gt;"&amp;G269,$I$2:$I$501,"confirmado",$E$2:$E$501,E269)-1,0)))</x:f>
      </x:c>
    </x:row>
    <x:row r="270" ht="24" customHeight="1">
      <x:c r="A270" s="17"/>
      <x:c r="B270" s="16"/>
      <x:c r="C270" s="2"/>
      <x:c r="D270" s="17"/>
      <x:c r="E270" s="2"/>
      <x:c r="F270" s="10"/>
      <x:c r="G270" s="11"/>
      <x:c r="H270" s="2"/>
      <x:c r="I270" s="7"/>
      <x:c r="J270" s="2"/>
      <x:c r="K270" s="2"/>
      <x:c r="L270" s="2"/>
      <x:c r="M270" s="2"/>
      <x:c r="N270" s="11" t="str">
        <x:f>IF(A270="","",IF(AND(ISNUMBER(G270),ISNUMBER(L270),ISNUMBER(M270)),G270+(L270+M270)/1440,""))</x:f>
      </x:c>
      <x:c r="O270" s="2" t="str">
        <x:f>IF(A270="","",IF(OR(N270="",F270=""),"Dados incompletos",IF(OR(I270="pendente",I270="confirmado"),IF(K270="",0,COUNTIFS($F$2:$F$501,F270,$G$2:$G$501,"&lt;"&amp;N270,$N$2:$N$501,"&gt;"&amp;G270,$I$2:$I$501,"pendente",$K$2:$K$501,K270)+COUNTIFS($F$2:$F$501,F270,$G$2:$G$501,"&lt;"&amp;N270,$N$2:$N$501,"&gt;"&amp;G270,$I$2:$I$501,"confirmado",$K$2:$K$501,K270)-1),0)))</x:f>
      </x:c>
      <x:c r="P270" s="2" t="str">
        <x:f>IF(A270="","",IF(OR(N270="",F270=""),"Dados incompletos",IF(OR(I270="pendente",I270="confirmado"),COUNTIFS($F$2:$F$501,F270,$G$2:$G$501,"&lt;"&amp;N270,$N$2:$N$501,"&gt;"&amp;G270,$I$2:$I$501,"pendente",$E$2:$E$501,E270)+COUNTIFS($F$2:$F$501,F270,$G$2:$G$501,"&lt;"&amp;N270,$N$2:$N$501,"&gt;"&amp;G270,$I$2:$I$501,"confirmado",$E$2:$E$501,E270)-1,0)))</x:f>
      </x:c>
    </x:row>
    <x:row r="271" ht="24" customHeight="1">
      <x:c r="A271" s="17"/>
      <x:c r="B271" s="16"/>
      <x:c r="C271" s="2"/>
      <x:c r="D271" s="17"/>
      <x:c r="E271" s="2"/>
      <x:c r="F271" s="10"/>
      <x:c r="G271" s="11"/>
      <x:c r="H271" s="2"/>
      <x:c r="I271" s="7"/>
      <x:c r="J271" s="2"/>
      <x:c r="K271" s="2"/>
      <x:c r="L271" s="2"/>
      <x:c r="M271" s="2"/>
      <x:c r="N271" s="11" t="str">
        <x:f>IF(A271="","",IF(AND(ISNUMBER(G271),ISNUMBER(L271),ISNUMBER(M271)),G271+(L271+M271)/1440,""))</x:f>
      </x:c>
      <x:c r="O271" s="2" t="str">
        <x:f>IF(A271="","",IF(OR(N271="",F271=""),"Dados incompletos",IF(OR(I271="pendente",I271="confirmado"),IF(K271="",0,COUNTIFS($F$2:$F$501,F271,$G$2:$G$501,"&lt;"&amp;N271,$N$2:$N$501,"&gt;"&amp;G271,$I$2:$I$501,"pendente",$K$2:$K$501,K271)+COUNTIFS($F$2:$F$501,F271,$G$2:$G$501,"&lt;"&amp;N271,$N$2:$N$501,"&gt;"&amp;G271,$I$2:$I$501,"confirmado",$K$2:$K$501,K271)-1),0)))</x:f>
      </x:c>
      <x:c r="P271" s="2" t="str">
        <x:f>IF(A271="","",IF(OR(N271="",F271=""),"Dados incompletos",IF(OR(I271="pendente",I271="confirmado"),COUNTIFS($F$2:$F$501,F271,$G$2:$G$501,"&lt;"&amp;N271,$N$2:$N$501,"&gt;"&amp;G271,$I$2:$I$501,"pendente",$E$2:$E$501,E271)+COUNTIFS($F$2:$F$501,F271,$G$2:$G$501,"&lt;"&amp;N271,$N$2:$N$501,"&gt;"&amp;G271,$I$2:$I$501,"confirmado",$E$2:$E$501,E271)-1,0)))</x:f>
      </x:c>
    </x:row>
    <x:row r="272" ht="24" customHeight="1">
      <x:c r="A272" s="17"/>
      <x:c r="B272" s="16"/>
      <x:c r="C272" s="2"/>
      <x:c r="D272" s="17"/>
      <x:c r="E272" s="2"/>
      <x:c r="F272" s="10"/>
      <x:c r="G272" s="11"/>
      <x:c r="H272" s="2"/>
      <x:c r="I272" s="7"/>
      <x:c r="J272" s="2"/>
      <x:c r="K272" s="2"/>
      <x:c r="L272" s="2"/>
      <x:c r="M272" s="2"/>
      <x:c r="N272" s="11" t="str">
        <x:f>IF(A272="","",IF(AND(ISNUMBER(G272),ISNUMBER(L272),ISNUMBER(M272)),G272+(L272+M272)/1440,""))</x:f>
      </x:c>
      <x:c r="O272" s="2" t="str">
        <x:f>IF(A272="","",IF(OR(N272="",F272=""),"Dados incompletos",IF(OR(I272="pendente",I272="confirmado"),IF(K272="",0,COUNTIFS($F$2:$F$501,F272,$G$2:$G$501,"&lt;"&amp;N272,$N$2:$N$501,"&gt;"&amp;G272,$I$2:$I$501,"pendente",$K$2:$K$501,K272)+COUNTIFS($F$2:$F$501,F272,$G$2:$G$501,"&lt;"&amp;N272,$N$2:$N$501,"&gt;"&amp;G272,$I$2:$I$501,"confirmado",$K$2:$K$501,K272)-1),0)))</x:f>
      </x:c>
      <x:c r="P272" s="2" t="str">
        <x:f>IF(A272="","",IF(OR(N272="",F272=""),"Dados incompletos",IF(OR(I272="pendente",I272="confirmado"),COUNTIFS($F$2:$F$501,F272,$G$2:$G$501,"&lt;"&amp;N272,$N$2:$N$501,"&gt;"&amp;G272,$I$2:$I$501,"pendente",$E$2:$E$501,E272)+COUNTIFS($F$2:$F$501,F272,$G$2:$G$501,"&lt;"&amp;N272,$N$2:$N$501,"&gt;"&amp;G272,$I$2:$I$501,"confirmado",$E$2:$E$501,E272)-1,0)))</x:f>
      </x:c>
    </x:row>
    <x:row r="273" ht="24" customHeight="1">
      <x:c r="A273" s="17"/>
      <x:c r="B273" s="16"/>
      <x:c r="C273" s="2"/>
      <x:c r="D273" s="17"/>
      <x:c r="E273" s="2"/>
      <x:c r="F273" s="10"/>
      <x:c r="G273" s="11"/>
      <x:c r="H273" s="2"/>
      <x:c r="I273" s="7"/>
      <x:c r="J273" s="2"/>
      <x:c r="K273" s="2"/>
      <x:c r="L273" s="2"/>
      <x:c r="M273" s="2"/>
      <x:c r="N273" s="11" t="str">
        <x:f>IF(A273="","",IF(AND(ISNUMBER(G273),ISNUMBER(L273),ISNUMBER(M273)),G273+(L273+M273)/1440,""))</x:f>
      </x:c>
      <x:c r="O273" s="2" t="str">
        <x:f>IF(A273="","",IF(OR(N273="",F273=""),"Dados incompletos",IF(OR(I273="pendente",I273="confirmado"),IF(K273="",0,COUNTIFS($F$2:$F$501,F273,$G$2:$G$501,"&lt;"&amp;N273,$N$2:$N$501,"&gt;"&amp;G273,$I$2:$I$501,"pendente",$K$2:$K$501,K273)+COUNTIFS($F$2:$F$501,F273,$G$2:$G$501,"&lt;"&amp;N273,$N$2:$N$501,"&gt;"&amp;G273,$I$2:$I$501,"confirmado",$K$2:$K$501,K273)-1),0)))</x:f>
      </x:c>
      <x:c r="P273" s="2" t="str">
        <x:f>IF(A273="","",IF(OR(N273="",F273=""),"Dados incompletos",IF(OR(I273="pendente",I273="confirmado"),COUNTIFS($F$2:$F$501,F273,$G$2:$G$501,"&lt;"&amp;N273,$N$2:$N$501,"&gt;"&amp;G273,$I$2:$I$501,"pendente",$E$2:$E$501,E273)+COUNTIFS($F$2:$F$501,F273,$G$2:$G$501,"&lt;"&amp;N273,$N$2:$N$501,"&gt;"&amp;G273,$I$2:$I$501,"confirmado",$E$2:$E$501,E273)-1,0)))</x:f>
      </x:c>
    </x:row>
    <x:row r="274" ht="24" customHeight="1">
      <x:c r="A274" s="17"/>
      <x:c r="B274" s="16"/>
      <x:c r="C274" s="2"/>
      <x:c r="D274" s="17"/>
      <x:c r="E274" s="2"/>
      <x:c r="F274" s="10"/>
      <x:c r="G274" s="11"/>
      <x:c r="H274" s="2"/>
      <x:c r="I274" s="7"/>
      <x:c r="J274" s="2"/>
      <x:c r="K274" s="2"/>
      <x:c r="L274" s="2"/>
      <x:c r="M274" s="2"/>
      <x:c r="N274" s="11" t="str">
        <x:f>IF(A274="","",IF(AND(ISNUMBER(G274),ISNUMBER(L274),ISNUMBER(M274)),G274+(L274+M274)/1440,""))</x:f>
      </x:c>
      <x:c r="O274" s="2" t="str">
        <x:f>IF(A274="","",IF(OR(N274="",F274=""),"Dados incompletos",IF(OR(I274="pendente",I274="confirmado"),IF(K274="",0,COUNTIFS($F$2:$F$501,F274,$G$2:$G$501,"&lt;"&amp;N274,$N$2:$N$501,"&gt;"&amp;G274,$I$2:$I$501,"pendente",$K$2:$K$501,K274)+COUNTIFS($F$2:$F$501,F274,$G$2:$G$501,"&lt;"&amp;N274,$N$2:$N$501,"&gt;"&amp;G274,$I$2:$I$501,"confirmado",$K$2:$K$501,K274)-1),0)))</x:f>
      </x:c>
      <x:c r="P274" s="2" t="str">
        <x:f>IF(A274="","",IF(OR(N274="",F274=""),"Dados incompletos",IF(OR(I274="pendente",I274="confirmado"),COUNTIFS($F$2:$F$501,F274,$G$2:$G$501,"&lt;"&amp;N274,$N$2:$N$501,"&gt;"&amp;G274,$I$2:$I$501,"pendente",$E$2:$E$501,E274)+COUNTIFS($F$2:$F$501,F274,$G$2:$G$501,"&lt;"&amp;N274,$N$2:$N$501,"&gt;"&amp;G274,$I$2:$I$501,"confirmado",$E$2:$E$501,E274)-1,0)))</x:f>
      </x:c>
    </x:row>
    <x:row r="275" ht="24" customHeight="1">
      <x:c r="A275" s="17"/>
      <x:c r="B275" s="16"/>
      <x:c r="C275" s="2"/>
      <x:c r="D275" s="17"/>
      <x:c r="E275" s="2"/>
      <x:c r="F275" s="10"/>
      <x:c r="G275" s="11"/>
      <x:c r="H275" s="2"/>
      <x:c r="I275" s="7"/>
      <x:c r="J275" s="2"/>
      <x:c r="K275" s="2"/>
      <x:c r="L275" s="2"/>
      <x:c r="M275" s="2"/>
      <x:c r="N275" s="11" t="str">
        <x:f>IF(A275="","",IF(AND(ISNUMBER(G275),ISNUMBER(L275),ISNUMBER(M275)),G275+(L275+M275)/1440,""))</x:f>
      </x:c>
      <x:c r="O275" s="2" t="str">
        <x:f>IF(A275="","",IF(OR(N275="",F275=""),"Dados incompletos",IF(OR(I275="pendente",I275="confirmado"),IF(K275="",0,COUNTIFS($F$2:$F$501,F275,$G$2:$G$501,"&lt;"&amp;N275,$N$2:$N$501,"&gt;"&amp;G275,$I$2:$I$501,"pendente",$K$2:$K$501,K275)+COUNTIFS($F$2:$F$501,F275,$G$2:$G$501,"&lt;"&amp;N275,$N$2:$N$501,"&gt;"&amp;G275,$I$2:$I$501,"confirmado",$K$2:$K$501,K275)-1),0)))</x:f>
      </x:c>
      <x:c r="P275" s="2" t="str">
        <x:f>IF(A275="","",IF(OR(N275="",F275=""),"Dados incompletos",IF(OR(I275="pendente",I275="confirmado"),COUNTIFS($F$2:$F$501,F275,$G$2:$G$501,"&lt;"&amp;N275,$N$2:$N$501,"&gt;"&amp;G275,$I$2:$I$501,"pendente",$E$2:$E$501,E275)+COUNTIFS($F$2:$F$501,F275,$G$2:$G$501,"&lt;"&amp;N275,$N$2:$N$501,"&gt;"&amp;G275,$I$2:$I$501,"confirmado",$E$2:$E$501,E275)-1,0)))</x:f>
      </x:c>
    </x:row>
    <x:row r="276" ht="24" customHeight="1">
      <x:c r="A276" s="17"/>
      <x:c r="B276" s="16"/>
      <x:c r="C276" s="2"/>
      <x:c r="D276" s="17"/>
      <x:c r="E276" s="2"/>
      <x:c r="F276" s="10"/>
      <x:c r="G276" s="11"/>
      <x:c r="H276" s="2"/>
      <x:c r="I276" s="7"/>
      <x:c r="J276" s="2"/>
      <x:c r="K276" s="2"/>
      <x:c r="L276" s="2"/>
      <x:c r="M276" s="2"/>
      <x:c r="N276" s="11" t="str">
        <x:f>IF(A276="","",IF(AND(ISNUMBER(G276),ISNUMBER(L276),ISNUMBER(M276)),G276+(L276+M276)/1440,""))</x:f>
      </x:c>
      <x:c r="O276" s="2" t="str">
        <x:f>IF(A276="","",IF(OR(N276="",F276=""),"Dados incompletos",IF(OR(I276="pendente",I276="confirmado"),IF(K276="",0,COUNTIFS($F$2:$F$501,F276,$G$2:$G$501,"&lt;"&amp;N276,$N$2:$N$501,"&gt;"&amp;G276,$I$2:$I$501,"pendente",$K$2:$K$501,K276)+COUNTIFS($F$2:$F$501,F276,$G$2:$G$501,"&lt;"&amp;N276,$N$2:$N$501,"&gt;"&amp;G276,$I$2:$I$501,"confirmado",$K$2:$K$501,K276)-1),0)))</x:f>
      </x:c>
      <x:c r="P276" s="2" t="str">
        <x:f>IF(A276="","",IF(OR(N276="",F276=""),"Dados incompletos",IF(OR(I276="pendente",I276="confirmado"),COUNTIFS($F$2:$F$501,F276,$G$2:$G$501,"&lt;"&amp;N276,$N$2:$N$501,"&gt;"&amp;G276,$I$2:$I$501,"pendente",$E$2:$E$501,E276)+COUNTIFS($F$2:$F$501,F276,$G$2:$G$501,"&lt;"&amp;N276,$N$2:$N$501,"&gt;"&amp;G276,$I$2:$I$501,"confirmado",$E$2:$E$501,E276)-1,0)))</x:f>
      </x:c>
    </x:row>
    <x:row r="277" ht="24" customHeight="1">
      <x:c r="A277" s="17"/>
      <x:c r="B277" s="16"/>
      <x:c r="C277" s="2"/>
      <x:c r="D277" s="17"/>
      <x:c r="E277" s="2"/>
      <x:c r="F277" s="10"/>
      <x:c r="G277" s="11"/>
      <x:c r="H277" s="2"/>
      <x:c r="I277" s="7"/>
      <x:c r="J277" s="2"/>
      <x:c r="K277" s="2"/>
      <x:c r="L277" s="2"/>
      <x:c r="M277" s="2"/>
      <x:c r="N277" s="11" t="str">
        <x:f>IF(A277="","",IF(AND(ISNUMBER(G277),ISNUMBER(L277),ISNUMBER(M277)),G277+(L277+M277)/1440,""))</x:f>
      </x:c>
      <x:c r="O277" s="2" t="str">
        <x:f>IF(A277="","",IF(OR(N277="",F277=""),"Dados incompletos",IF(OR(I277="pendente",I277="confirmado"),IF(K277="",0,COUNTIFS($F$2:$F$501,F277,$G$2:$G$501,"&lt;"&amp;N277,$N$2:$N$501,"&gt;"&amp;G277,$I$2:$I$501,"pendente",$K$2:$K$501,K277)+COUNTIFS($F$2:$F$501,F277,$G$2:$G$501,"&lt;"&amp;N277,$N$2:$N$501,"&gt;"&amp;G277,$I$2:$I$501,"confirmado",$K$2:$K$501,K277)-1),0)))</x:f>
      </x:c>
      <x:c r="P277" s="2" t="str">
        <x:f>IF(A277="","",IF(OR(N277="",F277=""),"Dados incompletos",IF(OR(I277="pendente",I277="confirmado"),COUNTIFS($F$2:$F$501,F277,$G$2:$G$501,"&lt;"&amp;N277,$N$2:$N$501,"&gt;"&amp;G277,$I$2:$I$501,"pendente",$E$2:$E$501,E277)+COUNTIFS($F$2:$F$501,F277,$G$2:$G$501,"&lt;"&amp;N277,$N$2:$N$501,"&gt;"&amp;G277,$I$2:$I$501,"confirmado",$E$2:$E$501,E277)-1,0)))</x:f>
      </x:c>
    </x:row>
    <x:row r="278" ht="24" customHeight="1">
      <x:c r="A278" s="17"/>
      <x:c r="B278" s="16"/>
      <x:c r="C278" s="2"/>
      <x:c r="D278" s="17"/>
      <x:c r="E278" s="2"/>
      <x:c r="F278" s="10"/>
      <x:c r="G278" s="11"/>
      <x:c r="H278" s="2"/>
      <x:c r="I278" s="7"/>
      <x:c r="J278" s="2"/>
      <x:c r="K278" s="2"/>
      <x:c r="L278" s="2"/>
      <x:c r="M278" s="2"/>
      <x:c r="N278" s="11" t="str">
        <x:f>IF(A278="","",IF(AND(ISNUMBER(G278),ISNUMBER(L278),ISNUMBER(M278)),G278+(L278+M278)/1440,""))</x:f>
      </x:c>
      <x:c r="O278" s="2" t="str">
        <x:f>IF(A278="","",IF(OR(N278="",F278=""),"Dados incompletos",IF(OR(I278="pendente",I278="confirmado"),IF(K278="",0,COUNTIFS($F$2:$F$501,F278,$G$2:$G$501,"&lt;"&amp;N278,$N$2:$N$501,"&gt;"&amp;G278,$I$2:$I$501,"pendente",$K$2:$K$501,K278)+COUNTIFS($F$2:$F$501,F278,$G$2:$G$501,"&lt;"&amp;N278,$N$2:$N$501,"&gt;"&amp;G278,$I$2:$I$501,"confirmado",$K$2:$K$501,K278)-1),0)))</x:f>
      </x:c>
      <x:c r="P278" s="2" t="str">
        <x:f>IF(A278="","",IF(OR(N278="",F278=""),"Dados incompletos",IF(OR(I278="pendente",I278="confirmado"),COUNTIFS($F$2:$F$501,F278,$G$2:$G$501,"&lt;"&amp;N278,$N$2:$N$501,"&gt;"&amp;G278,$I$2:$I$501,"pendente",$E$2:$E$501,E278)+COUNTIFS($F$2:$F$501,F278,$G$2:$G$501,"&lt;"&amp;N278,$N$2:$N$501,"&gt;"&amp;G278,$I$2:$I$501,"confirmado",$E$2:$E$501,E278)-1,0)))</x:f>
      </x:c>
    </x:row>
    <x:row r="279" ht="24" customHeight="1">
      <x:c r="A279" s="17"/>
      <x:c r="B279" s="16"/>
      <x:c r="C279" s="2"/>
      <x:c r="D279" s="17"/>
      <x:c r="E279" s="2"/>
      <x:c r="F279" s="10"/>
      <x:c r="G279" s="11"/>
      <x:c r="H279" s="2"/>
      <x:c r="I279" s="7"/>
      <x:c r="J279" s="2"/>
      <x:c r="K279" s="2"/>
      <x:c r="L279" s="2"/>
      <x:c r="M279" s="2"/>
      <x:c r="N279" s="11" t="str">
        <x:f>IF(A279="","",IF(AND(ISNUMBER(G279),ISNUMBER(L279),ISNUMBER(M279)),G279+(L279+M279)/1440,""))</x:f>
      </x:c>
      <x:c r="O279" s="2" t="str">
        <x:f>IF(A279="","",IF(OR(N279="",F279=""),"Dados incompletos",IF(OR(I279="pendente",I279="confirmado"),IF(K279="",0,COUNTIFS($F$2:$F$501,F279,$G$2:$G$501,"&lt;"&amp;N279,$N$2:$N$501,"&gt;"&amp;G279,$I$2:$I$501,"pendente",$K$2:$K$501,K279)+COUNTIFS($F$2:$F$501,F279,$G$2:$G$501,"&lt;"&amp;N279,$N$2:$N$501,"&gt;"&amp;G279,$I$2:$I$501,"confirmado",$K$2:$K$501,K279)-1),0)))</x:f>
      </x:c>
      <x:c r="P279" s="2" t="str">
        <x:f>IF(A279="","",IF(OR(N279="",F279=""),"Dados incompletos",IF(OR(I279="pendente",I279="confirmado"),COUNTIFS($F$2:$F$501,F279,$G$2:$G$501,"&lt;"&amp;N279,$N$2:$N$501,"&gt;"&amp;G279,$I$2:$I$501,"pendente",$E$2:$E$501,E279)+COUNTIFS($F$2:$F$501,F279,$G$2:$G$501,"&lt;"&amp;N279,$N$2:$N$501,"&gt;"&amp;G279,$I$2:$I$501,"confirmado",$E$2:$E$501,E279)-1,0)))</x:f>
      </x:c>
    </x:row>
    <x:row r="280" ht="24" customHeight="1">
      <x:c r="A280" s="17"/>
      <x:c r="B280" s="16"/>
      <x:c r="C280" s="2"/>
      <x:c r="D280" s="17"/>
      <x:c r="E280" s="2"/>
      <x:c r="F280" s="10"/>
      <x:c r="G280" s="11"/>
      <x:c r="H280" s="2"/>
      <x:c r="I280" s="7"/>
      <x:c r="J280" s="2"/>
      <x:c r="K280" s="2"/>
      <x:c r="L280" s="2"/>
      <x:c r="M280" s="2"/>
      <x:c r="N280" s="11" t="str">
        <x:f>IF(A280="","",IF(AND(ISNUMBER(G280),ISNUMBER(L280),ISNUMBER(M280)),G280+(L280+M280)/1440,""))</x:f>
      </x:c>
      <x:c r="O280" s="2" t="str">
        <x:f>IF(A280="","",IF(OR(N280="",F280=""),"Dados incompletos",IF(OR(I280="pendente",I280="confirmado"),IF(K280="",0,COUNTIFS($F$2:$F$501,F280,$G$2:$G$501,"&lt;"&amp;N280,$N$2:$N$501,"&gt;"&amp;G280,$I$2:$I$501,"pendente",$K$2:$K$501,K280)+COUNTIFS($F$2:$F$501,F280,$G$2:$G$501,"&lt;"&amp;N280,$N$2:$N$501,"&gt;"&amp;G280,$I$2:$I$501,"confirmado",$K$2:$K$501,K280)-1),0)))</x:f>
      </x:c>
      <x:c r="P280" s="2" t="str">
        <x:f>IF(A280="","",IF(OR(N280="",F280=""),"Dados incompletos",IF(OR(I280="pendente",I280="confirmado"),COUNTIFS($F$2:$F$501,F280,$G$2:$G$501,"&lt;"&amp;N280,$N$2:$N$501,"&gt;"&amp;G280,$I$2:$I$501,"pendente",$E$2:$E$501,E280)+COUNTIFS($F$2:$F$501,F280,$G$2:$G$501,"&lt;"&amp;N280,$N$2:$N$501,"&gt;"&amp;G280,$I$2:$I$501,"confirmado",$E$2:$E$501,E280)-1,0)))</x:f>
      </x:c>
    </x:row>
    <x:row r="281" ht="24" customHeight="1">
      <x:c r="A281" s="17"/>
      <x:c r="B281" s="16"/>
      <x:c r="C281" s="2"/>
      <x:c r="D281" s="17"/>
      <x:c r="E281" s="2"/>
      <x:c r="F281" s="10"/>
      <x:c r="G281" s="11"/>
      <x:c r="H281" s="2"/>
      <x:c r="I281" s="7"/>
      <x:c r="J281" s="2"/>
      <x:c r="K281" s="2"/>
      <x:c r="L281" s="2"/>
      <x:c r="M281" s="2"/>
      <x:c r="N281" s="11" t="str">
        <x:f>IF(A281="","",IF(AND(ISNUMBER(G281),ISNUMBER(L281),ISNUMBER(M281)),G281+(L281+M281)/1440,""))</x:f>
      </x:c>
      <x:c r="O281" s="2" t="str">
        <x:f>IF(A281="","",IF(OR(N281="",F281=""),"Dados incompletos",IF(OR(I281="pendente",I281="confirmado"),IF(K281="",0,COUNTIFS($F$2:$F$501,F281,$G$2:$G$501,"&lt;"&amp;N281,$N$2:$N$501,"&gt;"&amp;G281,$I$2:$I$501,"pendente",$K$2:$K$501,K281)+COUNTIFS($F$2:$F$501,F281,$G$2:$G$501,"&lt;"&amp;N281,$N$2:$N$501,"&gt;"&amp;G281,$I$2:$I$501,"confirmado",$K$2:$K$501,K281)-1),0)))</x:f>
      </x:c>
      <x:c r="P281" s="2" t="str">
        <x:f>IF(A281="","",IF(OR(N281="",F281=""),"Dados incompletos",IF(OR(I281="pendente",I281="confirmado"),COUNTIFS($F$2:$F$501,F281,$G$2:$G$501,"&lt;"&amp;N281,$N$2:$N$501,"&gt;"&amp;G281,$I$2:$I$501,"pendente",$E$2:$E$501,E281)+COUNTIFS($F$2:$F$501,F281,$G$2:$G$501,"&lt;"&amp;N281,$N$2:$N$501,"&gt;"&amp;G281,$I$2:$I$501,"confirmado",$E$2:$E$501,E281)-1,0)))</x:f>
      </x:c>
    </x:row>
    <x:row r="282" ht="24" customHeight="1">
      <x:c r="A282" s="17"/>
      <x:c r="B282" s="16"/>
      <x:c r="C282" s="2"/>
      <x:c r="D282" s="17"/>
      <x:c r="E282" s="2"/>
      <x:c r="F282" s="10"/>
      <x:c r="G282" s="11"/>
      <x:c r="H282" s="2"/>
      <x:c r="I282" s="7"/>
      <x:c r="J282" s="2"/>
      <x:c r="K282" s="2"/>
      <x:c r="L282" s="2"/>
      <x:c r="M282" s="2"/>
      <x:c r="N282" s="11" t="str">
        <x:f>IF(A282="","",IF(AND(ISNUMBER(G282),ISNUMBER(L282),ISNUMBER(M282)),G282+(L282+M282)/1440,""))</x:f>
      </x:c>
      <x:c r="O282" s="2" t="str">
        <x:f>IF(A282="","",IF(OR(N282="",F282=""),"Dados incompletos",IF(OR(I282="pendente",I282="confirmado"),IF(K282="",0,COUNTIFS($F$2:$F$501,F282,$G$2:$G$501,"&lt;"&amp;N282,$N$2:$N$501,"&gt;"&amp;G282,$I$2:$I$501,"pendente",$K$2:$K$501,K282)+COUNTIFS($F$2:$F$501,F282,$G$2:$G$501,"&lt;"&amp;N282,$N$2:$N$501,"&gt;"&amp;G282,$I$2:$I$501,"confirmado",$K$2:$K$501,K282)-1),0)))</x:f>
      </x:c>
      <x:c r="P282" s="2" t="str">
        <x:f>IF(A282="","",IF(OR(N282="",F282=""),"Dados incompletos",IF(OR(I282="pendente",I282="confirmado"),COUNTIFS($F$2:$F$501,F282,$G$2:$G$501,"&lt;"&amp;N282,$N$2:$N$501,"&gt;"&amp;G282,$I$2:$I$501,"pendente",$E$2:$E$501,E282)+COUNTIFS($F$2:$F$501,F282,$G$2:$G$501,"&lt;"&amp;N282,$N$2:$N$501,"&gt;"&amp;G282,$I$2:$I$501,"confirmado",$E$2:$E$501,E282)-1,0)))</x:f>
      </x:c>
    </x:row>
    <x:row r="283" ht="24" customHeight="1">
      <x:c r="A283" s="17"/>
      <x:c r="B283" s="16"/>
      <x:c r="C283" s="2"/>
      <x:c r="D283" s="17"/>
      <x:c r="E283" s="2"/>
      <x:c r="F283" s="10"/>
      <x:c r="G283" s="11"/>
      <x:c r="H283" s="2"/>
      <x:c r="I283" s="7"/>
      <x:c r="J283" s="2"/>
      <x:c r="K283" s="2"/>
      <x:c r="L283" s="2"/>
      <x:c r="M283" s="2"/>
      <x:c r="N283" s="11" t="str">
        <x:f>IF(A283="","",IF(AND(ISNUMBER(G283),ISNUMBER(L283),ISNUMBER(M283)),G283+(L283+M283)/1440,""))</x:f>
      </x:c>
      <x:c r="O283" s="2" t="str">
        <x:f>IF(A283="","",IF(OR(N283="",F283=""),"Dados incompletos",IF(OR(I283="pendente",I283="confirmado"),IF(K283="",0,COUNTIFS($F$2:$F$501,F283,$G$2:$G$501,"&lt;"&amp;N283,$N$2:$N$501,"&gt;"&amp;G283,$I$2:$I$501,"pendente",$K$2:$K$501,K283)+COUNTIFS($F$2:$F$501,F283,$G$2:$G$501,"&lt;"&amp;N283,$N$2:$N$501,"&gt;"&amp;G283,$I$2:$I$501,"confirmado",$K$2:$K$501,K283)-1),0)))</x:f>
      </x:c>
      <x:c r="P283" s="2" t="str">
        <x:f>IF(A283="","",IF(OR(N283="",F283=""),"Dados incompletos",IF(OR(I283="pendente",I283="confirmado"),COUNTIFS($F$2:$F$501,F283,$G$2:$G$501,"&lt;"&amp;N283,$N$2:$N$501,"&gt;"&amp;G283,$I$2:$I$501,"pendente",$E$2:$E$501,E283)+COUNTIFS($F$2:$F$501,F283,$G$2:$G$501,"&lt;"&amp;N283,$N$2:$N$501,"&gt;"&amp;G283,$I$2:$I$501,"confirmado",$E$2:$E$501,E283)-1,0)))</x:f>
      </x:c>
    </x:row>
    <x:row r="284" ht="24" customHeight="1">
      <x:c r="A284" s="17"/>
      <x:c r="B284" s="16"/>
      <x:c r="C284" s="2"/>
      <x:c r="D284" s="17"/>
      <x:c r="E284" s="2"/>
      <x:c r="F284" s="10"/>
      <x:c r="G284" s="11"/>
      <x:c r="H284" s="2"/>
      <x:c r="I284" s="7"/>
      <x:c r="J284" s="2"/>
      <x:c r="K284" s="2"/>
      <x:c r="L284" s="2"/>
      <x:c r="M284" s="2"/>
      <x:c r="N284" s="11" t="str">
        <x:f>IF(A284="","",IF(AND(ISNUMBER(G284),ISNUMBER(L284),ISNUMBER(M284)),G284+(L284+M284)/1440,""))</x:f>
      </x:c>
      <x:c r="O284" s="2" t="str">
        <x:f>IF(A284="","",IF(OR(N284="",F284=""),"Dados incompletos",IF(OR(I284="pendente",I284="confirmado"),IF(K284="",0,COUNTIFS($F$2:$F$501,F284,$G$2:$G$501,"&lt;"&amp;N284,$N$2:$N$501,"&gt;"&amp;G284,$I$2:$I$501,"pendente",$K$2:$K$501,K284)+COUNTIFS($F$2:$F$501,F284,$G$2:$G$501,"&lt;"&amp;N284,$N$2:$N$501,"&gt;"&amp;G284,$I$2:$I$501,"confirmado",$K$2:$K$501,K284)-1),0)))</x:f>
      </x:c>
      <x:c r="P284" s="2" t="str">
        <x:f>IF(A284="","",IF(OR(N284="",F284=""),"Dados incompletos",IF(OR(I284="pendente",I284="confirmado"),COUNTIFS($F$2:$F$501,F284,$G$2:$G$501,"&lt;"&amp;N284,$N$2:$N$501,"&gt;"&amp;G284,$I$2:$I$501,"pendente",$E$2:$E$501,E284)+COUNTIFS($F$2:$F$501,F284,$G$2:$G$501,"&lt;"&amp;N284,$N$2:$N$501,"&gt;"&amp;G284,$I$2:$I$501,"confirmado",$E$2:$E$501,E284)-1,0)))</x:f>
      </x:c>
    </x:row>
    <x:row r="285" ht="24" customHeight="1">
      <x:c r="A285" s="17"/>
      <x:c r="B285" s="16"/>
      <x:c r="C285" s="2"/>
      <x:c r="D285" s="17"/>
      <x:c r="E285" s="2"/>
      <x:c r="F285" s="10"/>
      <x:c r="G285" s="11"/>
      <x:c r="H285" s="2"/>
      <x:c r="I285" s="7"/>
      <x:c r="J285" s="2"/>
      <x:c r="K285" s="2"/>
      <x:c r="L285" s="2"/>
      <x:c r="M285" s="2"/>
      <x:c r="N285" s="11" t="str">
        <x:f>IF(A285="","",IF(AND(ISNUMBER(G285),ISNUMBER(L285),ISNUMBER(M285)),G285+(L285+M285)/1440,""))</x:f>
      </x:c>
      <x:c r="O285" s="2" t="str">
        <x:f>IF(A285="","",IF(OR(N285="",F285=""),"Dados incompletos",IF(OR(I285="pendente",I285="confirmado"),IF(K285="",0,COUNTIFS($F$2:$F$501,F285,$G$2:$G$501,"&lt;"&amp;N285,$N$2:$N$501,"&gt;"&amp;G285,$I$2:$I$501,"pendente",$K$2:$K$501,K285)+COUNTIFS($F$2:$F$501,F285,$G$2:$G$501,"&lt;"&amp;N285,$N$2:$N$501,"&gt;"&amp;G285,$I$2:$I$501,"confirmado",$K$2:$K$501,K285)-1),0)))</x:f>
      </x:c>
      <x:c r="P285" s="2" t="str">
        <x:f>IF(A285="","",IF(OR(N285="",F285=""),"Dados incompletos",IF(OR(I285="pendente",I285="confirmado"),COUNTIFS($F$2:$F$501,F285,$G$2:$G$501,"&lt;"&amp;N285,$N$2:$N$501,"&gt;"&amp;G285,$I$2:$I$501,"pendente",$E$2:$E$501,E285)+COUNTIFS($F$2:$F$501,F285,$G$2:$G$501,"&lt;"&amp;N285,$N$2:$N$501,"&gt;"&amp;G285,$I$2:$I$501,"confirmado",$E$2:$E$501,E285)-1,0)))</x:f>
      </x:c>
    </x:row>
    <x:row r="286" ht="24" customHeight="1">
      <x:c r="A286" s="17"/>
      <x:c r="B286" s="16"/>
      <x:c r="C286" s="2"/>
      <x:c r="D286" s="17"/>
      <x:c r="E286" s="2"/>
      <x:c r="F286" s="10"/>
      <x:c r="G286" s="11"/>
      <x:c r="H286" s="2"/>
      <x:c r="I286" s="7"/>
      <x:c r="J286" s="2"/>
      <x:c r="K286" s="2"/>
      <x:c r="L286" s="2"/>
      <x:c r="M286" s="2"/>
      <x:c r="N286" s="11" t="str">
        <x:f>IF(A286="","",IF(AND(ISNUMBER(G286),ISNUMBER(L286),ISNUMBER(M286)),G286+(L286+M286)/1440,""))</x:f>
      </x:c>
      <x:c r="O286" s="2" t="str">
        <x:f>IF(A286="","",IF(OR(N286="",F286=""),"Dados incompletos",IF(OR(I286="pendente",I286="confirmado"),IF(K286="",0,COUNTIFS($F$2:$F$501,F286,$G$2:$G$501,"&lt;"&amp;N286,$N$2:$N$501,"&gt;"&amp;G286,$I$2:$I$501,"pendente",$K$2:$K$501,K286)+COUNTIFS($F$2:$F$501,F286,$G$2:$G$501,"&lt;"&amp;N286,$N$2:$N$501,"&gt;"&amp;G286,$I$2:$I$501,"confirmado",$K$2:$K$501,K286)-1),0)))</x:f>
      </x:c>
      <x:c r="P286" s="2" t="str">
        <x:f>IF(A286="","",IF(OR(N286="",F286=""),"Dados incompletos",IF(OR(I286="pendente",I286="confirmado"),COUNTIFS($F$2:$F$501,F286,$G$2:$G$501,"&lt;"&amp;N286,$N$2:$N$501,"&gt;"&amp;G286,$I$2:$I$501,"pendente",$E$2:$E$501,E286)+COUNTIFS($F$2:$F$501,F286,$G$2:$G$501,"&lt;"&amp;N286,$N$2:$N$501,"&gt;"&amp;G286,$I$2:$I$501,"confirmado",$E$2:$E$501,E286)-1,0)))</x:f>
      </x:c>
    </x:row>
    <x:row r="287" ht="24" customHeight="1">
      <x:c r="A287" s="17"/>
      <x:c r="B287" s="16"/>
      <x:c r="C287" s="2"/>
      <x:c r="D287" s="17"/>
      <x:c r="E287" s="2"/>
      <x:c r="F287" s="10"/>
      <x:c r="G287" s="11"/>
      <x:c r="H287" s="2"/>
      <x:c r="I287" s="7"/>
      <x:c r="J287" s="2"/>
      <x:c r="K287" s="2"/>
      <x:c r="L287" s="2"/>
      <x:c r="M287" s="2"/>
      <x:c r="N287" s="11" t="str">
        <x:f>IF(A287="","",IF(AND(ISNUMBER(G287),ISNUMBER(L287),ISNUMBER(M287)),G287+(L287+M287)/1440,""))</x:f>
      </x:c>
      <x:c r="O287" s="2" t="str">
        <x:f>IF(A287="","",IF(OR(N287="",F287=""),"Dados incompletos",IF(OR(I287="pendente",I287="confirmado"),IF(K287="",0,COUNTIFS($F$2:$F$501,F287,$G$2:$G$501,"&lt;"&amp;N287,$N$2:$N$501,"&gt;"&amp;G287,$I$2:$I$501,"pendente",$K$2:$K$501,K287)+COUNTIFS($F$2:$F$501,F287,$G$2:$G$501,"&lt;"&amp;N287,$N$2:$N$501,"&gt;"&amp;G287,$I$2:$I$501,"confirmado",$K$2:$K$501,K287)-1),0)))</x:f>
      </x:c>
      <x:c r="P287" s="2" t="str">
        <x:f>IF(A287="","",IF(OR(N287="",F287=""),"Dados incompletos",IF(OR(I287="pendente",I287="confirmado"),COUNTIFS($F$2:$F$501,F287,$G$2:$G$501,"&lt;"&amp;N287,$N$2:$N$501,"&gt;"&amp;G287,$I$2:$I$501,"pendente",$E$2:$E$501,E287)+COUNTIFS($F$2:$F$501,F287,$G$2:$G$501,"&lt;"&amp;N287,$N$2:$N$501,"&gt;"&amp;G287,$I$2:$I$501,"confirmado",$E$2:$E$501,E287)-1,0)))</x:f>
      </x:c>
    </x:row>
    <x:row r="288" ht="24" customHeight="1">
      <x:c r="A288" s="17"/>
      <x:c r="B288" s="16"/>
      <x:c r="C288" s="2"/>
      <x:c r="D288" s="17"/>
      <x:c r="E288" s="2"/>
      <x:c r="F288" s="10"/>
      <x:c r="G288" s="11"/>
      <x:c r="H288" s="2"/>
      <x:c r="I288" s="7"/>
      <x:c r="J288" s="2"/>
      <x:c r="K288" s="2"/>
      <x:c r="L288" s="2"/>
      <x:c r="M288" s="2"/>
      <x:c r="N288" s="11" t="str">
        <x:f>IF(A288="","",IF(AND(ISNUMBER(G288),ISNUMBER(L288),ISNUMBER(M288)),G288+(L288+M288)/1440,""))</x:f>
      </x:c>
      <x:c r="O288" s="2" t="str">
        <x:f>IF(A288="","",IF(OR(N288="",F288=""),"Dados incompletos",IF(OR(I288="pendente",I288="confirmado"),IF(K288="",0,COUNTIFS($F$2:$F$501,F288,$G$2:$G$501,"&lt;"&amp;N288,$N$2:$N$501,"&gt;"&amp;G288,$I$2:$I$501,"pendente",$K$2:$K$501,K288)+COUNTIFS($F$2:$F$501,F288,$G$2:$G$501,"&lt;"&amp;N288,$N$2:$N$501,"&gt;"&amp;G288,$I$2:$I$501,"confirmado",$K$2:$K$501,K288)-1),0)))</x:f>
      </x:c>
      <x:c r="P288" s="2" t="str">
        <x:f>IF(A288="","",IF(OR(N288="",F288=""),"Dados incompletos",IF(OR(I288="pendente",I288="confirmado"),COUNTIFS($F$2:$F$501,F288,$G$2:$G$501,"&lt;"&amp;N288,$N$2:$N$501,"&gt;"&amp;G288,$I$2:$I$501,"pendente",$E$2:$E$501,E288)+COUNTIFS($F$2:$F$501,F288,$G$2:$G$501,"&lt;"&amp;N288,$N$2:$N$501,"&gt;"&amp;G288,$I$2:$I$501,"confirmado",$E$2:$E$501,E288)-1,0)))</x:f>
      </x:c>
    </x:row>
    <x:row r="289" ht="24" customHeight="1">
      <x:c r="A289" s="17"/>
      <x:c r="B289" s="16"/>
      <x:c r="C289" s="2"/>
      <x:c r="D289" s="17"/>
      <x:c r="E289" s="2"/>
      <x:c r="F289" s="10"/>
      <x:c r="G289" s="11"/>
      <x:c r="H289" s="2"/>
      <x:c r="I289" s="7"/>
      <x:c r="J289" s="2"/>
      <x:c r="K289" s="2"/>
      <x:c r="L289" s="2"/>
      <x:c r="M289" s="2"/>
      <x:c r="N289" s="11" t="str">
        <x:f>IF(A289="","",IF(AND(ISNUMBER(G289),ISNUMBER(L289),ISNUMBER(M289)),G289+(L289+M289)/1440,""))</x:f>
      </x:c>
      <x:c r="O289" s="2" t="str">
        <x:f>IF(A289="","",IF(OR(N289="",F289=""),"Dados incompletos",IF(OR(I289="pendente",I289="confirmado"),IF(K289="",0,COUNTIFS($F$2:$F$501,F289,$G$2:$G$501,"&lt;"&amp;N289,$N$2:$N$501,"&gt;"&amp;G289,$I$2:$I$501,"pendente",$K$2:$K$501,K289)+COUNTIFS($F$2:$F$501,F289,$G$2:$G$501,"&lt;"&amp;N289,$N$2:$N$501,"&gt;"&amp;G289,$I$2:$I$501,"confirmado",$K$2:$K$501,K289)-1),0)))</x:f>
      </x:c>
      <x:c r="P289" s="2" t="str">
        <x:f>IF(A289="","",IF(OR(N289="",F289=""),"Dados incompletos",IF(OR(I289="pendente",I289="confirmado"),COUNTIFS($F$2:$F$501,F289,$G$2:$G$501,"&lt;"&amp;N289,$N$2:$N$501,"&gt;"&amp;G289,$I$2:$I$501,"pendente",$E$2:$E$501,E289)+COUNTIFS($F$2:$F$501,F289,$G$2:$G$501,"&lt;"&amp;N289,$N$2:$N$501,"&gt;"&amp;G289,$I$2:$I$501,"confirmado",$E$2:$E$501,E289)-1,0)))</x:f>
      </x:c>
    </x:row>
    <x:row r="290" ht="24" customHeight="1">
      <x:c r="A290" s="17"/>
      <x:c r="B290" s="16"/>
      <x:c r="C290" s="2"/>
      <x:c r="D290" s="17"/>
      <x:c r="E290" s="2"/>
      <x:c r="F290" s="10"/>
      <x:c r="G290" s="11"/>
      <x:c r="H290" s="2"/>
      <x:c r="I290" s="7"/>
      <x:c r="J290" s="2"/>
      <x:c r="K290" s="2"/>
      <x:c r="L290" s="2"/>
      <x:c r="M290" s="2"/>
      <x:c r="N290" s="11" t="str">
        <x:f>IF(A290="","",IF(AND(ISNUMBER(G290),ISNUMBER(L290),ISNUMBER(M290)),G290+(L290+M290)/1440,""))</x:f>
      </x:c>
      <x:c r="O290" s="2" t="str">
        <x:f>IF(A290="","",IF(OR(N290="",F290=""),"Dados incompletos",IF(OR(I290="pendente",I290="confirmado"),IF(K290="",0,COUNTIFS($F$2:$F$501,F290,$G$2:$G$501,"&lt;"&amp;N290,$N$2:$N$501,"&gt;"&amp;G290,$I$2:$I$501,"pendente",$K$2:$K$501,K290)+COUNTIFS($F$2:$F$501,F290,$G$2:$G$501,"&lt;"&amp;N290,$N$2:$N$501,"&gt;"&amp;G290,$I$2:$I$501,"confirmado",$K$2:$K$501,K290)-1),0)))</x:f>
      </x:c>
      <x:c r="P290" s="2" t="str">
        <x:f>IF(A290="","",IF(OR(N290="",F290=""),"Dados incompletos",IF(OR(I290="pendente",I290="confirmado"),COUNTIFS($F$2:$F$501,F290,$G$2:$G$501,"&lt;"&amp;N290,$N$2:$N$501,"&gt;"&amp;G290,$I$2:$I$501,"pendente",$E$2:$E$501,E290)+COUNTIFS($F$2:$F$501,F290,$G$2:$G$501,"&lt;"&amp;N290,$N$2:$N$501,"&gt;"&amp;G290,$I$2:$I$501,"confirmado",$E$2:$E$501,E290)-1,0)))</x:f>
      </x:c>
    </x:row>
    <x:row r="291" ht="24" customHeight="1">
      <x:c r="A291" s="17"/>
      <x:c r="B291" s="16"/>
      <x:c r="C291" s="2"/>
      <x:c r="D291" s="17"/>
      <x:c r="E291" s="2"/>
      <x:c r="F291" s="10"/>
      <x:c r="G291" s="11"/>
      <x:c r="H291" s="2"/>
      <x:c r="I291" s="7"/>
      <x:c r="J291" s="2"/>
      <x:c r="K291" s="2"/>
      <x:c r="L291" s="2"/>
      <x:c r="M291" s="2"/>
      <x:c r="N291" s="11" t="str">
        <x:f>IF(A291="","",IF(AND(ISNUMBER(G291),ISNUMBER(L291),ISNUMBER(M291)),G291+(L291+M291)/1440,""))</x:f>
      </x:c>
      <x:c r="O291" s="2" t="str">
        <x:f>IF(A291="","",IF(OR(N291="",F291=""),"Dados incompletos",IF(OR(I291="pendente",I291="confirmado"),IF(K291="",0,COUNTIFS($F$2:$F$501,F291,$G$2:$G$501,"&lt;"&amp;N291,$N$2:$N$501,"&gt;"&amp;G291,$I$2:$I$501,"pendente",$K$2:$K$501,K291)+COUNTIFS($F$2:$F$501,F291,$G$2:$G$501,"&lt;"&amp;N291,$N$2:$N$501,"&gt;"&amp;G291,$I$2:$I$501,"confirmado",$K$2:$K$501,K291)-1),0)))</x:f>
      </x:c>
      <x:c r="P291" s="2" t="str">
        <x:f>IF(A291="","",IF(OR(N291="",F291=""),"Dados incompletos",IF(OR(I291="pendente",I291="confirmado"),COUNTIFS($F$2:$F$501,F291,$G$2:$G$501,"&lt;"&amp;N291,$N$2:$N$501,"&gt;"&amp;G291,$I$2:$I$501,"pendente",$E$2:$E$501,E291)+COUNTIFS($F$2:$F$501,F291,$G$2:$G$501,"&lt;"&amp;N291,$N$2:$N$501,"&gt;"&amp;G291,$I$2:$I$501,"confirmado",$E$2:$E$501,E291)-1,0)))</x:f>
      </x:c>
    </x:row>
    <x:row r="292" ht="24" customHeight="1">
      <x:c r="A292" s="17"/>
      <x:c r="B292" s="16"/>
      <x:c r="C292" s="2"/>
      <x:c r="D292" s="17"/>
      <x:c r="E292" s="2"/>
      <x:c r="F292" s="10"/>
      <x:c r="G292" s="11"/>
      <x:c r="H292" s="2"/>
      <x:c r="I292" s="7"/>
      <x:c r="J292" s="2"/>
      <x:c r="K292" s="2"/>
      <x:c r="L292" s="2"/>
      <x:c r="M292" s="2"/>
      <x:c r="N292" s="11" t="str">
        <x:f>IF(A292="","",IF(AND(ISNUMBER(G292),ISNUMBER(L292),ISNUMBER(M292)),G292+(L292+M292)/1440,""))</x:f>
      </x:c>
      <x:c r="O292" s="2" t="str">
        <x:f>IF(A292="","",IF(OR(N292="",F292=""),"Dados incompletos",IF(OR(I292="pendente",I292="confirmado"),IF(K292="",0,COUNTIFS($F$2:$F$501,F292,$G$2:$G$501,"&lt;"&amp;N292,$N$2:$N$501,"&gt;"&amp;G292,$I$2:$I$501,"pendente",$K$2:$K$501,K292)+COUNTIFS($F$2:$F$501,F292,$G$2:$G$501,"&lt;"&amp;N292,$N$2:$N$501,"&gt;"&amp;G292,$I$2:$I$501,"confirmado",$K$2:$K$501,K292)-1),0)))</x:f>
      </x:c>
      <x:c r="P292" s="2" t="str">
        <x:f>IF(A292="","",IF(OR(N292="",F292=""),"Dados incompletos",IF(OR(I292="pendente",I292="confirmado"),COUNTIFS($F$2:$F$501,F292,$G$2:$G$501,"&lt;"&amp;N292,$N$2:$N$501,"&gt;"&amp;G292,$I$2:$I$501,"pendente",$E$2:$E$501,E292)+COUNTIFS($F$2:$F$501,F292,$G$2:$G$501,"&lt;"&amp;N292,$N$2:$N$501,"&gt;"&amp;G292,$I$2:$I$501,"confirmado",$E$2:$E$501,E292)-1,0)))</x:f>
      </x:c>
    </x:row>
    <x:row r="293" ht="24" customHeight="1">
      <x:c r="A293" s="17"/>
      <x:c r="B293" s="16"/>
      <x:c r="C293" s="2"/>
      <x:c r="D293" s="17"/>
      <x:c r="E293" s="2"/>
      <x:c r="F293" s="10"/>
      <x:c r="G293" s="11"/>
      <x:c r="H293" s="2"/>
      <x:c r="I293" s="7"/>
      <x:c r="J293" s="2"/>
      <x:c r="K293" s="2"/>
      <x:c r="L293" s="2"/>
      <x:c r="M293" s="2"/>
      <x:c r="N293" s="11" t="str">
        <x:f>IF(A293="","",IF(AND(ISNUMBER(G293),ISNUMBER(L293),ISNUMBER(M293)),G293+(L293+M293)/1440,""))</x:f>
      </x:c>
      <x:c r="O293" s="2" t="str">
        <x:f>IF(A293="","",IF(OR(N293="",F293=""),"Dados incompletos",IF(OR(I293="pendente",I293="confirmado"),IF(K293="",0,COUNTIFS($F$2:$F$501,F293,$G$2:$G$501,"&lt;"&amp;N293,$N$2:$N$501,"&gt;"&amp;G293,$I$2:$I$501,"pendente",$K$2:$K$501,K293)+COUNTIFS($F$2:$F$501,F293,$G$2:$G$501,"&lt;"&amp;N293,$N$2:$N$501,"&gt;"&amp;G293,$I$2:$I$501,"confirmado",$K$2:$K$501,K293)-1),0)))</x:f>
      </x:c>
      <x:c r="P293" s="2" t="str">
        <x:f>IF(A293="","",IF(OR(N293="",F293=""),"Dados incompletos",IF(OR(I293="pendente",I293="confirmado"),COUNTIFS($F$2:$F$501,F293,$G$2:$G$501,"&lt;"&amp;N293,$N$2:$N$501,"&gt;"&amp;G293,$I$2:$I$501,"pendente",$E$2:$E$501,E293)+COUNTIFS($F$2:$F$501,F293,$G$2:$G$501,"&lt;"&amp;N293,$N$2:$N$501,"&gt;"&amp;G293,$I$2:$I$501,"confirmado",$E$2:$E$501,E293)-1,0)))</x:f>
      </x:c>
    </x:row>
    <x:row r="294" ht="24" customHeight="1">
      <x:c r="A294" s="17"/>
      <x:c r="B294" s="16"/>
      <x:c r="C294" s="2"/>
      <x:c r="D294" s="17"/>
      <x:c r="E294" s="2"/>
      <x:c r="F294" s="10"/>
      <x:c r="G294" s="11"/>
      <x:c r="H294" s="2"/>
      <x:c r="I294" s="7"/>
      <x:c r="J294" s="2"/>
      <x:c r="K294" s="2"/>
      <x:c r="L294" s="2"/>
      <x:c r="M294" s="2"/>
      <x:c r="N294" s="11" t="str">
        <x:f>IF(A294="","",IF(AND(ISNUMBER(G294),ISNUMBER(L294),ISNUMBER(M294)),G294+(L294+M294)/1440,""))</x:f>
      </x:c>
      <x:c r="O294" s="2" t="str">
        <x:f>IF(A294="","",IF(OR(N294="",F294=""),"Dados incompletos",IF(OR(I294="pendente",I294="confirmado"),IF(K294="",0,COUNTIFS($F$2:$F$501,F294,$G$2:$G$501,"&lt;"&amp;N294,$N$2:$N$501,"&gt;"&amp;G294,$I$2:$I$501,"pendente",$K$2:$K$501,K294)+COUNTIFS($F$2:$F$501,F294,$G$2:$G$501,"&lt;"&amp;N294,$N$2:$N$501,"&gt;"&amp;G294,$I$2:$I$501,"confirmado",$K$2:$K$501,K294)-1),0)))</x:f>
      </x:c>
      <x:c r="P294" s="2" t="str">
        <x:f>IF(A294="","",IF(OR(N294="",F294=""),"Dados incompletos",IF(OR(I294="pendente",I294="confirmado"),COUNTIFS($F$2:$F$501,F294,$G$2:$G$501,"&lt;"&amp;N294,$N$2:$N$501,"&gt;"&amp;G294,$I$2:$I$501,"pendente",$E$2:$E$501,E294)+COUNTIFS($F$2:$F$501,F294,$G$2:$G$501,"&lt;"&amp;N294,$N$2:$N$501,"&gt;"&amp;G294,$I$2:$I$501,"confirmado",$E$2:$E$501,E294)-1,0)))</x:f>
      </x:c>
    </x:row>
    <x:row r="295" ht="24" customHeight="1">
      <x:c r="A295" s="17"/>
      <x:c r="B295" s="16"/>
      <x:c r="C295" s="2"/>
      <x:c r="D295" s="17"/>
      <x:c r="E295" s="2"/>
      <x:c r="F295" s="10"/>
      <x:c r="G295" s="11"/>
      <x:c r="H295" s="2"/>
      <x:c r="I295" s="7"/>
      <x:c r="J295" s="2"/>
      <x:c r="K295" s="2"/>
      <x:c r="L295" s="2"/>
      <x:c r="M295" s="2"/>
      <x:c r="N295" s="11" t="str">
        <x:f>IF(A295="","",IF(AND(ISNUMBER(G295),ISNUMBER(L295),ISNUMBER(M295)),G295+(L295+M295)/1440,""))</x:f>
      </x:c>
      <x:c r="O295" s="2" t="str">
        <x:f>IF(A295="","",IF(OR(N295="",F295=""),"Dados incompletos",IF(OR(I295="pendente",I295="confirmado"),IF(K295="",0,COUNTIFS($F$2:$F$501,F295,$G$2:$G$501,"&lt;"&amp;N295,$N$2:$N$501,"&gt;"&amp;G295,$I$2:$I$501,"pendente",$K$2:$K$501,K295)+COUNTIFS($F$2:$F$501,F295,$G$2:$G$501,"&lt;"&amp;N295,$N$2:$N$501,"&gt;"&amp;G295,$I$2:$I$501,"confirmado",$K$2:$K$501,K295)-1),0)))</x:f>
      </x:c>
      <x:c r="P295" s="2" t="str">
        <x:f>IF(A295="","",IF(OR(N295="",F295=""),"Dados incompletos",IF(OR(I295="pendente",I295="confirmado"),COUNTIFS($F$2:$F$501,F295,$G$2:$G$501,"&lt;"&amp;N295,$N$2:$N$501,"&gt;"&amp;G295,$I$2:$I$501,"pendente",$E$2:$E$501,E295)+COUNTIFS($F$2:$F$501,F295,$G$2:$G$501,"&lt;"&amp;N295,$N$2:$N$501,"&gt;"&amp;G295,$I$2:$I$501,"confirmado",$E$2:$E$501,E295)-1,0)))</x:f>
      </x:c>
    </x:row>
    <x:row r="296" ht="24" customHeight="1">
      <x:c r="A296" s="17"/>
      <x:c r="B296" s="16"/>
      <x:c r="C296" s="2"/>
      <x:c r="D296" s="17"/>
      <x:c r="E296" s="2"/>
      <x:c r="F296" s="10"/>
      <x:c r="G296" s="11"/>
      <x:c r="H296" s="2"/>
      <x:c r="I296" s="7"/>
      <x:c r="J296" s="2"/>
      <x:c r="K296" s="2"/>
      <x:c r="L296" s="2"/>
      <x:c r="M296" s="2"/>
      <x:c r="N296" s="11" t="str">
        <x:f>IF(A296="","",IF(AND(ISNUMBER(G296),ISNUMBER(L296),ISNUMBER(M296)),G296+(L296+M296)/1440,""))</x:f>
      </x:c>
      <x:c r="O296" s="2" t="str">
        <x:f>IF(A296="","",IF(OR(N296="",F296=""),"Dados incompletos",IF(OR(I296="pendente",I296="confirmado"),IF(K296="",0,COUNTIFS($F$2:$F$501,F296,$G$2:$G$501,"&lt;"&amp;N296,$N$2:$N$501,"&gt;"&amp;G296,$I$2:$I$501,"pendente",$K$2:$K$501,K296)+COUNTIFS($F$2:$F$501,F296,$G$2:$G$501,"&lt;"&amp;N296,$N$2:$N$501,"&gt;"&amp;G296,$I$2:$I$501,"confirmado",$K$2:$K$501,K296)-1),0)))</x:f>
      </x:c>
      <x:c r="P296" s="2" t="str">
        <x:f>IF(A296="","",IF(OR(N296="",F296=""),"Dados incompletos",IF(OR(I296="pendente",I296="confirmado"),COUNTIFS($F$2:$F$501,F296,$G$2:$G$501,"&lt;"&amp;N296,$N$2:$N$501,"&gt;"&amp;G296,$I$2:$I$501,"pendente",$E$2:$E$501,E296)+COUNTIFS($F$2:$F$501,F296,$G$2:$G$501,"&lt;"&amp;N296,$N$2:$N$501,"&gt;"&amp;G296,$I$2:$I$501,"confirmado",$E$2:$E$501,E296)-1,0)))</x:f>
      </x:c>
    </x:row>
    <x:row r="297" ht="24" customHeight="1">
      <x:c r="A297" s="17"/>
      <x:c r="B297" s="16"/>
      <x:c r="C297" s="2"/>
      <x:c r="D297" s="17"/>
      <x:c r="E297" s="2"/>
      <x:c r="F297" s="10"/>
      <x:c r="G297" s="11"/>
      <x:c r="H297" s="2"/>
      <x:c r="I297" s="7"/>
      <x:c r="J297" s="2"/>
      <x:c r="K297" s="2"/>
      <x:c r="L297" s="2"/>
      <x:c r="M297" s="2"/>
      <x:c r="N297" s="11" t="str">
        <x:f>IF(A297="","",IF(AND(ISNUMBER(G297),ISNUMBER(L297),ISNUMBER(M297)),G297+(L297+M297)/1440,""))</x:f>
      </x:c>
      <x:c r="O297" s="2" t="str">
        <x:f>IF(A297="","",IF(OR(N297="",F297=""),"Dados incompletos",IF(OR(I297="pendente",I297="confirmado"),IF(K297="",0,COUNTIFS($F$2:$F$501,F297,$G$2:$G$501,"&lt;"&amp;N297,$N$2:$N$501,"&gt;"&amp;G297,$I$2:$I$501,"pendente",$K$2:$K$501,K297)+COUNTIFS($F$2:$F$501,F297,$G$2:$G$501,"&lt;"&amp;N297,$N$2:$N$501,"&gt;"&amp;G297,$I$2:$I$501,"confirmado",$K$2:$K$501,K297)-1),0)))</x:f>
      </x:c>
      <x:c r="P297" s="2" t="str">
        <x:f>IF(A297="","",IF(OR(N297="",F297=""),"Dados incompletos",IF(OR(I297="pendente",I297="confirmado"),COUNTIFS($F$2:$F$501,F297,$G$2:$G$501,"&lt;"&amp;N297,$N$2:$N$501,"&gt;"&amp;G297,$I$2:$I$501,"pendente",$E$2:$E$501,E297)+COUNTIFS($F$2:$F$501,F297,$G$2:$G$501,"&lt;"&amp;N297,$N$2:$N$501,"&gt;"&amp;G297,$I$2:$I$501,"confirmado",$E$2:$E$501,E297)-1,0)))</x:f>
      </x:c>
    </x:row>
    <x:row r="298" ht="24" customHeight="1">
      <x:c r="A298" s="17"/>
      <x:c r="B298" s="16"/>
      <x:c r="C298" s="2"/>
      <x:c r="D298" s="17"/>
      <x:c r="E298" s="2"/>
      <x:c r="F298" s="10"/>
      <x:c r="G298" s="11"/>
      <x:c r="H298" s="2"/>
      <x:c r="I298" s="7"/>
      <x:c r="J298" s="2"/>
      <x:c r="K298" s="2"/>
      <x:c r="L298" s="2"/>
      <x:c r="M298" s="2"/>
      <x:c r="N298" s="11" t="str">
        <x:f>IF(A298="","",IF(AND(ISNUMBER(G298),ISNUMBER(L298),ISNUMBER(M298)),G298+(L298+M298)/1440,""))</x:f>
      </x:c>
      <x:c r="O298" s="2" t="str">
        <x:f>IF(A298="","",IF(OR(N298="",F298=""),"Dados incompletos",IF(OR(I298="pendente",I298="confirmado"),IF(K298="",0,COUNTIFS($F$2:$F$501,F298,$G$2:$G$501,"&lt;"&amp;N298,$N$2:$N$501,"&gt;"&amp;G298,$I$2:$I$501,"pendente",$K$2:$K$501,K298)+COUNTIFS($F$2:$F$501,F298,$G$2:$G$501,"&lt;"&amp;N298,$N$2:$N$501,"&gt;"&amp;G298,$I$2:$I$501,"confirmado",$K$2:$K$501,K298)-1),0)))</x:f>
      </x:c>
      <x:c r="P298" s="2" t="str">
        <x:f>IF(A298="","",IF(OR(N298="",F298=""),"Dados incompletos",IF(OR(I298="pendente",I298="confirmado"),COUNTIFS($F$2:$F$501,F298,$G$2:$G$501,"&lt;"&amp;N298,$N$2:$N$501,"&gt;"&amp;G298,$I$2:$I$501,"pendente",$E$2:$E$501,E298)+COUNTIFS($F$2:$F$501,F298,$G$2:$G$501,"&lt;"&amp;N298,$N$2:$N$501,"&gt;"&amp;G298,$I$2:$I$501,"confirmado",$E$2:$E$501,E298)-1,0)))</x:f>
      </x:c>
    </x:row>
    <x:row r="299" ht="24" customHeight="1">
      <x:c r="A299" s="17"/>
      <x:c r="B299" s="16"/>
      <x:c r="C299" s="2"/>
      <x:c r="D299" s="17"/>
      <x:c r="E299" s="2"/>
      <x:c r="F299" s="10"/>
      <x:c r="G299" s="11"/>
      <x:c r="H299" s="2"/>
      <x:c r="I299" s="7"/>
      <x:c r="J299" s="2"/>
      <x:c r="K299" s="2"/>
      <x:c r="L299" s="2"/>
      <x:c r="M299" s="2"/>
      <x:c r="N299" s="11" t="str">
        <x:f>IF(A299="","",IF(AND(ISNUMBER(G299),ISNUMBER(L299),ISNUMBER(M299)),G299+(L299+M299)/1440,""))</x:f>
      </x:c>
      <x:c r="O299" s="2" t="str">
        <x:f>IF(A299="","",IF(OR(N299="",F299=""),"Dados incompletos",IF(OR(I299="pendente",I299="confirmado"),IF(K299="",0,COUNTIFS($F$2:$F$501,F299,$G$2:$G$501,"&lt;"&amp;N299,$N$2:$N$501,"&gt;"&amp;G299,$I$2:$I$501,"pendente",$K$2:$K$501,K299)+COUNTIFS($F$2:$F$501,F299,$G$2:$G$501,"&lt;"&amp;N299,$N$2:$N$501,"&gt;"&amp;G299,$I$2:$I$501,"confirmado",$K$2:$K$501,K299)-1),0)))</x:f>
      </x:c>
      <x:c r="P299" s="2" t="str">
        <x:f>IF(A299="","",IF(OR(N299="",F299=""),"Dados incompletos",IF(OR(I299="pendente",I299="confirmado"),COUNTIFS($F$2:$F$501,F299,$G$2:$G$501,"&lt;"&amp;N299,$N$2:$N$501,"&gt;"&amp;G299,$I$2:$I$501,"pendente",$E$2:$E$501,E299)+COUNTIFS($F$2:$F$501,F299,$G$2:$G$501,"&lt;"&amp;N299,$N$2:$N$501,"&gt;"&amp;G299,$I$2:$I$501,"confirmado",$E$2:$E$501,E299)-1,0)))</x:f>
      </x:c>
    </x:row>
    <x:row r="300" ht="24" customHeight="1">
      <x:c r="A300" s="17"/>
      <x:c r="B300" s="16"/>
      <x:c r="C300" s="2"/>
      <x:c r="D300" s="17"/>
      <x:c r="E300" s="2"/>
      <x:c r="F300" s="10"/>
      <x:c r="G300" s="11"/>
      <x:c r="H300" s="2"/>
      <x:c r="I300" s="7"/>
      <x:c r="J300" s="2"/>
      <x:c r="K300" s="2"/>
      <x:c r="L300" s="2"/>
      <x:c r="M300" s="2"/>
      <x:c r="N300" s="11" t="str">
        <x:f>IF(A300="","",IF(AND(ISNUMBER(G300),ISNUMBER(L300),ISNUMBER(M300)),G300+(L300+M300)/1440,""))</x:f>
      </x:c>
      <x:c r="O300" s="2" t="str">
        <x:f>IF(A300="","",IF(OR(N300="",F300=""),"Dados incompletos",IF(OR(I300="pendente",I300="confirmado"),IF(K300="",0,COUNTIFS($F$2:$F$501,F300,$G$2:$G$501,"&lt;"&amp;N300,$N$2:$N$501,"&gt;"&amp;G300,$I$2:$I$501,"pendente",$K$2:$K$501,K300)+COUNTIFS($F$2:$F$501,F300,$G$2:$G$501,"&lt;"&amp;N300,$N$2:$N$501,"&gt;"&amp;G300,$I$2:$I$501,"confirmado",$K$2:$K$501,K300)-1),0)))</x:f>
      </x:c>
      <x:c r="P300" s="2" t="str">
        <x:f>IF(A300="","",IF(OR(N300="",F300=""),"Dados incompletos",IF(OR(I300="pendente",I300="confirmado"),COUNTIFS($F$2:$F$501,F300,$G$2:$G$501,"&lt;"&amp;N300,$N$2:$N$501,"&gt;"&amp;G300,$I$2:$I$501,"pendente",$E$2:$E$501,E300)+COUNTIFS($F$2:$F$501,F300,$G$2:$G$501,"&lt;"&amp;N300,$N$2:$N$501,"&gt;"&amp;G300,$I$2:$I$501,"confirmado",$E$2:$E$501,E300)-1,0)))</x:f>
      </x:c>
    </x:row>
    <x:row r="301" ht="24" customHeight="1">
      <x:c r="A301" s="17"/>
      <x:c r="B301" s="16"/>
      <x:c r="C301" s="2"/>
      <x:c r="D301" s="17"/>
      <x:c r="E301" s="2"/>
      <x:c r="F301" s="10"/>
      <x:c r="G301" s="11"/>
      <x:c r="H301" s="2"/>
      <x:c r="I301" s="7"/>
      <x:c r="J301" s="2"/>
      <x:c r="K301" s="2"/>
      <x:c r="L301" s="2"/>
      <x:c r="M301" s="2"/>
      <x:c r="N301" s="11" t="str">
        <x:f>IF(A301="","",IF(AND(ISNUMBER(G301),ISNUMBER(L301),ISNUMBER(M301)),G301+(L301+M301)/1440,""))</x:f>
      </x:c>
      <x:c r="O301" s="2" t="str">
        <x:f>IF(A301="","",IF(OR(N301="",F301=""),"Dados incompletos",IF(OR(I301="pendente",I301="confirmado"),IF(K301="",0,COUNTIFS($F$2:$F$501,F301,$G$2:$G$501,"&lt;"&amp;N301,$N$2:$N$501,"&gt;"&amp;G301,$I$2:$I$501,"pendente",$K$2:$K$501,K301)+COUNTIFS($F$2:$F$501,F301,$G$2:$G$501,"&lt;"&amp;N301,$N$2:$N$501,"&gt;"&amp;G301,$I$2:$I$501,"confirmado",$K$2:$K$501,K301)-1),0)))</x:f>
      </x:c>
      <x:c r="P301" s="2" t="str">
        <x:f>IF(A301="","",IF(OR(N301="",F301=""),"Dados incompletos",IF(OR(I301="pendente",I301="confirmado"),COUNTIFS($F$2:$F$501,F301,$G$2:$G$501,"&lt;"&amp;N301,$N$2:$N$501,"&gt;"&amp;G301,$I$2:$I$501,"pendente",$E$2:$E$501,E301)+COUNTIFS($F$2:$F$501,F301,$G$2:$G$501,"&lt;"&amp;N301,$N$2:$N$501,"&gt;"&amp;G301,$I$2:$I$501,"confirmado",$E$2:$E$501,E301)-1,0)))</x:f>
      </x:c>
    </x:row>
    <x:row r="302" ht="24" customHeight="1">
      <x:c r="A302" s="17"/>
      <x:c r="B302" s="16"/>
      <x:c r="C302" s="2"/>
      <x:c r="D302" s="17"/>
      <x:c r="E302" s="2"/>
      <x:c r="F302" s="10"/>
      <x:c r="G302" s="11"/>
      <x:c r="H302" s="2"/>
      <x:c r="I302" s="7"/>
      <x:c r="J302" s="2"/>
      <x:c r="K302" s="2"/>
      <x:c r="L302" s="2"/>
      <x:c r="M302" s="2"/>
      <x:c r="N302" s="11" t="str">
        <x:f>IF(A302="","",IF(AND(ISNUMBER(G302),ISNUMBER(L302),ISNUMBER(M302)),G302+(L302+M302)/1440,""))</x:f>
      </x:c>
      <x:c r="O302" s="2" t="str">
        <x:f>IF(A302="","",IF(OR(N302="",F302=""),"Dados incompletos",IF(OR(I302="pendente",I302="confirmado"),IF(K302="",0,COUNTIFS($F$2:$F$501,F302,$G$2:$G$501,"&lt;"&amp;N302,$N$2:$N$501,"&gt;"&amp;G302,$I$2:$I$501,"pendente",$K$2:$K$501,K302)+COUNTIFS($F$2:$F$501,F302,$G$2:$G$501,"&lt;"&amp;N302,$N$2:$N$501,"&gt;"&amp;G302,$I$2:$I$501,"confirmado",$K$2:$K$501,K302)-1),0)))</x:f>
      </x:c>
      <x:c r="P302" s="2" t="str">
        <x:f>IF(A302="","",IF(OR(N302="",F302=""),"Dados incompletos",IF(OR(I302="pendente",I302="confirmado"),COUNTIFS($F$2:$F$501,F302,$G$2:$G$501,"&lt;"&amp;N302,$N$2:$N$501,"&gt;"&amp;G302,$I$2:$I$501,"pendente",$E$2:$E$501,E302)+COUNTIFS($F$2:$F$501,F302,$G$2:$G$501,"&lt;"&amp;N302,$N$2:$N$501,"&gt;"&amp;G302,$I$2:$I$501,"confirmado",$E$2:$E$501,E302)-1,0)))</x:f>
      </x:c>
    </x:row>
    <x:row r="303" ht="24" customHeight="1">
      <x:c r="A303" s="17"/>
      <x:c r="B303" s="16"/>
      <x:c r="C303" s="2"/>
      <x:c r="D303" s="17"/>
      <x:c r="E303" s="2"/>
      <x:c r="F303" s="10"/>
      <x:c r="G303" s="11"/>
      <x:c r="H303" s="2"/>
      <x:c r="I303" s="7"/>
      <x:c r="J303" s="2"/>
      <x:c r="K303" s="2"/>
      <x:c r="L303" s="2"/>
      <x:c r="M303" s="2"/>
      <x:c r="N303" s="11" t="str">
        <x:f>IF(A303="","",IF(AND(ISNUMBER(G303),ISNUMBER(L303),ISNUMBER(M303)),G303+(L303+M303)/1440,""))</x:f>
      </x:c>
      <x:c r="O303" s="2" t="str">
        <x:f>IF(A303="","",IF(OR(N303="",F303=""),"Dados incompletos",IF(OR(I303="pendente",I303="confirmado"),IF(K303="",0,COUNTIFS($F$2:$F$501,F303,$G$2:$G$501,"&lt;"&amp;N303,$N$2:$N$501,"&gt;"&amp;G303,$I$2:$I$501,"pendente",$K$2:$K$501,K303)+COUNTIFS($F$2:$F$501,F303,$G$2:$G$501,"&lt;"&amp;N303,$N$2:$N$501,"&gt;"&amp;G303,$I$2:$I$501,"confirmado",$K$2:$K$501,K303)-1),0)))</x:f>
      </x:c>
      <x:c r="P303" s="2" t="str">
        <x:f>IF(A303="","",IF(OR(N303="",F303=""),"Dados incompletos",IF(OR(I303="pendente",I303="confirmado"),COUNTIFS($F$2:$F$501,F303,$G$2:$G$501,"&lt;"&amp;N303,$N$2:$N$501,"&gt;"&amp;G303,$I$2:$I$501,"pendente",$E$2:$E$501,E303)+COUNTIFS($F$2:$F$501,F303,$G$2:$G$501,"&lt;"&amp;N303,$N$2:$N$501,"&gt;"&amp;G303,$I$2:$I$501,"confirmado",$E$2:$E$501,E303)-1,0)))</x:f>
      </x:c>
    </x:row>
    <x:row r="304" ht="24" customHeight="1">
      <x:c r="A304" s="17"/>
      <x:c r="B304" s="16"/>
      <x:c r="C304" s="2"/>
      <x:c r="D304" s="17"/>
      <x:c r="E304" s="2"/>
      <x:c r="F304" s="10"/>
      <x:c r="G304" s="11"/>
      <x:c r="H304" s="2"/>
      <x:c r="I304" s="7"/>
      <x:c r="J304" s="2"/>
      <x:c r="K304" s="2"/>
      <x:c r="L304" s="2"/>
      <x:c r="M304" s="2"/>
      <x:c r="N304" s="11" t="str">
        <x:f>IF(A304="","",IF(AND(ISNUMBER(G304),ISNUMBER(L304),ISNUMBER(M304)),G304+(L304+M304)/1440,""))</x:f>
      </x:c>
      <x:c r="O304" s="2" t="str">
        <x:f>IF(A304="","",IF(OR(N304="",F304=""),"Dados incompletos",IF(OR(I304="pendente",I304="confirmado"),IF(K304="",0,COUNTIFS($F$2:$F$501,F304,$G$2:$G$501,"&lt;"&amp;N304,$N$2:$N$501,"&gt;"&amp;G304,$I$2:$I$501,"pendente",$K$2:$K$501,K304)+COUNTIFS($F$2:$F$501,F304,$G$2:$G$501,"&lt;"&amp;N304,$N$2:$N$501,"&gt;"&amp;G304,$I$2:$I$501,"confirmado",$K$2:$K$501,K304)-1),0)))</x:f>
      </x:c>
      <x:c r="P304" s="2" t="str">
        <x:f>IF(A304="","",IF(OR(N304="",F304=""),"Dados incompletos",IF(OR(I304="pendente",I304="confirmado"),COUNTIFS($F$2:$F$501,F304,$G$2:$G$501,"&lt;"&amp;N304,$N$2:$N$501,"&gt;"&amp;G304,$I$2:$I$501,"pendente",$E$2:$E$501,E304)+COUNTIFS($F$2:$F$501,F304,$G$2:$G$501,"&lt;"&amp;N304,$N$2:$N$501,"&gt;"&amp;G304,$I$2:$I$501,"confirmado",$E$2:$E$501,E304)-1,0)))</x:f>
      </x:c>
    </x:row>
    <x:row r="305" ht="24" customHeight="1">
      <x:c r="A305" s="17"/>
      <x:c r="B305" s="16"/>
      <x:c r="C305" s="2"/>
      <x:c r="D305" s="17"/>
      <x:c r="E305" s="2"/>
      <x:c r="F305" s="10"/>
      <x:c r="G305" s="11"/>
      <x:c r="H305" s="2"/>
      <x:c r="I305" s="7"/>
      <x:c r="J305" s="2"/>
      <x:c r="K305" s="2"/>
      <x:c r="L305" s="2"/>
      <x:c r="M305" s="2"/>
      <x:c r="N305" s="11" t="str">
        <x:f>IF(A305="","",IF(AND(ISNUMBER(G305),ISNUMBER(L305),ISNUMBER(M305)),G305+(L305+M305)/1440,""))</x:f>
      </x:c>
      <x:c r="O305" s="2" t="str">
        <x:f>IF(A305="","",IF(OR(N305="",F305=""),"Dados incompletos",IF(OR(I305="pendente",I305="confirmado"),IF(K305="",0,COUNTIFS($F$2:$F$501,F305,$G$2:$G$501,"&lt;"&amp;N305,$N$2:$N$501,"&gt;"&amp;G305,$I$2:$I$501,"pendente",$K$2:$K$501,K305)+COUNTIFS($F$2:$F$501,F305,$G$2:$G$501,"&lt;"&amp;N305,$N$2:$N$501,"&gt;"&amp;G305,$I$2:$I$501,"confirmado",$K$2:$K$501,K305)-1),0)))</x:f>
      </x:c>
      <x:c r="P305" s="2" t="str">
        <x:f>IF(A305="","",IF(OR(N305="",F305=""),"Dados incompletos",IF(OR(I305="pendente",I305="confirmado"),COUNTIFS($F$2:$F$501,F305,$G$2:$G$501,"&lt;"&amp;N305,$N$2:$N$501,"&gt;"&amp;G305,$I$2:$I$501,"pendente",$E$2:$E$501,E305)+COUNTIFS($F$2:$F$501,F305,$G$2:$G$501,"&lt;"&amp;N305,$N$2:$N$501,"&gt;"&amp;G305,$I$2:$I$501,"confirmado",$E$2:$E$501,E305)-1,0)))</x:f>
      </x:c>
    </x:row>
    <x:row r="306" ht="24" customHeight="1">
      <x:c r="A306" s="17"/>
      <x:c r="B306" s="16"/>
      <x:c r="C306" s="2"/>
      <x:c r="D306" s="17"/>
      <x:c r="E306" s="2"/>
      <x:c r="F306" s="10"/>
      <x:c r="G306" s="11"/>
      <x:c r="H306" s="2"/>
      <x:c r="I306" s="7"/>
      <x:c r="J306" s="2"/>
      <x:c r="K306" s="2"/>
      <x:c r="L306" s="2"/>
      <x:c r="M306" s="2"/>
      <x:c r="N306" s="11" t="str">
        <x:f>IF(A306="","",IF(AND(ISNUMBER(G306),ISNUMBER(L306),ISNUMBER(M306)),G306+(L306+M306)/1440,""))</x:f>
      </x:c>
      <x:c r="O306" s="2" t="str">
        <x:f>IF(A306="","",IF(OR(N306="",F306=""),"Dados incompletos",IF(OR(I306="pendente",I306="confirmado"),IF(K306="",0,COUNTIFS($F$2:$F$501,F306,$G$2:$G$501,"&lt;"&amp;N306,$N$2:$N$501,"&gt;"&amp;G306,$I$2:$I$501,"pendente",$K$2:$K$501,K306)+COUNTIFS($F$2:$F$501,F306,$G$2:$G$501,"&lt;"&amp;N306,$N$2:$N$501,"&gt;"&amp;G306,$I$2:$I$501,"confirmado",$K$2:$K$501,K306)-1),0)))</x:f>
      </x:c>
      <x:c r="P306" s="2" t="str">
        <x:f>IF(A306="","",IF(OR(N306="",F306=""),"Dados incompletos",IF(OR(I306="pendente",I306="confirmado"),COUNTIFS($F$2:$F$501,F306,$G$2:$G$501,"&lt;"&amp;N306,$N$2:$N$501,"&gt;"&amp;G306,$I$2:$I$501,"pendente",$E$2:$E$501,E306)+COUNTIFS($F$2:$F$501,F306,$G$2:$G$501,"&lt;"&amp;N306,$N$2:$N$501,"&gt;"&amp;G306,$I$2:$I$501,"confirmado",$E$2:$E$501,E306)-1,0)))</x:f>
      </x:c>
    </x:row>
    <x:row r="307" ht="24" customHeight="1">
      <x:c r="A307" s="17"/>
      <x:c r="B307" s="16"/>
      <x:c r="C307" s="2"/>
      <x:c r="D307" s="17"/>
      <x:c r="E307" s="2"/>
      <x:c r="F307" s="10"/>
      <x:c r="G307" s="11"/>
      <x:c r="H307" s="2"/>
      <x:c r="I307" s="7"/>
      <x:c r="J307" s="2"/>
      <x:c r="K307" s="2"/>
      <x:c r="L307" s="2"/>
      <x:c r="M307" s="2"/>
      <x:c r="N307" s="11" t="str">
        <x:f>IF(A307="","",IF(AND(ISNUMBER(G307),ISNUMBER(L307),ISNUMBER(M307)),G307+(L307+M307)/1440,""))</x:f>
      </x:c>
      <x:c r="O307" s="2" t="str">
        <x:f>IF(A307="","",IF(OR(N307="",F307=""),"Dados incompletos",IF(OR(I307="pendente",I307="confirmado"),IF(K307="",0,COUNTIFS($F$2:$F$501,F307,$G$2:$G$501,"&lt;"&amp;N307,$N$2:$N$501,"&gt;"&amp;G307,$I$2:$I$501,"pendente",$K$2:$K$501,K307)+COUNTIFS($F$2:$F$501,F307,$G$2:$G$501,"&lt;"&amp;N307,$N$2:$N$501,"&gt;"&amp;G307,$I$2:$I$501,"confirmado",$K$2:$K$501,K307)-1),0)))</x:f>
      </x:c>
      <x:c r="P307" s="2" t="str">
        <x:f>IF(A307="","",IF(OR(N307="",F307=""),"Dados incompletos",IF(OR(I307="pendente",I307="confirmado"),COUNTIFS($F$2:$F$501,F307,$G$2:$G$501,"&lt;"&amp;N307,$N$2:$N$501,"&gt;"&amp;G307,$I$2:$I$501,"pendente",$E$2:$E$501,E307)+COUNTIFS($F$2:$F$501,F307,$G$2:$G$501,"&lt;"&amp;N307,$N$2:$N$501,"&gt;"&amp;G307,$I$2:$I$501,"confirmado",$E$2:$E$501,E307)-1,0)))</x:f>
      </x:c>
    </x:row>
    <x:row r="308" ht="24" customHeight="1">
      <x:c r="A308" s="17"/>
      <x:c r="B308" s="16"/>
      <x:c r="C308" s="2"/>
      <x:c r="D308" s="17"/>
      <x:c r="E308" s="2"/>
      <x:c r="F308" s="10"/>
      <x:c r="G308" s="11"/>
      <x:c r="H308" s="2"/>
      <x:c r="I308" s="7"/>
      <x:c r="J308" s="2"/>
      <x:c r="K308" s="2"/>
      <x:c r="L308" s="2"/>
      <x:c r="M308" s="2"/>
      <x:c r="N308" s="11" t="str">
        <x:f>IF(A308="","",IF(AND(ISNUMBER(G308),ISNUMBER(L308),ISNUMBER(M308)),G308+(L308+M308)/1440,""))</x:f>
      </x:c>
      <x:c r="O308" s="2" t="str">
        <x:f>IF(A308="","",IF(OR(N308="",F308=""),"Dados incompletos",IF(OR(I308="pendente",I308="confirmado"),IF(K308="",0,COUNTIFS($F$2:$F$501,F308,$G$2:$G$501,"&lt;"&amp;N308,$N$2:$N$501,"&gt;"&amp;G308,$I$2:$I$501,"pendente",$K$2:$K$501,K308)+COUNTIFS($F$2:$F$501,F308,$G$2:$G$501,"&lt;"&amp;N308,$N$2:$N$501,"&gt;"&amp;G308,$I$2:$I$501,"confirmado",$K$2:$K$501,K308)-1),0)))</x:f>
      </x:c>
      <x:c r="P308" s="2" t="str">
        <x:f>IF(A308="","",IF(OR(N308="",F308=""),"Dados incompletos",IF(OR(I308="pendente",I308="confirmado"),COUNTIFS($F$2:$F$501,F308,$G$2:$G$501,"&lt;"&amp;N308,$N$2:$N$501,"&gt;"&amp;G308,$I$2:$I$501,"pendente",$E$2:$E$501,E308)+COUNTIFS($F$2:$F$501,F308,$G$2:$G$501,"&lt;"&amp;N308,$N$2:$N$501,"&gt;"&amp;G308,$I$2:$I$501,"confirmado",$E$2:$E$501,E308)-1,0)))</x:f>
      </x:c>
    </x:row>
    <x:row r="309" ht="24" customHeight="1">
      <x:c r="A309" s="17"/>
      <x:c r="B309" s="16"/>
      <x:c r="C309" s="2"/>
      <x:c r="D309" s="17"/>
      <x:c r="E309" s="2"/>
      <x:c r="F309" s="10"/>
      <x:c r="G309" s="11"/>
      <x:c r="H309" s="2"/>
      <x:c r="I309" s="7"/>
      <x:c r="J309" s="2"/>
      <x:c r="K309" s="2"/>
      <x:c r="L309" s="2"/>
      <x:c r="M309" s="2"/>
      <x:c r="N309" s="11" t="str">
        <x:f>IF(A309="","",IF(AND(ISNUMBER(G309),ISNUMBER(L309),ISNUMBER(M309)),G309+(L309+M309)/1440,""))</x:f>
      </x:c>
      <x:c r="O309" s="2" t="str">
        <x:f>IF(A309="","",IF(OR(N309="",F309=""),"Dados incompletos",IF(OR(I309="pendente",I309="confirmado"),IF(K309="",0,COUNTIFS($F$2:$F$501,F309,$G$2:$G$501,"&lt;"&amp;N309,$N$2:$N$501,"&gt;"&amp;G309,$I$2:$I$501,"pendente",$K$2:$K$501,K309)+COUNTIFS($F$2:$F$501,F309,$G$2:$G$501,"&lt;"&amp;N309,$N$2:$N$501,"&gt;"&amp;G309,$I$2:$I$501,"confirmado",$K$2:$K$501,K309)-1),0)))</x:f>
      </x:c>
      <x:c r="P309" s="2" t="str">
        <x:f>IF(A309="","",IF(OR(N309="",F309=""),"Dados incompletos",IF(OR(I309="pendente",I309="confirmado"),COUNTIFS($F$2:$F$501,F309,$G$2:$G$501,"&lt;"&amp;N309,$N$2:$N$501,"&gt;"&amp;G309,$I$2:$I$501,"pendente",$E$2:$E$501,E309)+COUNTIFS($F$2:$F$501,F309,$G$2:$G$501,"&lt;"&amp;N309,$N$2:$N$501,"&gt;"&amp;G309,$I$2:$I$501,"confirmado",$E$2:$E$501,E309)-1,0)))</x:f>
      </x:c>
    </x:row>
    <x:row r="310" ht="24" customHeight="1">
      <x:c r="A310" s="17"/>
      <x:c r="B310" s="16"/>
      <x:c r="C310" s="2"/>
      <x:c r="D310" s="17"/>
      <x:c r="E310" s="2"/>
      <x:c r="F310" s="10"/>
      <x:c r="G310" s="11"/>
      <x:c r="H310" s="2"/>
      <x:c r="I310" s="7"/>
      <x:c r="J310" s="2"/>
      <x:c r="K310" s="2"/>
      <x:c r="L310" s="2"/>
      <x:c r="M310" s="2"/>
      <x:c r="N310" s="11" t="str">
        <x:f>IF(A310="","",IF(AND(ISNUMBER(G310),ISNUMBER(L310),ISNUMBER(M310)),G310+(L310+M310)/1440,""))</x:f>
      </x:c>
      <x:c r="O310" s="2" t="str">
        <x:f>IF(A310="","",IF(OR(N310="",F310=""),"Dados incompletos",IF(OR(I310="pendente",I310="confirmado"),IF(K310="",0,COUNTIFS($F$2:$F$501,F310,$G$2:$G$501,"&lt;"&amp;N310,$N$2:$N$501,"&gt;"&amp;G310,$I$2:$I$501,"pendente",$K$2:$K$501,K310)+COUNTIFS($F$2:$F$501,F310,$G$2:$G$501,"&lt;"&amp;N310,$N$2:$N$501,"&gt;"&amp;G310,$I$2:$I$501,"confirmado",$K$2:$K$501,K310)-1),0)))</x:f>
      </x:c>
      <x:c r="P310" s="2" t="str">
        <x:f>IF(A310="","",IF(OR(N310="",F310=""),"Dados incompletos",IF(OR(I310="pendente",I310="confirmado"),COUNTIFS($F$2:$F$501,F310,$G$2:$G$501,"&lt;"&amp;N310,$N$2:$N$501,"&gt;"&amp;G310,$I$2:$I$501,"pendente",$E$2:$E$501,E310)+COUNTIFS($F$2:$F$501,F310,$G$2:$G$501,"&lt;"&amp;N310,$N$2:$N$501,"&gt;"&amp;G310,$I$2:$I$501,"confirmado",$E$2:$E$501,E310)-1,0)))</x:f>
      </x:c>
    </x:row>
    <x:row r="311" ht="24" customHeight="1">
      <x:c r="A311" s="17"/>
      <x:c r="B311" s="16"/>
      <x:c r="C311" s="2"/>
      <x:c r="D311" s="17"/>
      <x:c r="E311" s="2"/>
      <x:c r="F311" s="10"/>
      <x:c r="G311" s="11"/>
      <x:c r="H311" s="2"/>
      <x:c r="I311" s="7"/>
      <x:c r="J311" s="2"/>
      <x:c r="K311" s="2"/>
      <x:c r="L311" s="2"/>
      <x:c r="M311" s="2"/>
      <x:c r="N311" s="11" t="str">
        <x:f>IF(A311="","",IF(AND(ISNUMBER(G311),ISNUMBER(L311),ISNUMBER(M311)),G311+(L311+M311)/1440,""))</x:f>
      </x:c>
      <x:c r="O311" s="2" t="str">
        <x:f>IF(A311="","",IF(OR(N311="",F311=""),"Dados incompletos",IF(OR(I311="pendente",I311="confirmado"),IF(K311="",0,COUNTIFS($F$2:$F$501,F311,$G$2:$G$501,"&lt;"&amp;N311,$N$2:$N$501,"&gt;"&amp;G311,$I$2:$I$501,"pendente",$K$2:$K$501,K311)+COUNTIFS($F$2:$F$501,F311,$G$2:$G$501,"&lt;"&amp;N311,$N$2:$N$501,"&gt;"&amp;G311,$I$2:$I$501,"confirmado",$K$2:$K$501,K311)-1),0)))</x:f>
      </x:c>
      <x:c r="P311" s="2" t="str">
        <x:f>IF(A311="","",IF(OR(N311="",F311=""),"Dados incompletos",IF(OR(I311="pendente",I311="confirmado"),COUNTIFS($F$2:$F$501,F311,$G$2:$G$501,"&lt;"&amp;N311,$N$2:$N$501,"&gt;"&amp;G311,$I$2:$I$501,"pendente",$E$2:$E$501,E311)+COUNTIFS($F$2:$F$501,F311,$G$2:$G$501,"&lt;"&amp;N311,$N$2:$N$501,"&gt;"&amp;G311,$I$2:$I$501,"confirmado",$E$2:$E$501,E311)-1,0)))</x:f>
      </x:c>
    </x:row>
    <x:row r="312" ht="24" customHeight="1">
      <x:c r="A312" s="17"/>
      <x:c r="B312" s="16"/>
      <x:c r="C312" s="2"/>
      <x:c r="D312" s="17"/>
      <x:c r="E312" s="2"/>
      <x:c r="F312" s="10"/>
      <x:c r="G312" s="11"/>
      <x:c r="H312" s="2"/>
      <x:c r="I312" s="7"/>
      <x:c r="J312" s="2"/>
      <x:c r="K312" s="2"/>
      <x:c r="L312" s="2"/>
      <x:c r="M312" s="2"/>
      <x:c r="N312" s="11" t="str">
        <x:f>IF(A312="","",IF(AND(ISNUMBER(G312),ISNUMBER(L312),ISNUMBER(M312)),G312+(L312+M312)/1440,""))</x:f>
      </x:c>
      <x:c r="O312" s="2" t="str">
        <x:f>IF(A312="","",IF(OR(N312="",F312=""),"Dados incompletos",IF(OR(I312="pendente",I312="confirmado"),IF(K312="",0,COUNTIFS($F$2:$F$501,F312,$G$2:$G$501,"&lt;"&amp;N312,$N$2:$N$501,"&gt;"&amp;G312,$I$2:$I$501,"pendente",$K$2:$K$501,K312)+COUNTIFS($F$2:$F$501,F312,$G$2:$G$501,"&lt;"&amp;N312,$N$2:$N$501,"&gt;"&amp;G312,$I$2:$I$501,"confirmado",$K$2:$K$501,K312)-1),0)))</x:f>
      </x:c>
      <x:c r="P312" s="2" t="str">
        <x:f>IF(A312="","",IF(OR(N312="",F312=""),"Dados incompletos",IF(OR(I312="pendente",I312="confirmado"),COUNTIFS($F$2:$F$501,F312,$G$2:$G$501,"&lt;"&amp;N312,$N$2:$N$501,"&gt;"&amp;G312,$I$2:$I$501,"pendente",$E$2:$E$501,E312)+COUNTIFS($F$2:$F$501,F312,$G$2:$G$501,"&lt;"&amp;N312,$N$2:$N$501,"&gt;"&amp;G312,$I$2:$I$501,"confirmado",$E$2:$E$501,E312)-1,0)))</x:f>
      </x:c>
    </x:row>
    <x:row r="313" ht="24" customHeight="1">
      <x:c r="A313" s="17"/>
      <x:c r="B313" s="16"/>
      <x:c r="C313" s="2"/>
      <x:c r="D313" s="17"/>
      <x:c r="E313" s="2"/>
      <x:c r="F313" s="10"/>
      <x:c r="G313" s="11"/>
      <x:c r="H313" s="2"/>
      <x:c r="I313" s="7"/>
      <x:c r="J313" s="2"/>
      <x:c r="K313" s="2"/>
      <x:c r="L313" s="2"/>
      <x:c r="M313" s="2"/>
      <x:c r="N313" s="11" t="str">
        <x:f>IF(A313="","",IF(AND(ISNUMBER(G313),ISNUMBER(L313),ISNUMBER(M313)),G313+(L313+M313)/1440,""))</x:f>
      </x:c>
      <x:c r="O313" s="2" t="str">
        <x:f>IF(A313="","",IF(OR(N313="",F313=""),"Dados incompletos",IF(OR(I313="pendente",I313="confirmado"),IF(K313="",0,COUNTIFS($F$2:$F$501,F313,$G$2:$G$501,"&lt;"&amp;N313,$N$2:$N$501,"&gt;"&amp;G313,$I$2:$I$501,"pendente",$K$2:$K$501,K313)+COUNTIFS($F$2:$F$501,F313,$G$2:$G$501,"&lt;"&amp;N313,$N$2:$N$501,"&gt;"&amp;G313,$I$2:$I$501,"confirmado",$K$2:$K$501,K313)-1),0)))</x:f>
      </x:c>
      <x:c r="P313" s="2" t="str">
        <x:f>IF(A313="","",IF(OR(N313="",F313=""),"Dados incompletos",IF(OR(I313="pendente",I313="confirmado"),COUNTIFS($F$2:$F$501,F313,$G$2:$G$501,"&lt;"&amp;N313,$N$2:$N$501,"&gt;"&amp;G313,$I$2:$I$501,"pendente",$E$2:$E$501,E313)+COUNTIFS($F$2:$F$501,F313,$G$2:$G$501,"&lt;"&amp;N313,$N$2:$N$501,"&gt;"&amp;G313,$I$2:$I$501,"confirmado",$E$2:$E$501,E313)-1,0)))</x:f>
      </x:c>
    </x:row>
    <x:row r="314" ht="24" customHeight="1">
      <x:c r="A314" s="17"/>
      <x:c r="B314" s="16"/>
      <x:c r="C314" s="2"/>
      <x:c r="D314" s="17"/>
      <x:c r="E314" s="2"/>
      <x:c r="F314" s="10"/>
      <x:c r="G314" s="11"/>
      <x:c r="H314" s="2"/>
      <x:c r="I314" s="7"/>
      <x:c r="J314" s="2"/>
      <x:c r="K314" s="2"/>
      <x:c r="L314" s="2"/>
      <x:c r="M314" s="2"/>
      <x:c r="N314" s="11" t="str">
        <x:f>IF(A314="","",IF(AND(ISNUMBER(G314),ISNUMBER(L314),ISNUMBER(M314)),G314+(L314+M314)/1440,""))</x:f>
      </x:c>
      <x:c r="O314" s="2" t="str">
        <x:f>IF(A314="","",IF(OR(N314="",F314=""),"Dados incompletos",IF(OR(I314="pendente",I314="confirmado"),IF(K314="",0,COUNTIFS($F$2:$F$501,F314,$G$2:$G$501,"&lt;"&amp;N314,$N$2:$N$501,"&gt;"&amp;G314,$I$2:$I$501,"pendente",$K$2:$K$501,K314)+COUNTIFS($F$2:$F$501,F314,$G$2:$G$501,"&lt;"&amp;N314,$N$2:$N$501,"&gt;"&amp;G314,$I$2:$I$501,"confirmado",$K$2:$K$501,K314)-1),0)))</x:f>
      </x:c>
      <x:c r="P314" s="2" t="str">
        <x:f>IF(A314="","",IF(OR(N314="",F314=""),"Dados incompletos",IF(OR(I314="pendente",I314="confirmado"),COUNTIFS($F$2:$F$501,F314,$G$2:$G$501,"&lt;"&amp;N314,$N$2:$N$501,"&gt;"&amp;G314,$I$2:$I$501,"pendente",$E$2:$E$501,E314)+COUNTIFS($F$2:$F$501,F314,$G$2:$G$501,"&lt;"&amp;N314,$N$2:$N$501,"&gt;"&amp;G314,$I$2:$I$501,"confirmado",$E$2:$E$501,E314)-1,0)))</x:f>
      </x:c>
    </x:row>
    <x:row r="315" ht="24" customHeight="1">
      <x:c r="A315" s="17"/>
      <x:c r="B315" s="16"/>
      <x:c r="C315" s="2"/>
      <x:c r="D315" s="17"/>
      <x:c r="E315" s="2"/>
      <x:c r="F315" s="10"/>
      <x:c r="G315" s="11"/>
      <x:c r="H315" s="2"/>
      <x:c r="I315" s="7"/>
      <x:c r="J315" s="2"/>
      <x:c r="K315" s="2"/>
      <x:c r="L315" s="2"/>
      <x:c r="M315" s="2"/>
      <x:c r="N315" s="11" t="str">
        <x:f>IF(A315="","",IF(AND(ISNUMBER(G315),ISNUMBER(L315),ISNUMBER(M315)),G315+(L315+M315)/1440,""))</x:f>
      </x:c>
      <x:c r="O315" s="2" t="str">
        <x:f>IF(A315="","",IF(OR(N315="",F315=""),"Dados incompletos",IF(OR(I315="pendente",I315="confirmado"),IF(K315="",0,COUNTIFS($F$2:$F$501,F315,$G$2:$G$501,"&lt;"&amp;N315,$N$2:$N$501,"&gt;"&amp;G315,$I$2:$I$501,"pendente",$K$2:$K$501,K315)+COUNTIFS($F$2:$F$501,F315,$G$2:$G$501,"&lt;"&amp;N315,$N$2:$N$501,"&gt;"&amp;G315,$I$2:$I$501,"confirmado",$K$2:$K$501,K315)-1),0)))</x:f>
      </x:c>
      <x:c r="P315" s="2" t="str">
        <x:f>IF(A315="","",IF(OR(N315="",F315=""),"Dados incompletos",IF(OR(I315="pendente",I315="confirmado"),COUNTIFS($F$2:$F$501,F315,$G$2:$G$501,"&lt;"&amp;N315,$N$2:$N$501,"&gt;"&amp;G315,$I$2:$I$501,"pendente",$E$2:$E$501,E315)+COUNTIFS($F$2:$F$501,F315,$G$2:$G$501,"&lt;"&amp;N315,$N$2:$N$501,"&gt;"&amp;G315,$I$2:$I$501,"confirmado",$E$2:$E$501,E315)-1,0)))</x:f>
      </x:c>
    </x:row>
    <x:row r="316" ht="24" customHeight="1">
      <x:c r="A316" s="17"/>
      <x:c r="B316" s="16"/>
      <x:c r="C316" s="2"/>
      <x:c r="D316" s="17"/>
      <x:c r="E316" s="2"/>
      <x:c r="F316" s="10"/>
      <x:c r="G316" s="11"/>
      <x:c r="H316" s="2"/>
      <x:c r="I316" s="7"/>
      <x:c r="J316" s="2"/>
      <x:c r="K316" s="2"/>
      <x:c r="L316" s="2"/>
      <x:c r="M316" s="2"/>
      <x:c r="N316" s="11" t="str">
        <x:f>IF(A316="","",IF(AND(ISNUMBER(G316),ISNUMBER(L316),ISNUMBER(M316)),G316+(L316+M316)/1440,""))</x:f>
      </x:c>
      <x:c r="O316" s="2" t="str">
        <x:f>IF(A316="","",IF(OR(N316="",F316=""),"Dados incompletos",IF(OR(I316="pendente",I316="confirmado"),IF(K316="",0,COUNTIFS($F$2:$F$501,F316,$G$2:$G$501,"&lt;"&amp;N316,$N$2:$N$501,"&gt;"&amp;G316,$I$2:$I$501,"pendente",$K$2:$K$501,K316)+COUNTIFS($F$2:$F$501,F316,$G$2:$G$501,"&lt;"&amp;N316,$N$2:$N$501,"&gt;"&amp;G316,$I$2:$I$501,"confirmado",$K$2:$K$501,K316)-1),0)))</x:f>
      </x:c>
      <x:c r="P316" s="2" t="str">
        <x:f>IF(A316="","",IF(OR(N316="",F316=""),"Dados incompletos",IF(OR(I316="pendente",I316="confirmado"),COUNTIFS($F$2:$F$501,F316,$G$2:$G$501,"&lt;"&amp;N316,$N$2:$N$501,"&gt;"&amp;G316,$I$2:$I$501,"pendente",$E$2:$E$501,E316)+COUNTIFS($F$2:$F$501,F316,$G$2:$G$501,"&lt;"&amp;N316,$N$2:$N$501,"&gt;"&amp;G316,$I$2:$I$501,"confirmado",$E$2:$E$501,E316)-1,0)))</x:f>
      </x:c>
    </x:row>
    <x:row r="317" ht="24" customHeight="1">
      <x:c r="A317" s="17"/>
      <x:c r="B317" s="16"/>
      <x:c r="C317" s="2"/>
      <x:c r="D317" s="17"/>
      <x:c r="E317" s="2"/>
      <x:c r="F317" s="10"/>
      <x:c r="G317" s="11"/>
      <x:c r="H317" s="2"/>
      <x:c r="I317" s="7"/>
      <x:c r="J317" s="2"/>
      <x:c r="K317" s="2"/>
      <x:c r="L317" s="2"/>
      <x:c r="M317" s="2"/>
      <x:c r="N317" s="11" t="str">
        <x:f>IF(A317="","",IF(AND(ISNUMBER(G317),ISNUMBER(L317),ISNUMBER(M317)),G317+(L317+M317)/1440,""))</x:f>
      </x:c>
      <x:c r="O317" s="2" t="str">
        <x:f>IF(A317="","",IF(OR(N317="",F317=""),"Dados incompletos",IF(OR(I317="pendente",I317="confirmado"),IF(K317="",0,COUNTIFS($F$2:$F$501,F317,$G$2:$G$501,"&lt;"&amp;N317,$N$2:$N$501,"&gt;"&amp;G317,$I$2:$I$501,"pendente",$K$2:$K$501,K317)+COUNTIFS($F$2:$F$501,F317,$G$2:$G$501,"&lt;"&amp;N317,$N$2:$N$501,"&gt;"&amp;G317,$I$2:$I$501,"confirmado",$K$2:$K$501,K317)-1),0)))</x:f>
      </x:c>
      <x:c r="P317" s="2" t="str">
        <x:f>IF(A317="","",IF(OR(N317="",F317=""),"Dados incompletos",IF(OR(I317="pendente",I317="confirmado"),COUNTIFS($F$2:$F$501,F317,$G$2:$G$501,"&lt;"&amp;N317,$N$2:$N$501,"&gt;"&amp;G317,$I$2:$I$501,"pendente",$E$2:$E$501,E317)+COUNTIFS($F$2:$F$501,F317,$G$2:$G$501,"&lt;"&amp;N317,$N$2:$N$501,"&gt;"&amp;G317,$I$2:$I$501,"confirmado",$E$2:$E$501,E317)-1,0)))</x:f>
      </x:c>
    </x:row>
    <x:row r="318" ht="24" customHeight="1">
      <x:c r="A318" s="17"/>
      <x:c r="B318" s="16"/>
      <x:c r="C318" s="2"/>
      <x:c r="D318" s="17"/>
      <x:c r="E318" s="2"/>
      <x:c r="F318" s="10"/>
      <x:c r="G318" s="11"/>
      <x:c r="H318" s="2"/>
      <x:c r="I318" s="7"/>
      <x:c r="J318" s="2"/>
      <x:c r="K318" s="2"/>
      <x:c r="L318" s="2"/>
      <x:c r="M318" s="2"/>
      <x:c r="N318" s="11" t="str">
        <x:f>IF(A318="","",IF(AND(ISNUMBER(G318),ISNUMBER(L318),ISNUMBER(M318)),G318+(L318+M318)/1440,""))</x:f>
      </x:c>
      <x:c r="O318" s="2" t="str">
        <x:f>IF(A318="","",IF(OR(N318="",F318=""),"Dados incompletos",IF(OR(I318="pendente",I318="confirmado"),IF(K318="",0,COUNTIFS($F$2:$F$501,F318,$G$2:$G$501,"&lt;"&amp;N318,$N$2:$N$501,"&gt;"&amp;G318,$I$2:$I$501,"pendente",$K$2:$K$501,K318)+COUNTIFS($F$2:$F$501,F318,$G$2:$G$501,"&lt;"&amp;N318,$N$2:$N$501,"&gt;"&amp;G318,$I$2:$I$501,"confirmado",$K$2:$K$501,K318)-1),0)))</x:f>
      </x:c>
      <x:c r="P318" s="2" t="str">
        <x:f>IF(A318="","",IF(OR(N318="",F318=""),"Dados incompletos",IF(OR(I318="pendente",I318="confirmado"),COUNTIFS($F$2:$F$501,F318,$G$2:$G$501,"&lt;"&amp;N318,$N$2:$N$501,"&gt;"&amp;G318,$I$2:$I$501,"pendente",$E$2:$E$501,E318)+COUNTIFS($F$2:$F$501,F318,$G$2:$G$501,"&lt;"&amp;N318,$N$2:$N$501,"&gt;"&amp;G318,$I$2:$I$501,"confirmado",$E$2:$E$501,E318)-1,0)))</x:f>
      </x:c>
    </x:row>
    <x:row r="319" ht="24" customHeight="1">
      <x:c r="A319" s="17"/>
      <x:c r="B319" s="16"/>
      <x:c r="C319" s="2"/>
      <x:c r="D319" s="17"/>
      <x:c r="E319" s="2"/>
      <x:c r="F319" s="10"/>
      <x:c r="G319" s="11"/>
      <x:c r="H319" s="2"/>
      <x:c r="I319" s="7"/>
      <x:c r="J319" s="2"/>
      <x:c r="K319" s="2"/>
      <x:c r="L319" s="2"/>
      <x:c r="M319" s="2"/>
      <x:c r="N319" s="11" t="str">
        <x:f>IF(A319="","",IF(AND(ISNUMBER(G319),ISNUMBER(L319),ISNUMBER(M319)),G319+(L319+M319)/1440,""))</x:f>
      </x:c>
      <x:c r="O319" s="2" t="str">
        <x:f>IF(A319="","",IF(OR(N319="",F319=""),"Dados incompletos",IF(OR(I319="pendente",I319="confirmado"),IF(K319="",0,COUNTIFS($F$2:$F$501,F319,$G$2:$G$501,"&lt;"&amp;N319,$N$2:$N$501,"&gt;"&amp;G319,$I$2:$I$501,"pendente",$K$2:$K$501,K319)+COUNTIFS($F$2:$F$501,F319,$G$2:$G$501,"&lt;"&amp;N319,$N$2:$N$501,"&gt;"&amp;G319,$I$2:$I$501,"confirmado",$K$2:$K$501,K319)-1),0)))</x:f>
      </x:c>
      <x:c r="P319" s="2" t="str">
        <x:f>IF(A319="","",IF(OR(N319="",F319=""),"Dados incompletos",IF(OR(I319="pendente",I319="confirmado"),COUNTIFS($F$2:$F$501,F319,$G$2:$G$501,"&lt;"&amp;N319,$N$2:$N$501,"&gt;"&amp;G319,$I$2:$I$501,"pendente",$E$2:$E$501,E319)+COUNTIFS($F$2:$F$501,F319,$G$2:$G$501,"&lt;"&amp;N319,$N$2:$N$501,"&gt;"&amp;G319,$I$2:$I$501,"confirmado",$E$2:$E$501,E319)-1,0)))</x:f>
      </x:c>
    </x:row>
    <x:row r="320" ht="24" customHeight="1">
      <x:c r="A320" s="17"/>
      <x:c r="B320" s="16"/>
      <x:c r="C320" s="2"/>
      <x:c r="D320" s="17"/>
      <x:c r="E320" s="2"/>
      <x:c r="F320" s="10"/>
      <x:c r="G320" s="11"/>
      <x:c r="H320" s="2"/>
      <x:c r="I320" s="7"/>
      <x:c r="J320" s="2"/>
      <x:c r="K320" s="2"/>
      <x:c r="L320" s="2"/>
      <x:c r="M320" s="2"/>
      <x:c r="N320" s="11" t="str">
        <x:f>IF(A320="","",IF(AND(ISNUMBER(G320),ISNUMBER(L320),ISNUMBER(M320)),G320+(L320+M320)/1440,""))</x:f>
      </x:c>
      <x:c r="O320" s="2" t="str">
        <x:f>IF(A320="","",IF(OR(N320="",F320=""),"Dados incompletos",IF(OR(I320="pendente",I320="confirmado"),IF(K320="",0,COUNTIFS($F$2:$F$501,F320,$G$2:$G$501,"&lt;"&amp;N320,$N$2:$N$501,"&gt;"&amp;G320,$I$2:$I$501,"pendente",$K$2:$K$501,K320)+COUNTIFS($F$2:$F$501,F320,$G$2:$G$501,"&lt;"&amp;N320,$N$2:$N$501,"&gt;"&amp;G320,$I$2:$I$501,"confirmado",$K$2:$K$501,K320)-1),0)))</x:f>
      </x:c>
      <x:c r="P320" s="2" t="str">
        <x:f>IF(A320="","",IF(OR(N320="",F320=""),"Dados incompletos",IF(OR(I320="pendente",I320="confirmado"),COUNTIFS($F$2:$F$501,F320,$G$2:$G$501,"&lt;"&amp;N320,$N$2:$N$501,"&gt;"&amp;G320,$I$2:$I$501,"pendente",$E$2:$E$501,E320)+COUNTIFS($F$2:$F$501,F320,$G$2:$G$501,"&lt;"&amp;N320,$N$2:$N$501,"&gt;"&amp;G320,$I$2:$I$501,"confirmado",$E$2:$E$501,E320)-1,0)))</x:f>
      </x:c>
    </x:row>
    <x:row r="321" ht="24" customHeight="1">
      <x:c r="A321" s="17"/>
      <x:c r="B321" s="16"/>
      <x:c r="C321" s="2"/>
      <x:c r="D321" s="17"/>
      <x:c r="E321" s="2"/>
      <x:c r="F321" s="10"/>
      <x:c r="G321" s="11"/>
      <x:c r="H321" s="2"/>
      <x:c r="I321" s="7"/>
      <x:c r="J321" s="2"/>
      <x:c r="K321" s="2"/>
      <x:c r="L321" s="2"/>
      <x:c r="M321" s="2"/>
      <x:c r="N321" s="11" t="str">
        <x:f>IF(A321="","",IF(AND(ISNUMBER(G321),ISNUMBER(L321),ISNUMBER(M321)),G321+(L321+M321)/1440,""))</x:f>
      </x:c>
      <x:c r="O321" s="2" t="str">
        <x:f>IF(A321="","",IF(OR(N321="",F321=""),"Dados incompletos",IF(OR(I321="pendente",I321="confirmado"),IF(K321="",0,COUNTIFS($F$2:$F$501,F321,$G$2:$G$501,"&lt;"&amp;N321,$N$2:$N$501,"&gt;"&amp;G321,$I$2:$I$501,"pendente",$K$2:$K$501,K321)+COUNTIFS($F$2:$F$501,F321,$G$2:$G$501,"&lt;"&amp;N321,$N$2:$N$501,"&gt;"&amp;G321,$I$2:$I$501,"confirmado",$K$2:$K$501,K321)-1),0)))</x:f>
      </x:c>
      <x:c r="P321" s="2" t="str">
        <x:f>IF(A321="","",IF(OR(N321="",F321=""),"Dados incompletos",IF(OR(I321="pendente",I321="confirmado"),COUNTIFS($F$2:$F$501,F321,$G$2:$G$501,"&lt;"&amp;N321,$N$2:$N$501,"&gt;"&amp;G321,$I$2:$I$501,"pendente",$E$2:$E$501,E321)+COUNTIFS($F$2:$F$501,F321,$G$2:$G$501,"&lt;"&amp;N321,$N$2:$N$501,"&gt;"&amp;G321,$I$2:$I$501,"confirmado",$E$2:$E$501,E321)-1,0)))</x:f>
      </x:c>
    </x:row>
    <x:row r="322" ht="24" customHeight="1">
      <x:c r="A322" s="17"/>
      <x:c r="B322" s="16"/>
      <x:c r="C322" s="2"/>
      <x:c r="D322" s="17"/>
      <x:c r="E322" s="2"/>
      <x:c r="F322" s="10"/>
      <x:c r="G322" s="11"/>
      <x:c r="H322" s="2"/>
      <x:c r="I322" s="7"/>
      <x:c r="J322" s="2"/>
      <x:c r="K322" s="2"/>
      <x:c r="L322" s="2"/>
      <x:c r="M322" s="2"/>
      <x:c r="N322" s="11" t="str">
        <x:f>IF(A322="","",IF(AND(ISNUMBER(G322),ISNUMBER(L322),ISNUMBER(M322)),G322+(L322+M322)/1440,""))</x:f>
      </x:c>
      <x:c r="O322" s="2" t="str">
        <x:f>IF(A322="","",IF(OR(N322="",F322=""),"Dados incompletos",IF(OR(I322="pendente",I322="confirmado"),IF(K322="",0,COUNTIFS($F$2:$F$501,F322,$G$2:$G$501,"&lt;"&amp;N322,$N$2:$N$501,"&gt;"&amp;G322,$I$2:$I$501,"pendente",$K$2:$K$501,K322)+COUNTIFS($F$2:$F$501,F322,$G$2:$G$501,"&lt;"&amp;N322,$N$2:$N$501,"&gt;"&amp;G322,$I$2:$I$501,"confirmado",$K$2:$K$501,K322)-1),0)))</x:f>
      </x:c>
      <x:c r="P322" s="2" t="str">
        <x:f>IF(A322="","",IF(OR(N322="",F322=""),"Dados incompletos",IF(OR(I322="pendente",I322="confirmado"),COUNTIFS($F$2:$F$501,F322,$G$2:$G$501,"&lt;"&amp;N322,$N$2:$N$501,"&gt;"&amp;G322,$I$2:$I$501,"pendente",$E$2:$E$501,E322)+COUNTIFS($F$2:$F$501,F322,$G$2:$G$501,"&lt;"&amp;N322,$N$2:$N$501,"&gt;"&amp;G322,$I$2:$I$501,"confirmado",$E$2:$E$501,E322)-1,0)))</x:f>
      </x:c>
    </x:row>
    <x:row r="323" ht="24" customHeight="1">
      <x:c r="A323" s="17"/>
      <x:c r="B323" s="16"/>
      <x:c r="C323" s="2"/>
      <x:c r="D323" s="17"/>
      <x:c r="E323" s="2"/>
      <x:c r="F323" s="10"/>
      <x:c r="G323" s="11"/>
      <x:c r="H323" s="2"/>
      <x:c r="I323" s="7"/>
      <x:c r="J323" s="2"/>
      <x:c r="K323" s="2"/>
      <x:c r="L323" s="2"/>
      <x:c r="M323" s="2"/>
      <x:c r="N323" s="11" t="str">
        <x:f>IF(A323="","",IF(AND(ISNUMBER(G323),ISNUMBER(L323),ISNUMBER(M323)),G323+(L323+M323)/1440,""))</x:f>
      </x:c>
      <x:c r="O323" s="2" t="str">
        <x:f>IF(A323="","",IF(OR(N323="",F323=""),"Dados incompletos",IF(OR(I323="pendente",I323="confirmado"),IF(K323="",0,COUNTIFS($F$2:$F$501,F323,$G$2:$G$501,"&lt;"&amp;N323,$N$2:$N$501,"&gt;"&amp;G323,$I$2:$I$501,"pendente",$K$2:$K$501,K323)+COUNTIFS($F$2:$F$501,F323,$G$2:$G$501,"&lt;"&amp;N323,$N$2:$N$501,"&gt;"&amp;G323,$I$2:$I$501,"confirmado",$K$2:$K$501,K323)-1),0)))</x:f>
      </x:c>
      <x:c r="P323" s="2" t="str">
        <x:f>IF(A323="","",IF(OR(N323="",F323=""),"Dados incompletos",IF(OR(I323="pendente",I323="confirmado"),COUNTIFS($F$2:$F$501,F323,$G$2:$G$501,"&lt;"&amp;N323,$N$2:$N$501,"&gt;"&amp;G323,$I$2:$I$501,"pendente",$E$2:$E$501,E323)+COUNTIFS($F$2:$F$501,F323,$G$2:$G$501,"&lt;"&amp;N323,$N$2:$N$501,"&gt;"&amp;G323,$I$2:$I$501,"confirmado",$E$2:$E$501,E323)-1,0)))</x:f>
      </x:c>
    </x:row>
    <x:row r="324" ht="24" customHeight="1">
      <x:c r="A324" s="17"/>
      <x:c r="B324" s="16"/>
      <x:c r="C324" s="2"/>
      <x:c r="D324" s="17"/>
      <x:c r="E324" s="2"/>
      <x:c r="F324" s="10"/>
      <x:c r="G324" s="11"/>
      <x:c r="H324" s="2"/>
      <x:c r="I324" s="7"/>
      <x:c r="J324" s="2"/>
      <x:c r="K324" s="2"/>
      <x:c r="L324" s="2"/>
      <x:c r="M324" s="2"/>
      <x:c r="N324" s="11" t="str">
        <x:f>IF(A324="","",IF(AND(ISNUMBER(G324),ISNUMBER(L324),ISNUMBER(M324)),G324+(L324+M324)/1440,""))</x:f>
      </x:c>
      <x:c r="O324" s="2" t="str">
        <x:f>IF(A324="","",IF(OR(N324="",F324=""),"Dados incompletos",IF(OR(I324="pendente",I324="confirmado"),IF(K324="",0,COUNTIFS($F$2:$F$501,F324,$G$2:$G$501,"&lt;"&amp;N324,$N$2:$N$501,"&gt;"&amp;G324,$I$2:$I$501,"pendente",$K$2:$K$501,K324)+COUNTIFS($F$2:$F$501,F324,$G$2:$G$501,"&lt;"&amp;N324,$N$2:$N$501,"&gt;"&amp;G324,$I$2:$I$501,"confirmado",$K$2:$K$501,K324)-1),0)))</x:f>
      </x:c>
      <x:c r="P324" s="2" t="str">
        <x:f>IF(A324="","",IF(OR(N324="",F324=""),"Dados incompletos",IF(OR(I324="pendente",I324="confirmado"),COUNTIFS($F$2:$F$501,F324,$G$2:$G$501,"&lt;"&amp;N324,$N$2:$N$501,"&gt;"&amp;G324,$I$2:$I$501,"pendente",$E$2:$E$501,E324)+COUNTIFS($F$2:$F$501,F324,$G$2:$G$501,"&lt;"&amp;N324,$N$2:$N$501,"&gt;"&amp;G324,$I$2:$I$501,"confirmado",$E$2:$E$501,E324)-1,0)))</x:f>
      </x:c>
    </x:row>
    <x:row r="325" ht="24" customHeight="1">
      <x:c r="A325" s="17"/>
      <x:c r="B325" s="16"/>
      <x:c r="C325" s="2"/>
      <x:c r="D325" s="17"/>
      <x:c r="E325" s="2"/>
      <x:c r="F325" s="10"/>
      <x:c r="G325" s="11"/>
      <x:c r="H325" s="2"/>
      <x:c r="I325" s="7"/>
      <x:c r="J325" s="2"/>
      <x:c r="K325" s="2"/>
      <x:c r="L325" s="2"/>
      <x:c r="M325" s="2"/>
      <x:c r="N325" s="11" t="str">
        <x:f>IF(A325="","",IF(AND(ISNUMBER(G325),ISNUMBER(L325),ISNUMBER(M325)),G325+(L325+M325)/1440,""))</x:f>
      </x:c>
      <x:c r="O325" s="2" t="str">
        <x:f>IF(A325="","",IF(OR(N325="",F325=""),"Dados incompletos",IF(OR(I325="pendente",I325="confirmado"),IF(K325="",0,COUNTIFS($F$2:$F$501,F325,$G$2:$G$501,"&lt;"&amp;N325,$N$2:$N$501,"&gt;"&amp;G325,$I$2:$I$501,"pendente",$K$2:$K$501,K325)+COUNTIFS($F$2:$F$501,F325,$G$2:$G$501,"&lt;"&amp;N325,$N$2:$N$501,"&gt;"&amp;G325,$I$2:$I$501,"confirmado",$K$2:$K$501,K325)-1),0)))</x:f>
      </x:c>
      <x:c r="P325" s="2" t="str">
        <x:f>IF(A325="","",IF(OR(N325="",F325=""),"Dados incompletos",IF(OR(I325="pendente",I325="confirmado"),COUNTIFS($F$2:$F$501,F325,$G$2:$G$501,"&lt;"&amp;N325,$N$2:$N$501,"&gt;"&amp;G325,$I$2:$I$501,"pendente",$E$2:$E$501,E325)+COUNTIFS($F$2:$F$501,F325,$G$2:$G$501,"&lt;"&amp;N325,$N$2:$N$501,"&gt;"&amp;G325,$I$2:$I$501,"confirmado",$E$2:$E$501,E325)-1,0)))</x:f>
      </x:c>
    </x:row>
    <x:row r="326" ht="24" customHeight="1">
      <x:c r="A326" s="17"/>
      <x:c r="B326" s="16"/>
      <x:c r="C326" s="2"/>
      <x:c r="D326" s="17"/>
      <x:c r="E326" s="2"/>
      <x:c r="F326" s="10"/>
      <x:c r="G326" s="11"/>
      <x:c r="H326" s="2"/>
      <x:c r="I326" s="7"/>
      <x:c r="J326" s="2"/>
      <x:c r="K326" s="2"/>
      <x:c r="L326" s="2"/>
      <x:c r="M326" s="2"/>
      <x:c r="N326" s="11" t="str">
        <x:f>IF(A326="","",IF(AND(ISNUMBER(G326),ISNUMBER(L326),ISNUMBER(M326)),G326+(L326+M326)/1440,""))</x:f>
      </x:c>
      <x:c r="O326" s="2" t="str">
        <x:f>IF(A326="","",IF(OR(N326="",F326=""),"Dados incompletos",IF(OR(I326="pendente",I326="confirmado"),IF(K326="",0,COUNTIFS($F$2:$F$501,F326,$G$2:$G$501,"&lt;"&amp;N326,$N$2:$N$501,"&gt;"&amp;G326,$I$2:$I$501,"pendente",$K$2:$K$501,K326)+COUNTIFS($F$2:$F$501,F326,$G$2:$G$501,"&lt;"&amp;N326,$N$2:$N$501,"&gt;"&amp;G326,$I$2:$I$501,"confirmado",$K$2:$K$501,K326)-1),0)))</x:f>
      </x:c>
      <x:c r="P326" s="2" t="str">
        <x:f>IF(A326="","",IF(OR(N326="",F326=""),"Dados incompletos",IF(OR(I326="pendente",I326="confirmado"),COUNTIFS($F$2:$F$501,F326,$G$2:$G$501,"&lt;"&amp;N326,$N$2:$N$501,"&gt;"&amp;G326,$I$2:$I$501,"pendente",$E$2:$E$501,E326)+COUNTIFS($F$2:$F$501,F326,$G$2:$G$501,"&lt;"&amp;N326,$N$2:$N$501,"&gt;"&amp;G326,$I$2:$I$501,"confirmado",$E$2:$E$501,E326)-1,0)))</x:f>
      </x:c>
    </x:row>
    <x:row r="327" ht="24" customHeight="1">
      <x:c r="A327" s="17"/>
      <x:c r="B327" s="16"/>
      <x:c r="C327" s="2"/>
      <x:c r="D327" s="17"/>
      <x:c r="E327" s="2"/>
      <x:c r="F327" s="10"/>
      <x:c r="G327" s="11"/>
      <x:c r="H327" s="2"/>
      <x:c r="I327" s="7"/>
      <x:c r="J327" s="2"/>
      <x:c r="K327" s="2"/>
      <x:c r="L327" s="2"/>
      <x:c r="M327" s="2"/>
      <x:c r="N327" s="11" t="str">
        <x:f>IF(A327="","",IF(AND(ISNUMBER(G327),ISNUMBER(L327),ISNUMBER(M327)),G327+(L327+M327)/1440,""))</x:f>
      </x:c>
      <x:c r="O327" s="2" t="str">
        <x:f>IF(A327="","",IF(OR(N327="",F327=""),"Dados incompletos",IF(OR(I327="pendente",I327="confirmado"),IF(K327="",0,COUNTIFS($F$2:$F$501,F327,$G$2:$G$501,"&lt;"&amp;N327,$N$2:$N$501,"&gt;"&amp;G327,$I$2:$I$501,"pendente",$K$2:$K$501,K327)+COUNTIFS($F$2:$F$501,F327,$G$2:$G$501,"&lt;"&amp;N327,$N$2:$N$501,"&gt;"&amp;G327,$I$2:$I$501,"confirmado",$K$2:$K$501,K327)-1),0)))</x:f>
      </x:c>
      <x:c r="P327" s="2" t="str">
        <x:f>IF(A327="","",IF(OR(N327="",F327=""),"Dados incompletos",IF(OR(I327="pendente",I327="confirmado"),COUNTIFS($F$2:$F$501,F327,$G$2:$G$501,"&lt;"&amp;N327,$N$2:$N$501,"&gt;"&amp;G327,$I$2:$I$501,"pendente",$E$2:$E$501,E327)+COUNTIFS($F$2:$F$501,F327,$G$2:$G$501,"&lt;"&amp;N327,$N$2:$N$501,"&gt;"&amp;G327,$I$2:$I$501,"confirmado",$E$2:$E$501,E327)-1,0)))</x:f>
      </x:c>
    </x:row>
    <x:row r="328" ht="24" customHeight="1">
      <x:c r="A328" s="17"/>
      <x:c r="B328" s="16"/>
      <x:c r="C328" s="2"/>
      <x:c r="D328" s="17"/>
      <x:c r="E328" s="2"/>
      <x:c r="F328" s="10"/>
      <x:c r="G328" s="11"/>
      <x:c r="H328" s="2"/>
      <x:c r="I328" s="7"/>
      <x:c r="J328" s="2"/>
      <x:c r="K328" s="2"/>
      <x:c r="L328" s="2"/>
      <x:c r="M328" s="2"/>
      <x:c r="N328" s="11" t="str">
        <x:f>IF(A328="","",IF(AND(ISNUMBER(G328),ISNUMBER(L328),ISNUMBER(M328)),G328+(L328+M328)/1440,""))</x:f>
      </x:c>
      <x:c r="O328" s="2" t="str">
        <x:f>IF(A328="","",IF(OR(N328="",F328=""),"Dados incompletos",IF(OR(I328="pendente",I328="confirmado"),IF(K328="",0,COUNTIFS($F$2:$F$501,F328,$G$2:$G$501,"&lt;"&amp;N328,$N$2:$N$501,"&gt;"&amp;G328,$I$2:$I$501,"pendente",$K$2:$K$501,K328)+COUNTIFS($F$2:$F$501,F328,$G$2:$G$501,"&lt;"&amp;N328,$N$2:$N$501,"&gt;"&amp;G328,$I$2:$I$501,"confirmado",$K$2:$K$501,K328)-1),0)))</x:f>
      </x:c>
      <x:c r="P328" s="2" t="str">
        <x:f>IF(A328="","",IF(OR(N328="",F328=""),"Dados incompletos",IF(OR(I328="pendente",I328="confirmado"),COUNTIFS($F$2:$F$501,F328,$G$2:$G$501,"&lt;"&amp;N328,$N$2:$N$501,"&gt;"&amp;G328,$I$2:$I$501,"pendente",$E$2:$E$501,E328)+COUNTIFS($F$2:$F$501,F328,$G$2:$G$501,"&lt;"&amp;N328,$N$2:$N$501,"&gt;"&amp;G328,$I$2:$I$501,"confirmado",$E$2:$E$501,E328)-1,0)))</x:f>
      </x:c>
    </x:row>
    <x:row r="329" ht="24" customHeight="1">
      <x:c r="A329" s="17"/>
      <x:c r="B329" s="16"/>
      <x:c r="C329" s="2"/>
      <x:c r="D329" s="17"/>
      <x:c r="E329" s="2"/>
      <x:c r="F329" s="10"/>
      <x:c r="G329" s="11"/>
      <x:c r="H329" s="2"/>
      <x:c r="I329" s="7"/>
      <x:c r="J329" s="2"/>
      <x:c r="K329" s="2"/>
      <x:c r="L329" s="2"/>
      <x:c r="M329" s="2"/>
      <x:c r="N329" s="11" t="str">
        <x:f>IF(A329="","",IF(AND(ISNUMBER(G329),ISNUMBER(L329),ISNUMBER(M329)),G329+(L329+M329)/1440,""))</x:f>
      </x:c>
      <x:c r="O329" s="2" t="str">
        <x:f>IF(A329="","",IF(OR(N329="",F329=""),"Dados incompletos",IF(OR(I329="pendente",I329="confirmado"),IF(K329="",0,COUNTIFS($F$2:$F$501,F329,$G$2:$G$501,"&lt;"&amp;N329,$N$2:$N$501,"&gt;"&amp;G329,$I$2:$I$501,"pendente",$K$2:$K$501,K329)+COUNTIFS($F$2:$F$501,F329,$G$2:$G$501,"&lt;"&amp;N329,$N$2:$N$501,"&gt;"&amp;G329,$I$2:$I$501,"confirmado",$K$2:$K$501,K329)-1),0)))</x:f>
      </x:c>
      <x:c r="P329" s="2" t="str">
        <x:f>IF(A329="","",IF(OR(N329="",F329=""),"Dados incompletos",IF(OR(I329="pendente",I329="confirmado"),COUNTIFS($F$2:$F$501,F329,$G$2:$G$501,"&lt;"&amp;N329,$N$2:$N$501,"&gt;"&amp;G329,$I$2:$I$501,"pendente",$E$2:$E$501,E329)+COUNTIFS($F$2:$F$501,F329,$G$2:$G$501,"&lt;"&amp;N329,$N$2:$N$501,"&gt;"&amp;G329,$I$2:$I$501,"confirmado",$E$2:$E$501,E329)-1,0)))</x:f>
      </x:c>
    </x:row>
    <x:row r="330" ht="24" customHeight="1">
      <x:c r="A330" s="17"/>
      <x:c r="B330" s="16"/>
      <x:c r="C330" s="2"/>
      <x:c r="D330" s="17"/>
      <x:c r="E330" s="2"/>
      <x:c r="F330" s="10"/>
      <x:c r="G330" s="11"/>
      <x:c r="H330" s="2"/>
      <x:c r="I330" s="7"/>
      <x:c r="J330" s="2"/>
      <x:c r="K330" s="2"/>
      <x:c r="L330" s="2"/>
      <x:c r="M330" s="2"/>
      <x:c r="N330" s="11" t="str">
        <x:f>IF(A330="","",IF(AND(ISNUMBER(G330),ISNUMBER(L330),ISNUMBER(M330)),G330+(L330+M330)/1440,""))</x:f>
      </x:c>
      <x:c r="O330" s="2" t="str">
        <x:f>IF(A330="","",IF(OR(N330="",F330=""),"Dados incompletos",IF(OR(I330="pendente",I330="confirmado"),IF(K330="",0,COUNTIFS($F$2:$F$501,F330,$G$2:$G$501,"&lt;"&amp;N330,$N$2:$N$501,"&gt;"&amp;G330,$I$2:$I$501,"pendente",$K$2:$K$501,K330)+COUNTIFS($F$2:$F$501,F330,$G$2:$G$501,"&lt;"&amp;N330,$N$2:$N$501,"&gt;"&amp;G330,$I$2:$I$501,"confirmado",$K$2:$K$501,K330)-1),0)))</x:f>
      </x:c>
      <x:c r="P330" s="2" t="str">
        <x:f>IF(A330="","",IF(OR(N330="",F330=""),"Dados incompletos",IF(OR(I330="pendente",I330="confirmado"),COUNTIFS($F$2:$F$501,F330,$G$2:$G$501,"&lt;"&amp;N330,$N$2:$N$501,"&gt;"&amp;G330,$I$2:$I$501,"pendente",$E$2:$E$501,E330)+COUNTIFS($F$2:$F$501,F330,$G$2:$G$501,"&lt;"&amp;N330,$N$2:$N$501,"&gt;"&amp;G330,$I$2:$I$501,"confirmado",$E$2:$E$501,E330)-1,0)))</x:f>
      </x:c>
    </x:row>
    <x:row r="331" ht="24" customHeight="1">
      <x:c r="A331" s="17"/>
      <x:c r="B331" s="16"/>
      <x:c r="C331" s="2"/>
      <x:c r="D331" s="17"/>
      <x:c r="E331" s="2"/>
      <x:c r="F331" s="10"/>
      <x:c r="G331" s="11"/>
      <x:c r="H331" s="2"/>
      <x:c r="I331" s="7"/>
      <x:c r="J331" s="2"/>
      <x:c r="K331" s="2"/>
      <x:c r="L331" s="2"/>
      <x:c r="M331" s="2"/>
      <x:c r="N331" s="11" t="str">
        <x:f>IF(A331="","",IF(AND(ISNUMBER(G331),ISNUMBER(L331),ISNUMBER(M331)),G331+(L331+M331)/1440,""))</x:f>
      </x:c>
      <x:c r="O331" s="2" t="str">
        <x:f>IF(A331="","",IF(OR(N331="",F331=""),"Dados incompletos",IF(OR(I331="pendente",I331="confirmado"),IF(K331="",0,COUNTIFS($F$2:$F$501,F331,$G$2:$G$501,"&lt;"&amp;N331,$N$2:$N$501,"&gt;"&amp;G331,$I$2:$I$501,"pendente",$K$2:$K$501,K331)+COUNTIFS($F$2:$F$501,F331,$G$2:$G$501,"&lt;"&amp;N331,$N$2:$N$501,"&gt;"&amp;G331,$I$2:$I$501,"confirmado",$K$2:$K$501,K331)-1),0)))</x:f>
      </x:c>
      <x:c r="P331" s="2" t="str">
        <x:f>IF(A331="","",IF(OR(N331="",F331=""),"Dados incompletos",IF(OR(I331="pendente",I331="confirmado"),COUNTIFS($F$2:$F$501,F331,$G$2:$G$501,"&lt;"&amp;N331,$N$2:$N$501,"&gt;"&amp;G331,$I$2:$I$501,"pendente",$E$2:$E$501,E331)+COUNTIFS($F$2:$F$501,F331,$G$2:$G$501,"&lt;"&amp;N331,$N$2:$N$501,"&gt;"&amp;G331,$I$2:$I$501,"confirmado",$E$2:$E$501,E331)-1,0)))</x:f>
      </x:c>
    </x:row>
    <x:row r="332" ht="24" customHeight="1">
      <x:c r="A332" s="17"/>
      <x:c r="B332" s="16"/>
      <x:c r="C332" s="2"/>
      <x:c r="D332" s="17"/>
      <x:c r="E332" s="2"/>
      <x:c r="F332" s="10"/>
      <x:c r="G332" s="11"/>
      <x:c r="H332" s="2"/>
      <x:c r="I332" s="7"/>
      <x:c r="J332" s="2"/>
      <x:c r="K332" s="2"/>
      <x:c r="L332" s="2"/>
      <x:c r="M332" s="2"/>
      <x:c r="N332" s="11" t="str">
        <x:f>IF(A332="","",IF(AND(ISNUMBER(G332),ISNUMBER(L332),ISNUMBER(M332)),G332+(L332+M332)/1440,""))</x:f>
      </x:c>
      <x:c r="O332" s="2" t="str">
        <x:f>IF(A332="","",IF(OR(N332="",F332=""),"Dados incompletos",IF(OR(I332="pendente",I332="confirmado"),IF(K332="",0,COUNTIFS($F$2:$F$501,F332,$G$2:$G$501,"&lt;"&amp;N332,$N$2:$N$501,"&gt;"&amp;G332,$I$2:$I$501,"pendente",$K$2:$K$501,K332)+COUNTIFS($F$2:$F$501,F332,$G$2:$G$501,"&lt;"&amp;N332,$N$2:$N$501,"&gt;"&amp;G332,$I$2:$I$501,"confirmado",$K$2:$K$501,K332)-1),0)))</x:f>
      </x:c>
      <x:c r="P332" s="2" t="str">
        <x:f>IF(A332="","",IF(OR(N332="",F332=""),"Dados incompletos",IF(OR(I332="pendente",I332="confirmado"),COUNTIFS($F$2:$F$501,F332,$G$2:$G$501,"&lt;"&amp;N332,$N$2:$N$501,"&gt;"&amp;G332,$I$2:$I$501,"pendente",$E$2:$E$501,E332)+COUNTIFS($F$2:$F$501,F332,$G$2:$G$501,"&lt;"&amp;N332,$N$2:$N$501,"&gt;"&amp;G332,$I$2:$I$501,"confirmado",$E$2:$E$501,E332)-1,0)))</x:f>
      </x:c>
    </x:row>
    <x:row r="333" ht="24" customHeight="1">
      <x:c r="A333" s="17"/>
      <x:c r="B333" s="16"/>
      <x:c r="C333" s="2"/>
      <x:c r="D333" s="17"/>
      <x:c r="E333" s="2"/>
      <x:c r="F333" s="10"/>
      <x:c r="G333" s="11"/>
      <x:c r="H333" s="2"/>
      <x:c r="I333" s="7"/>
      <x:c r="J333" s="2"/>
      <x:c r="K333" s="2"/>
      <x:c r="L333" s="2"/>
      <x:c r="M333" s="2"/>
      <x:c r="N333" s="11" t="str">
        <x:f>IF(A333="","",IF(AND(ISNUMBER(G333),ISNUMBER(L333),ISNUMBER(M333)),G333+(L333+M333)/1440,""))</x:f>
      </x:c>
      <x:c r="O333" s="2" t="str">
        <x:f>IF(A333="","",IF(OR(N333="",F333=""),"Dados incompletos",IF(OR(I333="pendente",I333="confirmado"),IF(K333="",0,COUNTIFS($F$2:$F$501,F333,$G$2:$G$501,"&lt;"&amp;N333,$N$2:$N$501,"&gt;"&amp;G333,$I$2:$I$501,"pendente",$K$2:$K$501,K333)+COUNTIFS($F$2:$F$501,F333,$G$2:$G$501,"&lt;"&amp;N333,$N$2:$N$501,"&gt;"&amp;G333,$I$2:$I$501,"confirmado",$K$2:$K$501,K333)-1),0)))</x:f>
      </x:c>
      <x:c r="P333" s="2" t="str">
        <x:f>IF(A333="","",IF(OR(N333="",F333=""),"Dados incompletos",IF(OR(I333="pendente",I333="confirmado"),COUNTIFS($F$2:$F$501,F333,$G$2:$G$501,"&lt;"&amp;N333,$N$2:$N$501,"&gt;"&amp;G333,$I$2:$I$501,"pendente",$E$2:$E$501,E333)+COUNTIFS($F$2:$F$501,F333,$G$2:$G$501,"&lt;"&amp;N333,$N$2:$N$501,"&gt;"&amp;G333,$I$2:$I$501,"confirmado",$E$2:$E$501,E333)-1,0)))</x:f>
      </x:c>
    </x:row>
    <x:row r="334" ht="24" customHeight="1">
      <x:c r="A334" s="17"/>
      <x:c r="B334" s="16"/>
      <x:c r="C334" s="2"/>
      <x:c r="D334" s="17"/>
      <x:c r="E334" s="2"/>
      <x:c r="F334" s="10"/>
      <x:c r="G334" s="11"/>
      <x:c r="H334" s="2"/>
      <x:c r="I334" s="7"/>
      <x:c r="J334" s="2"/>
      <x:c r="K334" s="2"/>
      <x:c r="L334" s="2"/>
      <x:c r="M334" s="2"/>
      <x:c r="N334" s="11" t="str">
        <x:f>IF(A334="","",IF(AND(ISNUMBER(G334),ISNUMBER(L334),ISNUMBER(M334)),G334+(L334+M334)/1440,""))</x:f>
      </x:c>
      <x:c r="O334" s="2" t="str">
        <x:f>IF(A334="","",IF(OR(N334="",F334=""),"Dados incompletos",IF(OR(I334="pendente",I334="confirmado"),IF(K334="",0,COUNTIFS($F$2:$F$501,F334,$G$2:$G$501,"&lt;"&amp;N334,$N$2:$N$501,"&gt;"&amp;G334,$I$2:$I$501,"pendente",$K$2:$K$501,K334)+COUNTIFS($F$2:$F$501,F334,$G$2:$G$501,"&lt;"&amp;N334,$N$2:$N$501,"&gt;"&amp;G334,$I$2:$I$501,"confirmado",$K$2:$K$501,K334)-1),0)))</x:f>
      </x:c>
      <x:c r="P334" s="2" t="str">
        <x:f>IF(A334="","",IF(OR(N334="",F334=""),"Dados incompletos",IF(OR(I334="pendente",I334="confirmado"),COUNTIFS($F$2:$F$501,F334,$G$2:$G$501,"&lt;"&amp;N334,$N$2:$N$501,"&gt;"&amp;G334,$I$2:$I$501,"pendente",$E$2:$E$501,E334)+COUNTIFS($F$2:$F$501,F334,$G$2:$G$501,"&lt;"&amp;N334,$N$2:$N$501,"&gt;"&amp;G334,$I$2:$I$501,"confirmado",$E$2:$E$501,E334)-1,0)))</x:f>
      </x:c>
    </x:row>
    <x:row r="335" ht="24" customHeight="1">
      <x:c r="A335" s="17"/>
      <x:c r="B335" s="16"/>
      <x:c r="C335" s="2"/>
      <x:c r="D335" s="17"/>
      <x:c r="E335" s="2"/>
      <x:c r="F335" s="10"/>
      <x:c r="G335" s="11"/>
      <x:c r="H335" s="2"/>
      <x:c r="I335" s="7"/>
      <x:c r="J335" s="2"/>
      <x:c r="K335" s="2"/>
      <x:c r="L335" s="2"/>
      <x:c r="M335" s="2"/>
      <x:c r="N335" s="11" t="str">
        <x:f>IF(A335="","",IF(AND(ISNUMBER(G335),ISNUMBER(L335),ISNUMBER(M335)),G335+(L335+M335)/1440,""))</x:f>
      </x:c>
      <x:c r="O335" s="2" t="str">
        <x:f>IF(A335="","",IF(OR(N335="",F335=""),"Dados incompletos",IF(OR(I335="pendente",I335="confirmado"),IF(K335="",0,COUNTIFS($F$2:$F$501,F335,$G$2:$G$501,"&lt;"&amp;N335,$N$2:$N$501,"&gt;"&amp;G335,$I$2:$I$501,"pendente",$K$2:$K$501,K335)+COUNTIFS($F$2:$F$501,F335,$G$2:$G$501,"&lt;"&amp;N335,$N$2:$N$501,"&gt;"&amp;G335,$I$2:$I$501,"confirmado",$K$2:$K$501,K335)-1),0)))</x:f>
      </x:c>
      <x:c r="P335" s="2" t="str">
        <x:f>IF(A335="","",IF(OR(N335="",F335=""),"Dados incompletos",IF(OR(I335="pendente",I335="confirmado"),COUNTIFS($F$2:$F$501,F335,$G$2:$G$501,"&lt;"&amp;N335,$N$2:$N$501,"&gt;"&amp;G335,$I$2:$I$501,"pendente",$E$2:$E$501,E335)+COUNTIFS($F$2:$F$501,F335,$G$2:$G$501,"&lt;"&amp;N335,$N$2:$N$501,"&gt;"&amp;G335,$I$2:$I$501,"confirmado",$E$2:$E$501,E335)-1,0)))</x:f>
      </x:c>
    </x:row>
    <x:row r="336" ht="24" customHeight="1">
      <x:c r="A336" s="17"/>
      <x:c r="B336" s="16"/>
      <x:c r="C336" s="2"/>
      <x:c r="D336" s="17"/>
      <x:c r="E336" s="2"/>
      <x:c r="F336" s="10"/>
      <x:c r="G336" s="11"/>
      <x:c r="H336" s="2"/>
      <x:c r="I336" s="7"/>
      <x:c r="J336" s="2"/>
      <x:c r="K336" s="2"/>
      <x:c r="L336" s="2"/>
      <x:c r="M336" s="2"/>
      <x:c r="N336" s="11" t="str">
        <x:f>IF(A336="","",IF(AND(ISNUMBER(G336),ISNUMBER(L336),ISNUMBER(M336)),G336+(L336+M336)/1440,""))</x:f>
      </x:c>
      <x:c r="O336" s="2" t="str">
        <x:f>IF(A336="","",IF(OR(N336="",F336=""),"Dados incompletos",IF(OR(I336="pendente",I336="confirmado"),IF(K336="",0,COUNTIFS($F$2:$F$501,F336,$G$2:$G$501,"&lt;"&amp;N336,$N$2:$N$501,"&gt;"&amp;G336,$I$2:$I$501,"pendente",$K$2:$K$501,K336)+COUNTIFS($F$2:$F$501,F336,$G$2:$G$501,"&lt;"&amp;N336,$N$2:$N$501,"&gt;"&amp;G336,$I$2:$I$501,"confirmado",$K$2:$K$501,K336)-1),0)))</x:f>
      </x:c>
      <x:c r="P336" s="2" t="str">
        <x:f>IF(A336="","",IF(OR(N336="",F336=""),"Dados incompletos",IF(OR(I336="pendente",I336="confirmado"),COUNTIFS($F$2:$F$501,F336,$G$2:$G$501,"&lt;"&amp;N336,$N$2:$N$501,"&gt;"&amp;G336,$I$2:$I$501,"pendente",$E$2:$E$501,E336)+COUNTIFS($F$2:$F$501,F336,$G$2:$G$501,"&lt;"&amp;N336,$N$2:$N$501,"&gt;"&amp;G336,$I$2:$I$501,"confirmado",$E$2:$E$501,E336)-1,0)))</x:f>
      </x:c>
    </x:row>
    <x:row r="337" ht="24" customHeight="1">
      <x:c r="A337" s="17"/>
      <x:c r="B337" s="16"/>
      <x:c r="C337" s="2"/>
      <x:c r="D337" s="17"/>
      <x:c r="E337" s="2"/>
      <x:c r="F337" s="10"/>
      <x:c r="G337" s="11"/>
      <x:c r="H337" s="2"/>
      <x:c r="I337" s="7"/>
      <x:c r="J337" s="2"/>
      <x:c r="K337" s="2"/>
      <x:c r="L337" s="2"/>
      <x:c r="M337" s="2"/>
      <x:c r="N337" s="11" t="str">
        <x:f>IF(A337="","",IF(AND(ISNUMBER(G337),ISNUMBER(L337),ISNUMBER(M337)),G337+(L337+M337)/1440,""))</x:f>
      </x:c>
      <x:c r="O337" s="2" t="str">
        <x:f>IF(A337="","",IF(OR(N337="",F337=""),"Dados incompletos",IF(OR(I337="pendente",I337="confirmado"),IF(K337="",0,COUNTIFS($F$2:$F$501,F337,$G$2:$G$501,"&lt;"&amp;N337,$N$2:$N$501,"&gt;"&amp;G337,$I$2:$I$501,"pendente",$K$2:$K$501,K337)+COUNTIFS($F$2:$F$501,F337,$G$2:$G$501,"&lt;"&amp;N337,$N$2:$N$501,"&gt;"&amp;G337,$I$2:$I$501,"confirmado",$K$2:$K$501,K337)-1),0)))</x:f>
      </x:c>
      <x:c r="P337" s="2" t="str">
        <x:f>IF(A337="","",IF(OR(N337="",F337=""),"Dados incompletos",IF(OR(I337="pendente",I337="confirmado"),COUNTIFS($F$2:$F$501,F337,$G$2:$G$501,"&lt;"&amp;N337,$N$2:$N$501,"&gt;"&amp;G337,$I$2:$I$501,"pendente",$E$2:$E$501,E337)+COUNTIFS($F$2:$F$501,F337,$G$2:$G$501,"&lt;"&amp;N337,$N$2:$N$501,"&gt;"&amp;G337,$I$2:$I$501,"confirmado",$E$2:$E$501,E337)-1,0)))</x:f>
      </x:c>
    </x:row>
    <x:row r="338" ht="24" customHeight="1">
      <x:c r="A338" s="17"/>
      <x:c r="B338" s="16"/>
      <x:c r="C338" s="2"/>
      <x:c r="D338" s="17"/>
      <x:c r="E338" s="2"/>
      <x:c r="F338" s="10"/>
      <x:c r="G338" s="11"/>
      <x:c r="H338" s="2"/>
      <x:c r="I338" s="7"/>
      <x:c r="J338" s="2"/>
      <x:c r="K338" s="2"/>
      <x:c r="L338" s="2"/>
      <x:c r="M338" s="2"/>
      <x:c r="N338" s="11" t="str">
        <x:f>IF(A338="","",IF(AND(ISNUMBER(G338),ISNUMBER(L338),ISNUMBER(M338)),G338+(L338+M338)/1440,""))</x:f>
      </x:c>
      <x:c r="O338" s="2" t="str">
        <x:f>IF(A338="","",IF(OR(N338="",F338=""),"Dados incompletos",IF(OR(I338="pendente",I338="confirmado"),IF(K338="",0,COUNTIFS($F$2:$F$501,F338,$G$2:$G$501,"&lt;"&amp;N338,$N$2:$N$501,"&gt;"&amp;G338,$I$2:$I$501,"pendente",$K$2:$K$501,K338)+COUNTIFS($F$2:$F$501,F338,$G$2:$G$501,"&lt;"&amp;N338,$N$2:$N$501,"&gt;"&amp;G338,$I$2:$I$501,"confirmado",$K$2:$K$501,K338)-1),0)))</x:f>
      </x:c>
      <x:c r="P338" s="2" t="str">
        <x:f>IF(A338="","",IF(OR(N338="",F338=""),"Dados incompletos",IF(OR(I338="pendente",I338="confirmado"),COUNTIFS($F$2:$F$501,F338,$G$2:$G$501,"&lt;"&amp;N338,$N$2:$N$501,"&gt;"&amp;G338,$I$2:$I$501,"pendente",$E$2:$E$501,E338)+COUNTIFS($F$2:$F$501,F338,$G$2:$G$501,"&lt;"&amp;N338,$N$2:$N$501,"&gt;"&amp;G338,$I$2:$I$501,"confirmado",$E$2:$E$501,E338)-1,0)))</x:f>
      </x:c>
    </x:row>
    <x:row r="339" ht="24" customHeight="1">
      <x:c r="A339" s="17"/>
      <x:c r="B339" s="16"/>
      <x:c r="C339" s="2"/>
      <x:c r="D339" s="17"/>
      <x:c r="E339" s="2"/>
      <x:c r="F339" s="10"/>
      <x:c r="G339" s="11"/>
      <x:c r="H339" s="2"/>
      <x:c r="I339" s="7"/>
      <x:c r="J339" s="2"/>
      <x:c r="K339" s="2"/>
      <x:c r="L339" s="2"/>
      <x:c r="M339" s="2"/>
      <x:c r="N339" s="11" t="str">
        <x:f>IF(A339="","",IF(AND(ISNUMBER(G339),ISNUMBER(L339),ISNUMBER(M339)),G339+(L339+M339)/1440,""))</x:f>
      </x:c>
      <x:c r="O339" s="2" t="str">
        <x:f>IF(A339="","",IF(OR(N339="",F339=""),"Dados incompletos",IF(OR(I339="pendente",I339="confirmado"),IF(K339="",0,COUNTIFS($F$2:$F$501,F339,$G$2:$G$501,"&lt;"&amp;N339,$N$2:$N$501,"&gt;"&amp;G339,$I$2:$I$501,"pendente",$K$2:$K$501,K339)+COUNTIFS($F$2:$F$501,F339,$G$2:$G$501,"&lt;"&amp;N339,$N$2:$N$501,"&gt;"&amp;G339,$I$2:$I$501,"confirmado",$K$2:$K$501,K339)-1),0)))</x:f>
      </x:c>
      <x:c r="P339" s="2" t="str">
        <x:f>IF(A339="","",IF(OR(N339="",F339=""),"Dados incompletos",IF(OR(I339="pendente",I339="confirmado"),COUNTIFS($F$2:$F$501,F339,$G$2:$G$501,"&lt;"&amp;N339,$N$2:$N$501,"&gt;"&amp;G339,$I$2:$I$501,"pendente",$E$2:$E$501,E339)+COUNTIFS($F$2:$F$501,F339,$G$2:$G$501,"&lt;"&amp;N339,$N$2:$N$501,"&gt;"&amp;G339,$I$2:$I$501,"confirmado",$E$2:$E$501,E339)-1,0)))</x:f>
      </x:c>
    </x:row>
    <x:row r="340" ht="24" customHeight="1">
      <x:c r="A340" s="17"/>
      <x:c r="B340" s="16"/>
      <x:c r="C340" s="2"/>
      <x:c r="D340" s="17"/>
      <x:c r="E340" s="2"/>
      <x:c r="F340" s="10"/>
      <x:c r="G340" s="11"/>
      <x:c r="H340" s="2"/>
      <x:c r="I340" s="7"/>
      <x:c r="J340" s="2"/>
      <x:c r="K340" s="2"/>
      <x:c r="L340" s="2"/>
      <x:c r="M340" s="2"/>
      <x:c r="N340" s="11" t="str">
        <x:f>IF(A340="","",IF(AND(ISNUMBER(G340),ISNUMBER(L340),ISNUMBER(M340)),G340+(L340+M340)/1440,""))</x:f>
      </x:c>
      <x:c r="O340" s="2" t="str">
        <x:f>IF(A340="","",IF(OR(N340="",F340=""),"Dados incompletos",IF(OR(I340="pendente",I340="confirmado"),IF(K340="",0,COUNTIFS($F$2:$F$501,F340,$G$2:$G$501,"&lt;"&amp;N340,$N$2:$N$501,"&gt;"&amp;G340,$I$2:$I$501,"pendente",$K$2:$K$501,K340)+COUNTIFS($F$2:$F$501,F340,$G$2:$G$501,"&lt;"&amp;N340,$N$2:$N$501,"&gt;"&amp;G340,$I$2:$I$501,"confirmado",$K$2:$K$501,K340)-1),0)))</x:f>
      </x:c>
      <x:c r="P340" s="2" t="str">
        <x:f>IF(A340="","",IF(OR(N340="",F340=""),"Dados incompletos",IF(OR(I340="pendente",I340="confirmado"),COUNTIFS($F$2:$F$501,F340,$G$2:$G$501,"&lt;"&amp;N340,$N$2:$N$501,"&gt;"&amp;G340,$I$2:$I$501,"pendente",$E$2:$E$501,E340)+COUNTIFS($F$2:$F$501,F340,$G$2:$G$501,"&lt;"&amp;N340,$N$2:$N$501,"&gt;"&amp;G340,$I$2:$I$501,"confirmado",$E$2:$E$501,E340)-1,0)))</x:f>
      </x:c>
    </x:row>
    <x:row r="341" ht="24" customHeight="1">
      <x:c r="A341" s="17"/>
      <x:c r="B341" s="16"/>
      <x:c r="C341" s="2"/>
      <x:c r="D341" s="17"/>
      <x:c r="E341" s="2"/>
      <x:c r="F341" s="10"/>
      <x:c r="G341" s="11"/>
      <x:c r="H341" s="2"/>
      <x:c r="I341" s="7"/>
      <x:c r="J341" s="2"/>
      <x:c r="K341" s="2"/>
      <x:c r="L341" s="2"/>
      <x:c r="M341" s="2"/>
      <x:c r="N341" s="11" t="str">
        <x:f>IF(A341="","",IF(AND(ISNUMBER(G341),ISNUMBER(L341),ISNUMBER(M341)),G341+(L341+M341)/1440,""))</x:f>
      </x:c>
      <x:c r="O341" s="2" t="str">
        <x:f>IF(A341="","",IF(OR(N341="",F341=""),"Dados incompletos",IF(OR(I341="pendente",I341="confirmado"),IF(K341="",0,COUNTIFS($F$2:$F$501,F341,$G$2:$G$501,"&lt;"&amp;N341,$N$2:$N$501,"&gt;"&amp;G341,$I$2:$I$501,"pendente",$K$2:$K$501,K341)+COUNTIFS($F$2:$F$501,F341,$G$2:$G$501,"&lt;"&amp;N341,$N$2:$N$501,"&gt;"&amp;G341,$I$2:$I$501,"confirmado",$K$2:$K$501,K341)-1),0)))</x:f>
      </x:c>
      <x:c r="P341" s="2" t="str">
        <x:f>IF(A341="","",IF(OR(N341="",F341=""),"Dados incompletos",IF(OR(I341="pendente",I341="confirmado"),COUNTIFS($F$2:$F$501,F341,$G$2:$G$501,"&lt;"&amp;N341,$N$2:$N$501,"&gt;"&amp;G341,$I$2:$I$501,"pendente",$E$2:$E$501,E341)+COUNTIFS($F$2:$F$501,F341,$G$2:$G$501,"&lt;"&amp;N341,$N$2:$N$501,"&gt;"&amp;G341,$I$2:$I$501,"confirmado",$E$2:$E$501,E341)-1,0)))</x:f>
      </x:c>
    </x:row>
    <x:row r="342" ht="24" customHeight="1">
      <x:c r="A342" s="17"/>
      <x:c r="B342" s="16"/>
      <x:c r="C342" s="2"/>
      <x:c r="D342" s="17"/>
      <x:c r="E342" s="2"/>
      <x:c r="F342" s="10"/>
      <x:c r="G342" s="11"/>
      <x:c r="H342" s="2"/>
      <x:c r="I342" s="7"/>
      <x:c r="J342" s="2"/>
      <x:c r="K342" s="2"/>
      <x:c r="L342" s="2"/>
      <x:c r="M342" s="2"/>
      <x:c r="N342" s="11" t="str">
        <x:f>IF(A342="","",IF(AND(ISNUMBER(G342),ISNUMBER(L342),ISNUMBER(M342)),G342+(L342+M342)/1440,""))</x:f>
      </x:c>
      <x:c r="O342" s="2" t="str">
        <x:f>IF(A342="","",IF(OR(N342="",F342=""),"Dados incompletos",IF(OR(I342="pendente",I342="confirmado"),IF(K342="",0,COUNTIFS($F$2:$F$501,F342,$G$2:$G$501,"&lt;"&amp;N342,$N$2:$N$501,"&gt;"&amp;G342,$I$2:$I$501,"pendente",$K$2:$K$501,K342)+COUNTIFS($F$2:$F$501,F342,$G$2:$G$501,"&lt;"&amp;N342,$N$2:$N$501,"&gt;"&amp;G342,$I$2:$I$501,"confirmado",$K$2:$K$501,K342)-1),0)))</x:f>
      </x:c>
      <x:c r="P342" s="2" t="str">
        <x:f>IF(A342="","",IF(OR(N342="",F342=""),"Dados incompletos",IF(OR(I342="pendente",I342="confirmado"),COUNTIFS($F$2:$F$501,F342,$G$2:$G$501,"&lt;"&amp;N342,$N$2:$N$501,"&gt;"&amp;G342,$I$2:$I$501,"pendente",$E$2:$E$501,E342)+COUNTIFS($F$2:$F$501,F342,$G$2:$G$501,"&lt;"&amp;N342,$N$2:$N$501,"&gt;"&amp;G342,$I$2:$I$501,"confirmado",$E$2:$E$501,E342)-1,0)))</x:f>
      </x:c>
    </x:row>
    <x:row r="343" ht="24" customHeight="1">
      <x:c r="A343" s="17"/>
      <x:c r="B343" s="16"/>
      <x:c r="C343" s="2"/>
      <x:c r="D343" s="17"/>
      <x:c r="E343" s="2"/>
      <x:c r="F343" s="10"/>
      <x:c r="G343" s="11"/>
      <x:c r="H343" s="2"/>
      <x:c r="I343" s="7"/>
      <x:c r="J343" s="2"/>
      <x:c r="K343" s="2"/>
      <x:c r="L343" s="2"/>
      <x:c r="M343" s="2"/>
      <x:c r="N343" s="11" t="str">
        <x:f>IF(A343="","",IF(AND(ISNUMBER(G343),ISNUMBER(L343),ISNUMBER(M343)),G343+(L343+M343)/1440,""))</x:f>
      </x:c>
      <x:c r="O343" s="2" t="str">
        <x:f>IF(A343="","",IF(OR(N343="",F343=""),"Dados incompletos",IF(OR(I343="pendente",I343="confirmado"),IF(K343="",0,COUNTIFS($F$2:$F$501,F343,$G$2:$G$501,"&lt;"&amp;N343,$N$2:$N$501,"&gt;"&amp;G343,$I$2:$I$501,"pendente",$K$2:$K$501,K343)+COUNTIFS($F$2:$F$501,F343,$G$2:$G$501,"&lt;"&amp;N343,$N$2:$N$501,"&gt;"&amp;G343,$I$2:$I$501,"confirmado",$K$2:$K$501,K343)-1),0)))</x:f>
      </x:c>
      <x:c r="P343" s="2" t="str">
        <x:f>IF(A343="","",IF(OR(N343="",F343=""),"Dados incompletos",IF(OR(I343="pendente",I343="confirmado"),COUNTIFS($F$2:$F$501,F343,$G$2:$G$501,"&lt;"&amp;N343,$N$2:$N$501,"&gt;"&amp;G343,$I$2:$I$501,"pendente",$E$2:$E$501,E343)+COUNTIFS($F$2:$F$501,F343,$G$2:$G$501,"&lt;"&amp;N343,$N$2:$N$501,"&gt;"&amp;G343,$I$2:$I$501,"confirmado",$E$2:$E$501,E343)-1,0)))</x:f>
      </x:c>
    </x:row>
    <x:row r="344" ht="24" customHeight="1">
      <x:c r="A344" s="17"/>
      <x:c r="B344" s="16"/>
      <x:c r="C344" s="2"/>
      <x:c r="D344" s="17"/>
      <x:c r="E344" s="2"/>
      <x:c r="F344" s="10"/>
      <x:c r="G344" s="11"/>
      <x:c r="H344" s="2"/>
      <x:c r="I344" s="7"/>
      <x:c r="J344" s="2"/>
      <x:c r="K344" s="2"/>
      <x:c r="L344" s="2"/>
      <x:c r="M344" s="2"/>
      <x:c r="N344" s="11" t="str">
        <x:f>IF(A344="","",IF(AND(ISNUMBER(G344),ISNUMBER(L344),ISNUMBER(M344)),G344+(L344+M344)/1440,""))</x:f>
      </x:c>
      <x:c r="O344" s="2" t="str">
        <x:f>IF(A344="","",IF(OR(N344="",F344=""),"Dados incompletos",IF(OR(I344="pendente",I344="confirmado"),IF(K344="",0,COUNTIFS($F$2:$F$501,F344,$G$2:$G$501,"&lt;"&amp;N344,$N$2:$N$501,"&gt;"&amp;G344,$I$2:$I$501,"pendente",$K$2:$K$501,K344)+COUNTIFS($F$2:$F$501,F344,$G$2:$G$501,"&lt;"&amp;N344,$N$2:$N$501,"&gt;"&amp;G344,$I$2:$I$501,"confirmado",$K$2:$K$501,K344)-1),0)))</x:f>
      </x:c>
      <x:c r="P344" s="2" t="str">
        <x:f>IF(A344="","",IF(OR(N344="",F344=""),"Dados incompletos",IF(OR(I344="pendente",I344="confirmado"),COUNTIFS($F$2:$F$501,F344,$G$2:$G$501,"&lt;"&amp;N344,$N$2:$N$501,"&gt;"&amp;G344,$I$2:$I$501,"pendente",$E$2:$E$501,E344)+COUNTIFS($F$2:$F$501,F344,$G$2:$G$501,"&lt;"&amp;N344,$N$2:$N$501,"&gt;"&amp;G344,$I$2:$I$501,"confirmado",$E$2:$E$501,E344)-1,0)))</x:f>
      </x:c>
    </x:row>
    <x:row r="345" ht="24" customHeight="1">
      <x:c r="A345" s="17"/>
      <x:c r="B345" s="16"/>
      <x:c r="C345" s="2"/>
      <x:c r="D345" s="17"/>
      <x:c r="E345" s="2"/>
      <x:c r="F345" s="10"/>
      <x:c r="G345" s="11"/>
      <x:c r="H345" s="2"/>
      <x:c r="I345" s="7"/>
      <x:c r="J345" s="2"/>
      <x:c r="K345" s="2"/>
      <x:c r="L345" s="2"/>
      <x:c r="M345" s="2"/>
      <x:c r="N345" s="11" t="str">
        <x:f>IF(A345="","",IF(AND(ISNUMBER(G345),ISNUMBER(L345),ISNUMBER(M345)),G345+(L345+M345)/1440,""))</x:f>
      </x:c>
      <x:c r="O345" s="2" t="str">
        <x:f>IF(A345="","",IF(OR(N345="",F345=""),"Dados incompletos",IF(OR(I345="pendente",I345="confirmado"),IF(K345="",0,COUNTIFS($F$2:$F$501,F345,$G$2:$G$501,"&lt;"&amp;N345,$N$2:$N$501,"&gt;"&amp;G345,$I$2:$I$501,"pendente",$K$2:$K$501,K345)+COUNTIFS($F$2:$F$501,F345,$G$2:$G$501,"&lt;"&amp;N345,$N$2:$N$501,"&gt;"&amp;G345,$I$2:$I$501,"confirmado",$K$2:$K$501,K345)-1),0)))</x:f>
      </x:c>
      <x:c r="P345" s="2" t="str">
        <x:f>IF(A345="","",IF(OR(N345="",F345=""),"Dados incompletos",IF(OR(I345="pendente",I345="confirmado"),COUNTIFS($F$2:$F$501,F345,$G$2:$G$501,"&lt;"&amp;N345,$N$2:$N$501,"&gt;"&amp;G345,$I$2:$I$501,"pendente",$E$2:$E$501,E345)+COUNTIFS($F$2:$F$501,F345,$G$2:$G$501,"&lt;"&amp;N345,$N$2:$N$501,"&gt;"&amp;G345,$I$2:$I$501,"confirmado",$E$2:$E$501,E345)-1,0)))</x:f>
      </x:c>
    </x:row>
    <x:row r="346" ht="24" customHeight="1">
      <x:c r="A346" s="17"/>
      <x:c r="B346" s="16"/>
      <x:c r="C346" s="2"/>
      <x:c r="D346" s="17"/>
      <x:c r="E346" s="2"/>
      <x:c r="F346" s="10"/>
      <x:c r="G346" s="11"/>
      <x:c r="H346" s="2"/>
      <x:c r="I346" s="7"/>
      <x:c r="J346" s="2"/>
      <x:c r="K346" s="2"/>
      <x:c r="L346" s="2"/>
      <x:c r="M346" s="2"/>
      <x:c r="N346" s="11" t="str">
        <x:f>IF(A346="","",IF(AND(ISNUMBER(G346),ISNUMBER(L346),ISNUMBER(M346)),G346+(L346+M346)/1440,""))</x:f>
      </x:c>
      <x:c r="O346" s="2" t="str">
        <x:f>IF(A346="","",IF(OR(N346="",F346=""),"Dados incompletos",IF(OR(I346="pendente",I346="confirmado"),IF(K346="",0,COUNTIFS($F$2:$F$501,F346,$G$2:$G$501,"&lt;"&amp;N346,$N$2:$N$501,"&gt;"&amp;G346,$I$2:$I$501,"pendente",$K$2:$K$501,K346)+COUNTIFS($F$2:$F$501,F346,$G$2:$G$501,"&lt;"&amp;N346,$N$2:$N$501,"&gt;"&amp;G346,$I$2:$I$501,"confirmado",$K$2:$K$501,K346)-1),0)))</x:f>
      </x:c>
      <x:c r="P346" s="2" t="str">
        <x:f>IF(A346="","",IF(OR(N346="",F346=""),"Dados incompletos",IF(OR(I346="pendente",I346="confirmado"),COUNTIFS($F$2:$F$501,F346,$G$2:$G$501,"&lt;"&amp;N346,$N$2:$N$501,"&gt;"&amp;G346,$I$2:$I$501,"pendente",$E$2:$E$501,E346)+COUNTIFS($F$2:$F$501,F346,$G$2:$G$501,"&lt;"&amp;N346,$N$2:$N$501,"&gt;"&amp;G346,$I$2:$I$501,"confirmado",$E$2:$E$501,E346)-1,0)))</x:f>
      </x:c>
    </x:row>
    <x:row r="347" ht="24" customHeight="1">
      <x:c r="A347" s="17"/>
      <x:c r="B347" s="16"/>
      <x:c r="C347" s="2"/>
      <x:c r="D347" s="17"/>
      <x:c r="E347" s="2"/>
      <x:c r="F347" s="10"/>
      <x:c r="G347" s="11"/>
      <x:c r="H347" s="2"/>
      <x:c r="I347" s="7"/>
      <x:c r="J347" s="2"/>
      <x:c r="K347" s="2"/>
      <x:c r="L347" s="2"/>
      <x:c r="M347" s="2"/>
      <x:c r="N347" s="11" t="str">
        <x:f>IF(A347="","",IF(AND(ISNUMBER(G347),ISNUMBER(L347),ISNUMBER(M347)),G347+(L347+M347)/1440,""))</x:f>
      </x:c>
      <x:c r="O347" s="2" t="str">
        <x:f>IF(A347="","",IF(OR(N347="",F347=""),"Dados incompletos",IF(OR(I347="pendente",I347="confirmado"),IF(K347="",0,COUNTIFS($F$2:$F$501,F347,$G$2:$G$501,"&lt;"&amp;N347,$N$2:$N$501,"&gt;"&amp;G347,$I$2:$I$501,"pendente",$K$2:$K$501,K347)+COUNTIFS($F$2:$F$501,F347,$G$2:$G$501,"&lt;"&amp;N347,$N$2:$N$501,"&gt;"&amp;G347,$I$2:$I$501,"confirmado",$K$2:$K$501,K347)-1),0)))</x:f>
      </x:c>
      <x:c r="P347" s="2" t="str">
        <x:f>IF(A347="","",IF(OR(N347="",F347=""),"Dados incompletos",IF(OR(I347="pendente",I347="confirmado"),COUNTIFS($F$2:$F$501,F347,$G$2:$G$501,"&lt;"&amp;N347,$N$2:$N$501,"&gt;"&amp;G347,$I$2:$I$501,"pendente",$E$2:$E$501,E347)+COUNTIFS($F$2:$F$501,F347,$G$2:$G$501,"&lt;"&amp;N347,$N$2:$N$501,"&gt;"&amp;G347,$I$2:$I$501,"confirmado",$E$2:$E$501,E347)-1,0)))</x:f>
      </x:c>
    </x:row>
    <x:row r="348" ht="24" customHeight="1">
      <x:c r="A348" s="17"/>
      <x:c r="B348" s="16"/>
      <x:c r="C348" s="2"/>
      <x:c r="D348" s="17"/>
      <x:c r="E348" s="2"/>
      <x:c r="F348" s="10"/>
      <x:c r="G348" s="11"/>
      <x:c r="H348" s="2"/>
      <x:c r="I348" s="7"/>
      <x:c r="J348" s="2"/>
      <x:c r="K348" s="2"/>
      <x:c r="L348" s="2"/>
      <x:c r="M348" s="2"/>
      <x:c r="N348" s="11" t="str">
        <x:f>IF(A348="","",IF(AND(ISNUMBER(G348),ISNUMBER(L348),ISNUMBER(M348)),G348+(L348+M348)/1440,""))</x:f>
      </x:c>
      <x:c r="O348" s="2" t="str">
        <x:f>IF(A348="","",IF(OR(N348="",F348=""),"Dados incompletos",IF(OR(I348="pendente",I348="confirmado"),IF(K348="",0,COUNTIFS($F$2:$F$501,F348,$G$2:$G$501,"&lt;"&amp;N348,$N$2:$N$501,"&gt;"&amp;G348,$I$2:$I$501,"pendente",$K$2:$K$501,K348)+COUNTIFS($F$2:$F$501,F348,$G$2:$G$501,"&lt;"&amp;N348,$N$2:$N$501,"&gt;"&amp;G348,$I$2:$I$501,"confirmado",$K$2:$K$501,K348)-1),0)))</x:f>
      </x:c>
      <x:c r="P348" s="2" t="str">
        <x:f>IF(A348="","",IF(OR(N348="",F348=""),"Dados incompletos",IF(OR(I348="pendente",I348="confirmado"),COUNTIFS($F$2:$F$501,F348,$G$2:$G$501,"&lt;"&amp;N348,$N$2:$N$501,"&gt;"&amp;G348,$I$2:$I$501,"pendente",$E$2:$E$501,E348)+COUNTIFS($F$2:$F$501,F348,$G$2:$G$501,"&lt;"&amp;N348,$N$2:$N$501,"&gt;"&amp;G348,$I$2:$I$501,"confirmado",$E$2:$E$501,E348)-1,0)))</x:f>
      </x:c>
    </x:row>
    <x:row r="349" ht="24" customHeight="1">
      <x:c r="A349" s="17"/>
      <x:c r="B349" s="16"/>
      <x:c r="C349" s="2"/>
      <x:c r="D349" s="17"/>
      <x:c r="E349" s="2"/>
      <x:c r="F349" s="10"/>
      <x:c r="G349" s="11"/>
      <x:c r="H349" s="2"/>
      <x:c r="I349" s="7"/>
      <x:c r="J349" s="2"/>
      <x:c r="K349" s="2"/>
      <x:c r="L349" s="2"/>
      <x:c r="M349" s="2"/>
      <x:c r="N349" s="11" t="str">
        <x:f>IF(A349="","",IF(AND(ISNUMBER(G349),ISNUMBER(L349),ISNUMBER(M349)),G349+(L349+M349)/1440,""))</x:f>
      </x:c>
      <x:c r="O349" s="2" t="str">
        <x:f>IF(A349="","",IF(OR(N349="",F349=""),"Dados incompletos",IF(OR(I349="pendente",I349="confirmado"),IF(K349="",0,COUNTIFS($F$2:$F$501,F349,$G$2:$G$501,"&lt;"&amp;N349,$N$2:$N$501,"&gt;"&amp;G349,$I$2:$I$501,"pendente",$K$2:$K$501,K349)+COUNTIFS($F$2:$F$501,F349,$G$2:$G$501,"&lt;"&amp;N349,$N$2:$N$501,"&gt;"&amp;G349,$I$2:$I$501,"confirmado",$K$2:$K$501,K349)-1),0)))</x:f>
      </x:c>
      <x:c r="P349" s="2" t="str">
        <x:f>IF(A349="","",IF(OR(N349="",F349=""),"Dados incompletos",IF(OR(I349="pendente",I349="confirmado"),COUNTIFS($F$2:$F$501,F349,$G$2:$G$501,"&lt;"&amp;N349,$N$2:$N$501,"&gt;"&amp;G349,$I$2:$I$501,"pendente",$E$2:$E$501,E349)+COUNTIFS($F$2:$F$501,F349,$G$2:$G$501,"&lt;"&amp;N349,$N$2:$N$501,"&gt;"&amp;G349,$I$2:$I$501,"confirmado",$E$2:$E$501,E349)-1,0)))</x:f>
      </x:c>
    </x:row>
    <x:row r="350" ht="24" customHeight="1">
      <x:c r="A350" s="17"/>
      <x:c r="B350" s="16"/>
      <x:c r="C350" s="2"/>
      <x:c r="D350" s="17"/>
      <x:c r="E350" s="2"/>
      <x:c r="F350" s="10"/>
      <x:c r="G350" s="11"/>
      <x:c r="H350" s="2"/>
      <x:c r="I350" s="7"/>
      <x:c r="J350" s="2"/>
      <x:c r="K350" s="2"/>
      <x:c r="L350" s="2"/>
      <x:c r="M350" s="2"/>
      <x:c r="N350" s="11" t="str">
        <x:f>IF(A350="","",IF(AND(ISNUMBER(G350),ISNUMBER(L350),ISNUMBER(M350)),G350+(L350+M350)/1440,""))</x:f>
      </x:c>
      <x:c r="O350" s="2" t="str">
        <x:f>IF(A350="","",IF(OR(N350="",F350=""),"Dados incompletos",IF(OR(I350="pendente",I350="confirmado"),IF(K350="",0,COUNTIFS($F$2:$F$501,F350,$G$2:$G$501,"&lt;"&amp;N350,$N$2:$N$501,"&gt;"&amp;G350,$I$2:$I$501,"pendente",$K$2:$K$501,K350)+COUNTIFS($F$2:$F$501,F350,$G$2:$G$501,"&lt;"&amp;N350,$N$2:$N$501,"&gt;"&amp;G350,$I$2:$I$501,"confirmado",$K$2:$K$501,K350)-1),0)))</x:f>
      </x:c>
      <x:c r="P350" s="2" t="str">
        <x:f>IF(A350="","",IF(OR(N350="",F350=""),"Dados incompletos",IF(OR(I350="pendente",I350="confirmado"),COUNTIFS($F$2:$F$501,F350,$G$2:$G$501,"&lt;"&amp;N350,$N$2:$N$501,"&gt;"&amp;G350,$I$2:$I$501,"pendente",$E$2:$E$501,E350)+COUNTIFS($F$2:$F$501,F350,$G$2:$G$501,"&lt;"&amp;N350,$N$2:$N$501,"&gt;"&amp;G350,$I$2:$I$501,"confirmado",$E$2:$E$501,E350)-1,0)))</x:f>
      </x:c>
    </x:row>
    <x:row r="351" ht="24" customHeight="1">
      <x:c r="A351" s="17"/>
      <x:c r="B351" s="16"/>
      <x:c r="C351" s="2"/>
      <x:c r="D351" s="17"/>
      <x:c r="E351" s="2"/>
      <x:c r="F351" s="10"/>
      <x:c r="G351" s="11"/>
      <x:c r="H351" s="2"/>
      <x:c r="I351" s="7"/>
      <x:c r="J351" s="2"/>
      <x:c r="K351" s="2"/>
      <x:c r="L351" s="2"/>
      <x:c r="M351" s="2"/>
      <x:c r="N351" s="11" t="str">
        <x:f>IF(A351="","",IF(AND(ISNUMBER(G351),ISNUMBER(L351),ISNUMBER(M351)),G351+(L351+M351)/1440,""))</x:f>
      </x:c>
      <x:c r="O351" s="2" t="str">
        <x:f>IF(A351="","",IF(OR(N351="",F351=""),"Dados incompletos",IF(OR(I351="pendente",I351="confirmado"),IF(K351="",0,COUNTIFS($F$2:$F$501,F351,$G$2:$G$501,"&lt;"&amp;N351,$N$2:$N$501,"&gt;"&amp;G351,$I$2:$I$501,"pendente",$K$2:$K$501,K351)+COUNTIFS($F$2:$F$501,F351,$G$2:$G$501,"&lt;"&amp;N351,$N$2:$N$501,"&gt;"&amp;G351,$I$2:$I$501,"confirmado",$K$2:$K$501,K351)-1),0)))</x:f>
      </x:c>
      <x:c r="P351" s="2" t="str">
        <x:f>IF(A351="","",IF(OR(N351="",F351=""),"Dados incompletos",IF(OR(I351="pendente",I351="confirmado"),COUNTIFS($F$2:$F$501,F351,$G$2:$G$501,"&lt;"&amp;N351,$N$2:$N$501,"&gt;"&amp;G351,$I$2:$I$501,"pendente",$E$2:$E$501,E351)+COUNTIFS($F$2:$F$501,F351,$G$2:$G$501,"&lt;"&amp;N351,$N$2:$N$501,"&gt;"&amp;G351,$I$2:$I$501,"confirmado",$E$2:$E$501,E351)-1,0)))</x:f>
      </x:c>
    </x:row>
    <x:row r="352" ht="24" customHeight="1">
      <x:c r="A352" s="17"/>
      <x:c r="B352" s="16"/>
      <x:c r="C352" s="2"/>
      <x:c r="D352" s="17"/>
      <x:c r="E352" s="2"/>
      <x:c r="F352" s="10"/>
      <x:c r="G352" s="11"/>
      <x:c r="H352" s="2"/>
      <x:c r="I352" s="7"/>
      <x:c r="J352" s="2"/>
      <x:c r="K352" s="2"/>
      <x:c r="L352" s="2"/>
      <x:c r="M352" s="2"/>
      <x:c r="N352" s="11" t="str">
        <x:f>IF(A352="","",IF(AND(ISNUMBER(G352),ISNUMBER(L352),ISNUMBER(M352)),G352+(L352+M352)/1440,""))</x:f>
      </x:c>
      <x:c r="O352" s="2" t="str">
        <x:f>IF(A352="","",IF(OR(N352="",F352=""),"Dados incompletos",IF(OR(I352="pendente",I352="confirmado"),IF(K352="",0,COUNTIFS($F$2:$F$501,F352,$G$2:$G$501,"&lt;"&amp;N352,$N$2:$N$501,"&gt;"&amp;G352,$I$2:$I$501,"pendente",$K$2:$K$501,K352)+COUNTIFS($F$2:$F$501,F352,$G$2:$G$501,"&lt;"&amp;N352,$N$2:$N$501,"&gt;"&amp;G352,$I$2:$I$501,"confirmado",$K$2:$K$501,K352)-1),0)))</x:f>
      </x:c>
      <x:c r="P352" s="2" t="str">
        <x:f>IF(A352="","",IF(OR(N352="",F352=""),"Dados incompletos",IF(OR(I352="pendente",I352="confirmado"),COUNTIFS($F$2:$F$501,F352,$G$2:$G$501,"&lt;"&amp;N352,$N$2:$N$501,"&gt;"&amp;G352,$I$2:$I$501,"pendente",$E$2:$E$501,E352)+COUNTIFS($F$2:$F$501,F352,$G$2:$G$501,"&lt;"&amp;N352,$N$2:$N$501,"&gt;"&amp;G352,$I$2:$I$501,"confirmado",$E$2:$E$501,E352)-1,0)))</x:f>
      </x:c>
    </x:row>
    <x:row r="353" ht="24" customHeight="1">
      <x:c r="A353" s="17"/>
      <x:c r="B353" s="16"/>
      <x:c r="C353" s="2"/>
      <x:c r="D353" s="17"/>
      <x:c r="E353" s="2"/>
      <x:c r="F353" s="10"/>
      <x:c r="G353" s="11"/>
      <x:c r="H353" s="2"/>
      <x:c r="I353" s="7"/>
      <x:c r="J353" s="2"/>
      <x:c r="K353" s="2"/>
      <x:c r="L353" s="2"/>
      <x:c r="M353" s="2"/>
      <x:c r="N353" s="11" t="str">
        <x:f>IF(A353="","",IF(AND(ISNUMBER(G353),ISNUMBER(L353),ISNUMBER(M353)),G353+(L353+M353)/1440,""))</x:f>
      </x:c>
      <x:c r="O353" s="2" t="str">
        <x:f>IF(A353="","",IF(OR(N353="",F353=""),"Dados incompletos",IF(OR(I353="pendente",I353="confirmado"),IF(K353="",0,COUNTIFS($F$2:$F$501,F353,$G$2:$G$501,"&lt;"&amp;N353,$N$2:$N$501,"&gt;"&amp;G353,$I$2:$I$501,"pendente",$K$2:$K$501,K353)+COUNTIFS($F$2:$F$501,F353,$G$2:$G$501,"&lt;"&amp;N353,$N$2:$N$501,"&gt;"&amp;G353,$I$2:$I$501,"confirmado",$K$2:$K$501,K353)-1),0)))</x:f>
      </x:c>
      <x:c r="P353" s="2" t="str">
        <x:f>IF(A353="","",IF(OR(N353="",F353=""),"Dados incompletos",IF(OR(I353="pendente",I353="confirmado"),COUNTIFS($F$2:$F$501,F353,$G$2:$G$501,"&lt;"&amp;N353,$N$2:$N$501,"&gt;"&amp;G353,$I$2:$I$501,"pendente",$E$2:$E$501,E353)+COUNTIFS($F$2:$F$501,F353,$G$2:$G$501,"&lt;"&amp;N353,$N$2:$N$501,"&gt;"&amp;G353,$I$2:$I$501,"confirmado",$E$2:$E$501,E353)-1,0)))</x:f>
      </x:c>
    </x:row>
    <x:row r="354" ht="24" customHeight="1">
      <x:c r="A354" s="17"/>
      <x:c r="B354" s="16"/>
      <x:c r="C354" s="2"/>
      <x:c r="D354" s="17"/>
      <x:c r="E354" s="2"/>
      <x:c r="F354" s="10"/>
      <x:c r="G354" s="11"/>
      <x:c r="H354" s="2"/>
      <x:c r="I354" s="7"/>
      <x:c r="J354" s="2"/>
      <x:c r="K354" s="2"/>
      <x:c r="L354" s="2"/>
      <x:c r="M354" s="2"/>
      <x:c r="N354" s="11" t="str">
        <x:f>IF(A354="","",IF(AND(ISNUMBER(G354),ISNUMBER(L354),ISNUMBER(M354)),G354+(L354+M354)/1440,""))</x:f>
      </x:c>
      <x:c r="O354" s="2" t="str">
        <x:f>IF(A354="","",IF(OR(N354="",F354=""),"Dados incompletos",IF(OR(I354="pendente",I354="confirmado"),IF(K354="",0,COUNTIFS($F$2:$F$501,F354,$G$2:$G$501,"&lt;"&amp;N354,$N$2:$N$501,"&gt;"&amp;G354,$I$2:$I$501,"pendente",$K$2:$K$501,K354)+COUNTIFS($F$2:$F$501,F354,$G$2:$G$501,"&lt;"&amp;N354,$N$2:$N$501,"&gt;"&amp;G354,$I$2:$I$501,"confirmado",$K$2:$K$501,K354)-1),0)))</x:f>
      </x:c>
      <x:c r="P354" s="2" t="str">
        <x:f>IF(A354="","",IF(OR(N354="",F354=""),"Dados incompletos",IF(OR(I354="pendente",I354="confirmado"),COUNTIFS($F$2:$F$501,F354,$G$2:$G$501,"&lt;"&amp;N354,$N$2:$N$501,"&gt;"&amp;G354,$I$2:$I$501,"pendente",$E$2:$E$501,E354)+COUNTIFS($F$2:$F$501,F354,$G$2:$G$501,"&lt;"&amp;N354,$N$2:$N$501,"&gt;"&amp;G354,$I$2:$I$501,"confirmado",$E$2:$E$501,E354)-1,0)))</x:f>
      </x:c>
    </x:row>
    <x:row r="355" ht="24" customHeight="1">
      <x:c r="A355" s="17"/>
      <x:c r="B355" s="16"/>
      <x:c r="C355" s="2"/>
      <x:c r="D355" s="17"/>
      <x:c r="E355" s="2"/>
      <x:c r="F355" s="10"/>
      <x:c r="G355" s="11"/>
      <x:c r="H355" s="2"/>
      <x:c r="I355" s="7"/>
      <x:c r="J355" s="2"/>
      <x:c r="K355" s="2"/>
      <x:c r="L355" s="2"/>
      <x:c r="M355" s="2"/>
      <x:c r="N355" s="11" t="str">
        <x:f>IF(A355="","",IF(AND(ISNUMBER(G355),ISNUMBER(L355),ISNUMBER(M355)),G355+(L355+M355)/1440,""))</x:f>
      </x:c>
      <x:c r="O355" s="2" t="str">
        <x:f>IF(A355="","",IF(OR(N355="",F355=""),"Dados incompletos",IF(OR(I355="pendente",I355="confirmado"),IF(K355="",0,COUNTIFS($F$2:$F$501,F355,$G$2:$G$501,"&lt;"&amp;N355,$N$2:$N$501,"&gt;"&amp;G355,$I$2:$I$501,"pendente",$K$2:$K$501,K355)+COUNTIFS($F$2:$F$501,F355,$G$2:$G$501,"&lt;"&amp;N355,$N$2:$N$501,"&gt;"&amp;G355,$I$2:$I$501,"confirmado",$K$2:$K$501,K355)-1),0)))</x:f>
      </x:c>
      <x:c r="P355" s="2" t="str">
        <x:f>IF(A355="","",IF(OR(N355="",F355=""),"Dados incompletos",IF(OR(I355="pendente",I355="confirmado"),COUNTIFS($F$2:$F$501,F355,$G$2:$G$501,"&lt;"&amp;N355,$N$2:$N$501,"&gt;"&amp;G355,$I$2:$I$501,"pendente",$E$2:$E$501,E355)+COUNTIFS($F$2:$F$501,F355,$G$2:$G$501,"&lt;"&amp;N355,$N$2:$N$501,"&gt;"&amp;G355,$I$2:$I$501,"confirmado",$E$2:$E$501,E355)-1,0)))</x:f>
      </x:c>
    </x:row>
    <x:row r="356" ht="24" customHeight="1">
      <x:c r="A356" s="17"/>
      <x:c r="B356" s="16"/>
      <x:c r="C356" s="2"/>
      <x:c r="D356" s="17"/>
      <x:c r="E356" s="2"/>
      <x:c r="F356" s="10"/>
      <x:c r="G356" s="11"/>
      <x:c r="H356" s="2"/>
      <x:c r="I356" s="7"/>
      <x:c r="J356" s="2"/>
      <x:c r="K356" s="2"/>
      <x:c r="L356" s="2"/>
      <x:c r="M356" s="2"/>
      <x:c r="N356" s="11" t="str">
        <x:f>IF(A356="","",IF(AND(ISNUMBER(G356),ISNUMBER(L356),ISNUMBER(M356)),G356+(L356+M356)/1440,""))</x:f>
      </x:c>
      <x:c r="O356" s="2" t="str">
        <x:f>IF(A356="","",IF(OR(N356="",F356=""),"Dados incompletos",IF(OR(I356="pendente",I356="confirmado"),IF(K356="",0,COUNTIFS($F$2:$F$501,F356,$G$2:$G$501,"&lt;"&amp;N356,$N$2:$N$501,"&gt;"&amp;G356,$I$2:$I$501,"pendente",$K$2:$K$501,K356)+COUNTIFS($F$2:$F$501,F356,$G$2:$G$501,"&lt;"&amp;N356,$N$2:$N$501,"&gt;"&amp;G356,$I$2:$I$501,"confirmado",$K$2:$K$501,K356)-1),0)))</x:f>
      </x:c>
      <x:c r="P356" s="2" t="str">
        <x:f>IF(A356="","",IF(OR(N356="",F356=""),"Dados incompletos",IF(OR(I356="pendente",I356="confirmado"),COUNTIFS($F$2:$F$501,F356,$G$2:$G$501,"&lt;"&amp;N356,$N$2:$N$501,"&gt;"&amp;G356,$I$2:$I$501,"pendente",$E$2:$E$501,E356)+COUNTIFS($F$2:$F$501,F356,$G$2:$G$501,"&lt;"&amp;N356,$N$2:$N$501,"&gt;"&amp;G356,$I$2:$I$501,"confirmado",$E$2:$E$501,E356)-1,0)))</x:f>
      </x:c>
    </x:row>
    <x:row r="357" ht="24" customHeight="1">
      <x:c r="A357" s="17"/>
      <x:c r="B357" s="16"/>
      <x:c r="C357" s="2"/>
      <x:c r="D357" s="17"/>
      <x:c r="E357" s="2"/>
      <x:c r="F357" s="10"/>
      <x:c r="G357" s="11"/>
      <x:c r="H357" s="2"/>
      <x:c r="I357" s="7"/>
      <x:c r="J357" s="2"/>
      <x:c r="K357" s="2"/>
      <x:c r="L357" s="2"/>
      <x:c r="M357" s="2"/>
      <x:c r="N357" s="11" t="str">
        <x:f>IF(A357="","",IF(AND(ISNUMBER(G357),ISNUMBER(L357),ISNUMBER(M357)),G357+(L357+M357)/1440,""))</x:f>
      </x:c>
      <x:c r="O357" s="2" t="str">
        <x:f>IF(A357="","",IF(OR(N357="",F357=""),"Dados incompletos",IF(OR(I357="pendente",I357="confirmado"),IF(K357="",0,COUNTIFS($F$2:$F$501,F357,$G$2:$G$501,"&lt;"&amp;N357,$N$2:$N$501,"&gt;"&amp;G357,$I$2:$I$501,"pendente",$K$2:$K$501,K357)+COUNTIFS($F$2:$F$501,F357,$G$2:$G$501,"&lt;"&amp;N357,$N$2:$N$501,"&gt;"&amp;G357,$I$2:$I$501,"confirmado",$K$2:$K$501,K357)-1),0)))</x:f>
      </x:c>
      <x:c r="P357" s="2" t="str">
        <x:f>IF(A357="","",IF(OR(N357="",F357=""),"Dados incompletos",IF(OR(I357="pendente",I357="confirmado"),COUNTIFS($F$2:$F$501,F357,$G$2:$G$501,"&lt;"&amp;N357,$N$2:$N$501,"&gt;"&amp;G357,$I$2:$I$501,"pendente",$E$2:$E$501,E357)+COUNTIFS($F$2:$F$501,F357,$G$2:$G$501,"&lt;"&amp;N357,$N$2:$N$501,"&gt;"&amp;G357,$I$2:$I$501,"confirmado",$E$2:$E$501,E357)-1,0)))</x:f>
      </x:c>
    </x:row>
    <x:row r="358" ht="24" customHeight="1">
      <x:c r="A358" s="17"/>
      <x:c r="B358" s="16"/>
      <x:c r="C358" s="2"/>
      <x:c r="D358" s="17"/>
      <x:c r="E358" s="2"/>
      <x:c r="F358" s="10"/>
      <x:c r="G358" s="11"/>
      <x:c r="H358" s="2"/>
      <x:c r="I358" s="7"/>
      <x:c r="J358" s="2"/>
      <x:c r="K358" s="2"/>
      <x:c r="L358" s="2"/>
      <x:c r="M358" s="2"/>
      <x:c r="N358" s="11" t="str">
        <x:f>IF(A358="","",IF(AND(ISNUMBER(G358),ISNUMBER(L358),ISNUMBER(M358)),G358+(L358+M358)/1440,""))</x:f>
      </x:c>
      <x:c r="O358" s="2" t="str">
        <x:f>IF(A358="","",IF(OR(N358="",F358=""),"Dados incompletos",IF(OR(I358="pendente",I358="confirmado"),IF(K358="",0,COUNTIFS($F$2:$F$501,F358,$G$2:$G$501,"&lt;"&amp;N358,$N$2:$N$501,"&gt;"&amp;G358,$I$2:$I$501,"pendente",$K$2:$K$501,K358)+COUNTIFS($F$2:$F$501,F358,$G$2:$G$501,"&lt;"&amp;N358,$N$2:$N$501,"&gt;"&amp;G358,$I$2:$I$501,"confirmado",$K$2:$K$501,K358)-1),0)))</x:f>
      </x:c>
      <x:c r="P358" s="2" t="str">
        <x:f>IF(A358="","",IF(OR(N358="",F358=""),"Dados incompletos",IF(OR(I358="pendente",I358="confirmado"),COUNTIFS($F$2:$F$501,F358,$G$2:$G$501,"&lt;"&amp;N358,$N$2:$N$501,"&gt;"&amp;G358,$I$2:$I$501,"pendente",$E$2:$E$501,E358)+COUNTIFS($F$2:$F$501,F358,$G$2:$G$501,"&lt;"&amp;N358,$N$2:$N$501,"&gt;"&amp;G358,$I$2:$I$501,"confirmado",$E$2:$E$501,E358)-1,0)))</x:f>
      </x:c>
    </x:row>
    <x:row r="359" ht="24" customHeight="1">
      <x:c r="A359" s="17"/>
      <x:c r="B359" s="16"/>
      <x:c r="C359" s="2"/>
      <x:c r="D359" s="17"/>
      <x:c r="E359" s="2"/>
      <x:c r="F359" s="10"/>
      <x:c r="G359" s="11"/>
      <x:c r="H359" s="2"/>
      <x:c r="I359" s="7"/>
      <x:c r="J359" s="2"/>
      <x:c r="K359" s="2"/>
      <x:c r="L359" s="2"/>
      <x:c r="M359" s="2"/>
      <x:c r="N359" s="11" t="str">
        <x:f>IF(A359="","",IF(AND(ISNUMBER(G359),ISNUMBER(L359),ISNUMBER(M359)),G359+(L359+M359)/1440,""))</x:f>
      </x:c>
      <x:c r="O359" s="2" t="str">
        <x:f>IF(A359="","",IF(OR(N359="",F359=""),"Dados incompletos",IF(OR(I359="pendente",I359="confirmado"),IF(K359="",0,COUNTIFS($F$2:$F$501,F359,$G$2:$G$501,"&lt;"&amp;N359,$N$2:$N$501,"&gt;"&amp;G359,$I$2:$I$501,"pendente",$K$2:$K$501,K359)+COUNTIFS($F$2:$F$501,F359,$G$2:$G$501,"&lt;"&amp;N359,$N$2:$N$501,"&gt;"&amp;G359,$I$2:$I$501,"confirmado",$K$2:$K$501,K359)-1),0)))</x:f>
      </x:c>
      <x:c r="P359" s="2" t="str">
        <x:f>IF(A359="","",IF(OR(N359="",F359=""),"Dados incompletos",IF(OR(I359="pendente",I359="confirmado"),COUNTIFS($F$2:$F$501,F359,$G$2:$G$501,"&lt;"&amp;N359,$N$2:$N$501,"&gt;"&amp;G359,$I$2:$I$501,"pendente",$E$2:$E$501,E359)+COUNTIFS($F$2:$F$501,F359,$G$2:$G$501,"&lt;"&amp;N359,$N$2:$N$501,"&gt;"&amp;G359,$I$2:$I$501,"confirmado",$E$2:$E$501,E359)-1,0)))</x:f>
      </x:c>
    </x:row>
    <x:row r="360" ht="24" customHeight="1">
      <x:c r="A360" s="17"/>
      <x:c r="B360" s="16"/>
      <x:c r="C360" s="2"/>
      <x:c r="D360" s="17"/>
      <x:c r="E360" s="2"/>
      <x:c r="F360" s="10"/>
      <x:c r="G360" s="11"/>
      <x:c r="H360" s="2"/>
      <x:c r="I360" s="7"/>
      <x:c r="J360" s="2"/>
      <x:c r="K360" s="2"/>
      <x:c r="L360" s="2"/>
      <x:c r="M360" s="2"/>
      <x:c r="N360" s="11" t="str">
        <x:f>IF(A360="","",IF(AND(ISNUMBER(G360),ISNUMBER(L360),ISNUMBER(M360)),G360+(L360+M360)/1440,""))</x:f>
      </x:c>
      <x:c r="O360" s="2" t="str">
        <x:f>IF(A360="","",IF(OR(N360="",F360=""),"Dados incompletos",IF(OR(I360="pendente",I360="confirmado"),IF(K360="",0,COUNTIFS($F$2:$F$501,F360,$G$2:$G$501,"&lt;"&amp;N360,$N$2:$N$501,"&gt;"&amp;G360,$I$2:$I$501,"pendente",$K$2:$K$501,K360)+COUNTIFS($F$2:$F$501,F360,$G$2:$G$501,"&lt;"&amp;N360,$N$2:$N$501,"&gt;"&amp;G360,$I$2:$I$501,"confirmado",$K$2:$K$501,K360)-1),0)))</x:f>
      </x:c>
      <x:c r="P360" s="2" t="str">
        <x:f>IF(A360="","",IF(OR(N360="",F360=""),"Dados incompletos",IF(OR(I360="pendente",I360="confirmado"),COUNTIFS($F$2:$F$501,F360,$G$2:$G$501,"&lt;"&amp;N360,$N$2:$N$501,"&gt;"&amp;G360,$I$2:$I$501,"pendente",$E$2:$E$501,E360)+COUNTIFS($F$2:$F$501,F360,$G$2:$G$501,"&lt;"&amp;N360,$N$2:$N$501,"&gt;"&amp;G360,$I$2:$I$501,"confirmado",$E$2:$E$501,E360)-1,0)))</x:f>
      </x:c>
    </x:row>
    <x:row r="361" ht="24" customHeight="1">
      <x:c r="A361" s="17"/>
      <x:c r="B361" s="16"/>
      <x:c r="C361" s="2"/>
      <x:c r="D361" s="17"/>
      <x:c r="E361" s="2"/>
      <x:c r="F361" s="10"/>
      <x:c r="G361" s="11"/>
      <x:c r="H361" s="2"/>
      <x:c r="I361" s="7"/>
      <x:c r="J361" s="2"/>
      <x:c r="K361" s="2"/>
      <x:c r="L361" s="2"/>
      <x:c r="M361" s="2"/>
      <x:c r="N361" s="11" t="str">
        <x:f>IF(A361="","",IF(AND(ISNUMBER(G361),ISNUMBER(L361),ISNUMBER(M361)),G361+(L361+M361)/1440,""))</x:f>
      </x:c>
      <x:c r="O361" s="2" t="str">
        <x:f>IF(A361="","",IF(OR(N361="",F361=""),"Dados incompletos",IF(OR(I361="pendente",I361="confirmado"),IF(K361="",0,COUNTIFS($F$2:$F$501,F361,$G$2:$G$501,"&lt;"&amp;N361,$N$2:$N$501,"&gt;"&amp;G361,$I$2:$I$501,"pendente",$K$2:$K$501,K361)+COUNTIFS($F$2:$F$501,F361,$G$2:$G$501,"&lt;"&amp;N361,$N$2:$N$501,"&gt;"&amp;G361,$I$2:$I$501,"confirmado",$K$2:$K$501,K361)-1),0)))</x:f>
      </x:c>
      <x:c r="P361" s="2" t="str">
        <x:f>IF(A361="","",IF(OR(N361="",F361=""),"Dados incompletos",IF(OR(I361="pendente",I361="confirmado"),COUNTIFS($F$2:$F$501,F361,$G$2:$G$501,"&lt;"&amp;N361,$N$2:$N$501,"&gt;"&amp;G361,$I$2:$I$501,"pendente",$E$2:$E$501,E361)+COUNTIFS($F$2:$F$501,F361,$G$2:$G$501,"&lt;"&amp;N361,$N$2:$N$501,"&gt;"&amp;G361,$I$2:$I$501,"confirmado",$E$2:$E$501,E361)-1,0)))</x:f>
      </x:c>
    </x:row>
    <x:row r="362" ht="24" customHeight="1">
      <x:c r="A362" s="17"/>
      <x:c r="B362" s="16"/>
      <x:c r="C362" s="2"/>
      <x:c r="D362" s="17"/>
      <x:c r="E362" s="2"/>
      <x:c r="F362" s="10"/>
      <x:c r="G362" s="11"/>
      <x:c r="H362" s="2"/>
      <x:c r="I362" s="7"/>
      <x:c r="J362" s="2"/>
      <x:c r="K362" s="2"/>
      <x:c r="L362" s="2"/>
      <x:c r="M362" s="2"/>
      <x:c r="N362" s="11" t="str">
        <x:f>IF(A362="","",IF(AND(ISNUMBER(G362),ISNUMBER(L362),ISNUMBER(M362)),G362+(L362+M362)/1440,""))</x:f>
      </x:c>
      <x:c r="O362" s="2" t="str">
        <x:f>IF(A362="","",IF(OR(N362="",F362=""),"Dados incompletos",IF(OR(I362="pendente",I362="confirmado"),IF(K362="",0,COUNTIFS($F$2:$F$501,F362,$G$2:$G$501,"&lt;"&amp;N362,$N$2:$N$501,"&gt;"&amp;G362,$I$2:$I$501,"pendente",$K$2:$K$501,K362)+COUNTIFS($F$2:$F$501,F362,$G$2:$G$501,"&lt;"&amp;N362,$N$2:$N$501,"&gt;"&amp;G362,$I$2:$I$501,"confirmado",$K$2:$K$501,K362)-1),0)))</x:f>
      </x:c>
      <x:c r="P362" s="2" t="str">
        <x:f>IF(A362="","",IF(OR(N362="",F362=""),"Dados incompletos",IF(OR(I362="pendente",I362="confirmado"),COUNTIFS($F$2:$F$501,F362,$G$2:$G$501,"&lt;"&amp;N362,$N$2:$N$501,"&gt;"&amp;G362,$I$2:$I$501,"pendente",$E$2:$E$501,E362)+COUNTIFS($F$2:$F$501,F362,$G$2:$G$501,"&lt;"&amp;N362,$N$2:$N$501,"&gt;"&amp;G362,$I$2:$I$501,"confirmado",$E$2:$E$501,E362)-1,0)))</x:f>
      </x:c>
    </x:row>
    <x:row r="363" ht="24" customHeight="1">
      <x:c r="A363" s="17"/>
      <x:c r="B363" s="16"/>
      <x:c r="C363" s="2"/>
      <x:c r="D363" s="17"/>
      <x:c r="E363" s="2"/>
      <x:c r="F363" s="10"/>
      <x:c r="G363" s="11"/>
      <x:c r="H363" s="2"/>
      <x:c r="I363" s="7"/>
      <x:c r="J363" s="2"/>
      <x:c r="K363" s="2"/>
      <x:c r="L363" s="2"/>
      <x:c r="M363" s="2"/>
      <x:c r="N363" s="11" t="str">
        <x:f>IF(A363="","",IF(AND(ISNUMBER(G363),ISNUMBER(L363),ISNUMBER(M363)),G363+(L363+M363)/1440,""))</x:f>
      </x:c>
      <x:c r="O363" s="2" t="str">
        <x:f>IF(A363="","",IF(OR(N363="",F363=""),"Dados incompletos",IF(OR(I363="pendente",I363="confirmado"),IF(K363="",0,COUNTIFS($F$2:$F$501,F363,$G$2:$G$501,"&lt;"&amp;N363,$N$2:$N$501,"&gt;"&amp;G363,$I$2:$I$501,"pendente",$K$2:$K$501,K363)+COUNTIFS($F$2:$F$501,F363,$G$2:$G$501,"&lt;"&amp;N363,$N$2:$N$501,"&gt;"&amp;G363,$I$2:$I$501,"confirmado",$K$2:$K$501,K363)-1),0)))</x:f>
      </x:c>
      <x:c r="P363" s="2" t="str">
        <x:f>IF(A363="","",IF(OR(N363="",F363=""),"Dados incompletos",IF(OR(I363="pendente",I363="confirmado"),COUNTIFS($F$2:$F$501,F363,$G$2:$G$501,"&lt;"&amp;N363,$N$2:$N$501,"&gt;"&amp;G363,$I$2:$I$501,"pendente",$E$2:$E$501,E363)+COUNTIFS($F$2:$F$501,F363,$G$2:$G$501,"&lt;"&amp;N363,$N$2:$N$501,"&gt;"&amp;G363,$I$2:$I$501,"confirmado",$E$2:$E$501,E363)-1,0)))</x:f>
      </x:c>
    </x:row>
    <x:row r="364" ht="24" customHeight="1">
      <x:c r="A364" s="17"/>
      <x:c r="B364" s="16"/>
      <x:c r="C364" s="2"/>
      <x:c r="D364" s="17"/>
      <x:c r="E364" s="2"/>
      <x:c r="F364" s="10"/>
      <x:c r="G364" s="11"/>
      <x:c r="H364" s="2"/>
      <x:c r="I364" s="7"/>
      <x:c r="J364" s="2"/>
      <x:c r="K364" s="2"/>
      <x:c r="L364" s="2"/>
      <x:c r="M364" s="2"/>
      <x:c r="N364" s="11" t="str">
        <x:f>IF(A364="","",IF(AND(ISNUMBER(G364),ISNUMBER(L364),ISNUMBER(M364)),G364+(L364+M364)/1440,""))</x:f>
      </x:c>
      <x:c r="O364" s="2" t="str">
        <x:f>IF(A364="","",IF(OR(N364="",F364=""),"Dados incompletos",IF(OR(I364="pendente",I364="confirmado"),IF(K364="",0,COUNTIFS($F$2:$F$501,F364,$G$2:$G$501,"&lt;"&amp;N364,$N$2:$N$501,"&gt;"&amp;G364,$I$2:$I$501,"pendente",$K$2:$K$501,K364)+COUNTIFS($F$2:$F$501,F364,$G$2:$G$501,"&lt;"&amp;N364,$N$2:$N$501,"&gt;"&amp;G364,$I$2:$I$501,"confirmado",$K$2:$K$501,K364)-1),0)))</x:f>
      </x:c>
      <x:c r="P364" s="2" t="str">
        <x:f>IF(A364="","",IF(OR(N364="",F364=""),"Dados incompletos",IF(OR(I364="pendente",I364="confirmado"),COUNTIFS($F$2:$F$501,F364,$G$2:$G$501,"&lt;"&amp;N364,$N$2:$N$501,"&gt;"&amp;G364,$I$2:$I$501,"pendente",$E$2:$E$501,E364)+COUNTIFS($F$2:$F$501,F364,$G$2:$G$501,"&lt;"&amp;N364,$N$2:$N$501,"&gt;"&amp;G364,$I$2:$I$501,"confirmado",$E$2:$E$501,E364)-1,0)))</x:f>
      </x:c>
    </x:row>
    <x:row r="365" ht="24" customHeight="1">
      <x:c r="A365" s="17"/>
      <x:c r="B365" s="16"/>
      <x:c r="C365" s="2"/>
      <x:c r="D365" s="17"/>
      <x:c r="E365" s="2"/>
      <x:c r="F365" s="10"/>
      <x:c r="G365" s="11"/>
      <x:c r="H365" s="2"/>
      <x:c r="I365" s="7"/>
      <x:c r="J365" s="2"/>
      <x:c r="K365" s="2"/>
      <x:c r="L365" s="2"/>
      <x:c r="M365" s="2"/>
      <x:c r="N365" s="11" t="str">
        <x:f>IF(A365="","",IF(AND(ISNUMBER(G365),ISNUMBER(L365),ISNUMBER(M365)),G365+(L365+M365)/1440,""))</x:f>
      </x:c>
      <x:c r="O365" s="2" t="str">
        <x:f>IF(A365="","",IF(OR(N365="",F365=""),"Dados incompletos",IF(OR(I365="pendente",I365="confirmado"),IF(K365="",0,COUNTIFS($F$2:$F$501,F365,$G$2:$G$501,"&lt;"&amp;N365,$N$2:$N$501,"&gt;"&amp;G365,$I$2:$I$501,"pendente",$K$2:$K$501,K365)+COUNTIFS($F$2:$F$501,F365,$G$2:$G$501,"&lt;"&amp;N365,$N$2:$N$501,"&gt;"&amp;G365,$I$2:$I$501,"confirmado",$K$2:$K$501,K365)-1),0)))</x:f>
      </x:c>
      <x:c r="P365" s="2" t="str">
        <x:f>IF(A365="","",IF(OR(N365="",F365=""),"Dados incompletos",IF(OR(I365="pendente",I365="confirmado"),COUNTIFS($F$2:$F$501,F365,$G$2:$G$501,"&lt;"&amp;N365,$N$2:$N$501,"&gt;"&amp;G365,$I$2:$I$501,"pendente",$E$2:$E$501,E365)+COUNTIFS($F$2:$F$501,F365,$G$2:$G$501,"&lt;"&amp;N365,$N$2:$N$501,"&gt;"&amp;G365,$I$2:$I$501,"confirmado",$E$2:$E$501,E365)-1,0)))</x:f>
      </x:c>
    </x:row>
    <x:row r="366" ht="24" customHeight="1">
      <x:c r="A366" s="17"/>
      <x:c r="B366" s="16"/>
      <x:c r="C366" s="2"/>
      <x:c r="D366" s="17"/>
      <x:c r="E366" s="2"/>
      <x:c r="F366" s="10"/>
      <x:c r="G366" s="11"/>
      <x:c r="H366" s="2"/>
      <x:c r="I366" s="7"/>
      <x:c r="J366" s="2"/>
      <x:c r="K366" s="2"/>
      <x:c r="L366" s="2"/>
      <x:c r="M366" s="2"/>
      <x:c r="N366" s="11" t="str">
        <x:f>IF(A366="","",IF(AND(ISNUMBER(G366),ISNUMBER(L366),ISNUMBER(M366)),G366+(L366+M366)/1440,""))</x:f>
      </x:c>
      <x:c r="O366" s="2" t="str">
        <x:f>IF(A366="","",IF(OR(N366="",F366=""),"Dados incompletos",IF(OR(I366="pendente",I366="confirmado"),IF(K366="",0,COUNTIFS($F$2:$F$501,F366,$G$2:$G$501,"&lt;"&amp;N366,$N$2:$N$501,"&gt;"&amp;G366,$I$2:$I$501,"pendente",$K$2:$K$501,K366)+COUNTIFS($F$2:$F$501,F366,$G$2:$G$501,"&lt;"&amp;N366,$N$2:$N$501,"&gt;"&amp;G366,$I$2:$I$501,"confirmado",$K$2:$K$501,K366)-1),0)))</x:f>
      </x:c>
      <x:c r="P366" s="2" t="str">
        <x:f>IF(A366="","",IF(OR(N366="",F366=""),"Dados incompletos",IF(OR(I366="pendente",I366="confirmado"),COUNTIFS($F$2:$F$501,F366,$G$2:$G$501,"&lt;"&amp;N366,$N$2:$N$501,"&gt;"&amp;G366,$I$2:$I$501,"pendente",$E$2:$E$501,E366)+COUNTIFS($F$2:$F$501,F366,$G$2:$G$501,"&lt;"&amp;N366,$N$2:$N$501,"&gt;"&amp;G366,$I$2:$I$501,"confirmado",$E$2:$E$501,E366)-1,0)))</x:f>
      </x:c>
    </x:row>
    <x:row r="367" ht="24" customHeight="1">
      <x:c r="A367" s="17"/>
      <x:c r="B367" s="16"/>
      <x:c r="C367" s="2"/>
      <x:c r="D367" s="17"/>
      <x:c r="E367" s="2"/>
      <x:c r="F367" s="10"/>
      <x:c r="G367" s="11"/>
      <x:c r="H367" s="2"/>
      <x:c r="I367" s="7"/>
      <x:c r="J367" s="2"/>
      <x:c r="K367" s="2"/>
      <x:c r="L367" s="2"/>
      <x:c r="M367" s="2"/>
      <x:c r="N367" s="11" t="str">
        <x:f>IF(A367="","",IF(AND(ISNUMBER(G367),ISNUMBER(L367),ISNUMBER(M367)),G367+(L367+M367)/1440,""))</x:f>
      </x:c>
      <x:c r="O367" s="2" t="str">
        <x:f>IF(A367="","",IF(OR(N367="",F367=""),"Dados incompletos",IF(OR(I367="pendente",I367="confirmado"),IF(K367="",0,COUNTIFS($F$2:$F$501,F367,$G$2:$G$501,"&lt;"&amp;N367,$N$2:$N$501,"&gt;"&amp;G367,$I$2:$I$501,"pendente",$K$2:$K$501,K367)+COUNTIFS($F$2:$F$501,F367,$G$2:$G$501,"&lt;"&amp;N367,$N$2:$N$501,"&gt;"&amp;G367,$I$2:$I$501,"confirmado",$K$2:$K$501,K367)-1),0)))</x:f>
      </x:c>
      <x:c r="P367" s="2" t="str">
        <x:f>IF(A367="","",IF(OR(N367="",F367=""),"Dados incompletos",IF(OR(I367="pendente",I367="confirmado"),COUNTIFS($F$2:$F$501,F367,$G$2:$G$501,"&lt;"&amp;N367,$N$2:$N$501,"&gt;"&amp;G367,$I$2:$I$501,"pendente",$E$2:$E$501,E367)+COUNTIFS($F$2:$F$501,F367,$G$2:$G$501,"&lt;"&amp;N367,$N$2:$N$501,"&gt;"&amp;G367,$I$2:$I$501,"confirmado",$E$2:$E$501,E367)-1,0)))</x:f>
      </x:c>
    </x:row>
    <x:row r="368" ht="24" customHeight="1">
      <x:c r="A368" s="17"/>
      <x:c r="B368" s="16"/>
      <x:c r="C368" s="2"/>
      <x:c r="D368" s="17"/>
      <x:c r="E368" s="2"/>
      <x:c r="F368" s="10"/>
      <x:c r="G368" s="11"/>
      <x:c r="H368" s="2"/>
      <x:c r="I368" s="7"/>
      <x:c r="J368" s="2"/>
      <x:c r="K368" s="2"/>
      <x:c r="L368" s="2"/>
      <x:c r="M368" s="2"/>
      <x:c r="N368" s="11" t="str">
        <x:f>IF(A368="","",IF(AND(ISNUMBER(G368),ISNUMBER(L368),ISNUMBER(M368)),G368+(L368+M368)/1440,""))</x:f>
      </x:c>
      <x:c r="O368" s="2" t="str">
        <x:f>IF(A368="","",IF(OR(N368="",F368=""),"Dados incompletos",IF(OR(I368="pendente",I368="confirmado"),IF(K368="",0,COUNTIFS($F$2:$F$501,F368,$G$2:$G$501,"&lt;"&amp;N368,$N$2:$N$501,"&gt;"&amp;G368,$I$2:$I$501,"pendente",$K$2:$K$501,K368)+COUNTIFS($F$2:$F$501,F368,$G$2:$G$501,"&lt;"&amp;N368,$N$2:$N$501,"&gt;"&amp;G368,$I$2:$I$501,"confirmado",$K$2:$K$501,K368)-1),0)))</x:f>
      </x:c>
      <x:c r="P368" s="2" t="str">
        <x:f>IF(A368="","",IF(OR(N368="",F368=""),"Dados incompletos",IF(OR(I368="pendente",I368="confirmado"),COUNTIFS($F$2:$F$501,F368,$G$2:$G$501,"&lt;"&amp;N368,$N$2:$N$501,"&gt;"&amp;G368,$I$2:$I$501,"pendente",$E$2:$E$501,E368)+COUNTIFS($F$2:$F$501,F368,$G$2:$G$501,"&lt;"&amp;N368,$N$2:$N$501,"&gt;"&amp;G368,$I$2:$I$501,"confirmado",$E$2:$E$501,E368)-1,0)))</x:f>
      </x:c>
    </x:row>
    <x:row r="369" ht="24" customHeight="1">
      <x:c r="A369" s="17"/>
      <x:c r="B369" s="16"/>
      <x:c r="C369" s="2"/>
      <x:c r="D369" s="17"/>
      <x:c r="E369" s="2"/>
      <x:c r="F369" s="10"/>
      <x:c r="G369" s="11"/>
      <x:c r="H369" s="2"/>
      <x:c r="I369" s="7"/>
      <x:c r="J369" s="2"/>
      <x:c r="K369" s="2"/>
      <x:c r="L369" s="2"/>
      <x:c r="M369" s="2"/>
      <x:c r="N369" s="11" t="str">
        <x:f>IF(A369="","",IF(AND(ISNUMBER(G369),ISNUMBER(L369),ISNUMBER(M369)),G369+(L369+M369)/1440,""))</x:f>
      </x:c>
      <x:c r="O369" s="2" t="str">
        <x:f>IF(A369="","",IF(OR(N369="",F369=""),"Dados incompletos",IF(OR(I369="pendente",I369="confirmado"),IF(K369="",0,COUNTIFS($F$2:$F$501,F369,$G$2:$G$501,"&lt;"&amp;N369,$N$2:$N$501,"&gt;"&amp;G369,$I$2:$I$501,"pendente",$K$2:$K$501,K369)+COUNTIFS($F$2:$F$501,F369,$G$2:$G$501,"&lt;"&amp;N369,$N$2:$N$501,"&gt;"&amp;G369,$I$2:$I$501,"confirmado",$K$2:$K$501,K369)-1),0)))</x:f>
      </x:c>
      <x:c r="P369" s="2" t="str">
        <x:f>IF(A369="","",IF(OR(N369="",F369=""),"Dados incompletos",IF(OR(I369="pendente",I369="confirmado"),COUNTIFS($F$2:$F$501,F369,$G$2:$G$501,"&lt;"&amp;N369,$N$2:$N$501,"&gt;"&amp;G369,$I$2:$I$501,"pendente",$E$2:$E$501,E369)+COUNTIFS($F$2:$F$501,F369,$G$2:$G$501,"&lt;"&amp;N369,$N$2:$N$501,"&gt;"&amp;G369,$I$2:$I$501,"confirmado",$E$2:$E$501,E369)-1,0)))</x:f>
      </x:c>
    </x:row>
    <x:row r="370" ht="24" customHeight="1">
      <x:c r="A370" s="17"/>
      <x:c r="B370" s="16"/>
      <x:c r="C370" s="2"/>
      <x:c r="D370" s="17"/>
      <x:c r="E370" s="2"/>
      <x:c r="F370" s="10"/>
      <x:c r="G370" s="11"/>
      <x:c r="H370" s="2"/>
      <x:c r="I370" s="7"/>
      <x:c r="J370" s="2"/>
      <x:c r="K370" s="2"/>
      <x:c r="L370" s="2"/>
      <x:c r="M370" s="2"/>
      <x:c r="N370" s="11" t="str">
        <x:f>IF(A370="","",IF(AND(ISNUMBER(G370),ISNUMBER(L370),ISNUMBER(M370)),G370+(L370+M370)/1440,""))</x:f>
      </x:c>
      <x:c r="O370" s="2" t="str">
        <x:f>IF(A370="","",IF(OR(N370="",F370=""),"Dados incompletos",IF(OR(I370="pendente",I370="confirmado"),IF(K370="",0,COUNTIFS($F$2:$F$501,F370,$G$2:$G$501,"&lt;"&amp;N370,$N$2:$N$501,"&gt;"&amp;G370,$I$2:$I$501,"pendente",$K$2:$K$501,K370)+COUNTIFS($F$2:$F$501,F370,$G$2:$G$501,"&lt;"&amp;N370,$N$2:$N$501,"&gt;"&amp;G370,$I$2:$I$501,"confirmado",$K$2:$K$501,K370)-1),0)))</x:f>
      </x:c>
      <x:c r="P370" s="2" t="str">
        <x:f>IF(A370="","",IF(OR(N370="",F370=""),"Dados incompletos",IF(OR(I370="pendente",I370="confirmado"),COUNTIFS($F$2:$F$501,F370,$G$2:$G$501,"&lt;"&amp;N370,$N$2:$N$501,"&gt;"&amp;G370,$I$2:$I$501,"pendente",$E$2:$E$501,E370)+COUNTIFS($F$2:$F$501,F370,$G$2:$G$501,"&lt;"&amp;N370,$N$2:$N$501,"&gt;"&amp;G370,$I$2:$I$501,"confirmado",$E$2:$E$501,E370)-1,0)))</x:f>
      </x:c>
    </x:row>
    <x:row r="371" ht="24" customHeight="1">
      <x:c r="A371" s="17"/>
      <x:c r="B371" s="16"/>
      <x:c r="C371" s="2"/>
      <x:c r="D371" s="17"/>
      <x:c r="E371" s="2"/>
      <x:c r="F371" s="10"/>
      <x:c r="G371" s="11"/>
      <x:c r="H371" s="2"/>
      <x:c r="I371" s="7"/>
      <x:c r="J371" s="2"/>
      <x:c r="K371" s="2"/>
      <x:c r="L371" s="2"/>
      <x:c r="M371" s="2"/>
      <x:c r="N371" s="11" t="str">
        <x:f>IF(A371="","",IF(AND(ISNUMBER(G371),ISNUMBER(L371),ISNUMBER(M371)),G371+(L371+M371)/1440,""))</x:f>
      </x:c>
      <x:c r="O371" s="2" t="str">
        <x:f>IF(A371="","",IF(OR(N371="",F371=""),"Dados incompletos",IF(OR(I371="pendente",I371="confirmado"),IF(K371="",0,COUNTIFS($F$2:$F$501,F371,$G$2:$G$501,"&lt;"&amp;N371,$N$2:$N$501,"&gt;"&amp;G371,$I$2:$I$501,"pendente",$K$2:$K$501,K371)+COUNTIFS($F$2:$F$501,F371,$G$2:$G$501,"&lt;"&amp;N371,$N$2:$N$501,"&gt;"&amp;G371,$I$2:$I$501,"confirmado",$K$2:$K$501,K371)-1),0)))</x:f>
      </x:c>
      <x:c r="P371" s="2" t="str">
        <x:f>IF(A371="","",IF(OR(N371="",F371=""),"Dados incompletos",IF(OR(I371="pendente",I371="confirmado"),COUNTIFS($F$2:$F$501,F371,$G$2:$G$501,"&lt;"&amp;N371,$N$2:$N$501,"&gt;"&amp;G371,$I$2:$I$501,"pendente",$E$2:$E$501,E371)+COUNTIFS($F$2:$F$501,F371,$G$2:$G$501,"&lt;"&amp;N371,$N$2:$N$501,"&gt;"&amp;G371,$I$2:$I$501,"confirmado",$E$2:$E$501,E371)-1,0)))</x:f>
      </x:c>
    </x:row>
    <x:row r="372" ht="24" customHeight="1">
      <x:c r="A372" s="17"/>
      <x:c r="B372" s="16"/>
      <x:c r="C372" s="2"/>
      <x:c r="D372" s="17"/>
      <x:c r="E372" s="2"/>
      <x:c r="F372" s="10"/>
      <x:c r="G372" s="11"/>
      <x:c r="H372" s="2"/>
      <x:c r="I372" s="7"/>
      <x:c r="J372" s="2"/>
      <x:c r="K372" s="2"/>
      <x:c r="L372" s="2"/>
      <x:c r="M372" s="2"/>
      <x:c r="N372" s="11" t="str">
        <x:f>IF(A372="","",IF(AND(ISNUMBER(G372),ISNUMBER(L372),ISNUMBER(M372)),G372+(L372+M372)/1440,""))</x:f>
      </x:c>
      <x:c r="O372" s="2" t="str">
        <x:f>IF(A372="","",IF(OR(N372="",F372=""),"Dados incompletos",IF(OR(I372="pendente",I372="confirmado"),IF(K372="",0,COUNTIFS($F$2:$F$501,F372,$G$2:$G$501,"&lt;"&amp;N372,$N$2:$N$501,"&gt;"&amp;G372,$I$2:$I$501,"pendente",$K$2:$K$501,K372)+COUNTIFS($F$2:$F$501,F372,$G$2:$G$501,"&lt;"&amp;N372,$N$2:$N$501,"&gt;"&amp;G372,$I$2:$I$501,"confirmado",$K$2:$K$501,K372)-1),0)))</x:f>
      </x:c>
      <x:c r="P372" s="2" t="str">
        <x:f>IF(A372="","",IF(OR(N372="",F372=""),"Dados incompletos",IF(OR(I372="pendente",I372="confirmado"),COUNTIFS($F$2:$F$501,F372,$G$2:$G$501,"&lt;"&amp;N372,$N$2:$N$501,"&gt;"&amp;G372,$I$2:$I$501,"pendente",$E$2:$E$501,E372)+COUNTIFS($F$2:$F$501,F372,$G$2:$G$501,"&lt;"&amp;N372,$N$2:$N$501,"&gt;"&amp;G372,$I$2:$I$501,"confirmado",$E$2:$E$501,E372)-1,0)))</x:f>
      </x:c>
    </x:row>
    <x:row r="373" ht="24" customHeight="1">
      <x:c r="A373" s="17"/>
      <x:c r="B373" s="16"/>
      <x:c r="C373" s="2"/>
      <x:c r="D373" s="17"/>
      <x:c r="E373" s="2"/>
      <x:c r="F373" s="10"/>
      <x:c r="G373" s="11"/>
      <x:c r="H373" s="2"/>
      <x:c r="I373" s="7"/>
      <x:c r="J373" s="2"/>
      <x:c r="K373" s="2"/>
      <x:c r="L373" s="2"/>
      <x:c r="M373" s="2"/>
      <x:c r="N373" s="11" t="str">
        <x:f>IF(A373="","",IF(AND(ISNUMBER(G373),ISNUMBER(L373),ISNUMBER(M373)),G373+(L373+M373)/1440,""))</x:f>
      </x:c>
      <x:c r="O373" s="2" t="str">
        <x:f>IF(A373="","",IF(OR(N373="",F373=""),"Dados incompletos",IF(OR(I373="pendente",I373="confirmado"),IF(K373="",0,COUNTIFS($F$2:$F$501,F373,$G$2:$G$501,"&lt;"&amp;N373,$N$2:$N$501,"&gt;"&amp;G373,$I$2:$I$501,"pendente",$K$2:$K$501,K373)+COUNTIFS($F$2:$F$501,F373,$G$2:$G$501,"&lt;"&amp;N373,$N$2:$N$501,"&gt;"&amp;G373,$I$2:$I$501,"confirmado",$K$2:$K$501,K373)-1),0)))</x:f>
      </x:c>
      <x:c r="P373" s="2" t="str">
        <x:f>IF(A373="","",IF(OR(N373="",F373=""),"Dados incompletos",IF(OR(I373="pendente",I373="confirmado"),COUNTIFS($F$2:$F$501,F373,$G$2:$G$501,"&lt;"&amp;N373,$N$2:$N$501,"&gt;"&amp;G373,$I$2:$I$501,"pendente",$E$2:$E$501,E373)+COUNTIFS($F$2:$F$501,F373,$G$2:$G$501,"&lt;"&amp;N373,$N$2:$N$501,"&gt;"&amp;G373,$I$2:$I$501,"confirmado",$E$2:$E$501,E373)-1,0)))</x:f>
      </x:c>
    </x:row>
    <x:row r="374" ht="24" customHeight="1">
      <x:c r="A374" s="17"/>
      <x:c r="B374" s="16"/>
      <x:c r="C374" s="2"/>
      <x:c r="D374" s="17"/>
      <x:c r="E374" s="2"/>
      <x:c r="F374" s="10"/>
      <x:c r="G374" s="11"/>
      <x:c r="H374" s="2"/>
      <x:c r="I374" s="7"/>
      <x:c r="J374" s="2"/>
      <x:c r="K374" s="2"/>
      <x:c r="L374" s="2"/>
      <x:c r="M374" s="2"/>
      <x:c r="N374" s="11" t="str">
        <x:f>IF(A374="","",IF(AND(ISNUMBER(G374),ISNUMBER(L374),ISNUMBER(M374)),G374+(L374+M374)/1440,""))</x:f>
      </x:c>
      <x:c r="O374" s="2" t="str">
        <x:f>IF(A374="","",IF(OR(N374="",F374=""),"Dados incompletos",IF(OR(I374="pendente",I374="confirmado"),IF(K374="",0,COUNTIFS($F$2:$F$501,F374,$G$2:$G$501,"&lt;"&amp;N374,$N$2:$N$501,"&gt;"&amp;G374,$I$2:$I$501,"pendente",$K$2:$K$501,K374)+COUNTIFS($F$2:$F$501,F374,$G$2:$G$501,"&lt;"&amp;N374,$N$2:$N$501,"&gt;"&amp;G374,$I$2:$I$501,"confirmado",$K$2:$K$501,K374)-1),0)))</x:f>
      </x:c>
      <x:c r="P374" s="2" t="str">
        <x:f>IF(A374="","",IF(OR(N374="",F374=""),"Dados incompletos",IF(OR(I374="pendente",I374="confirmado"),COUNTIFS($F$2:$F$501,F374,$G$2:$G$501,"&lt;"&amp;N374,$N$2:$N$501,"&gt;"&amp;G374,$I$2:$I$501,"pendente",$E$2:$E$501,E374)+COUNTIFS($F$2:$F$501,F374,$G$2:$G$501,"&lt;"&amp;N374,$N$2:$N$501,"&gt;"&amp;G374,$I$2:$I$501,"confirmado",$E$2:$E$501,E374)-1,0)))</x:f>
      </x:c>
    </x:row>
    <x:row r="375" ht="24" customHeight="1">
      <x:c r="A375" s="17"/>
      <x:c r="B375" s="16"/>
      <x:c r="C375" s="2"/>
      <x:c r="D375" s="17"/>
      <x:c r="E375" s="2"/>
      <x:c r="F375" s="10"/>
      <x:c r="G375" s="11"/>
      <x:c r="H375" s="2"/>
      <x:c r="I375" s="7"/>
      <x:c r="J375" s="2"/>
      <x:c r="K375" s="2"/>
      <x:c r="L375" s="2"/>
      <x:c r="M375" s="2"/>
      <x:c r="N375" s="11" t="str">
        <x:f>IF(A375="","",IF(AND(ISNUMBER(G375),ISNUMBER(L375),ISNUMBER(M375)),G375+(L375+M375)/1440,""))</x:f>
      </x:c>
      <x:c r="O375" s="2" t="str">
        <x:f>IF(A375="","",IF(OR(N375="",F375=""),"Dados incompletos",IF(OR(I375="pendente",I375="confirmado"),IF(K375="",0,COUNTIFS($F$2:$F$501,F375,$G$2:$G$501,"&lt;"&amp;N375,$N$2:$N$501,"&gt;"&amp;G375,$I$2:$I$501,"pendente",$K$2:$K$501,K375)+COUNTIFS($F$2:$F$501,F375,$G$2:$G$501,"&lt;"&amp;N375,$N$2:$N$501,"&gt;"&amp;G375,$I$2:$I$501,"confirmado",$K$2:$K$501,K375)-1),0)))</x:f>
      </x:c>
      <x:c r="P375" s="2" t="str">
        <x:f>IF(A375="","",IF(OR(N375="",F375=""),"Dados incompletos",IF(OR(I375="pendente",I375="confirmado"),COUNTIFS($F$2:$F$501,F375,$G$2:$G$501,"&lt;"&amp;N375,$N$2:$N$501,"&gt;"&amp;G375,$I$2:$I$501,"pendente",$E$2:$E$501,E375)+COUNTIFS($F$2:$F$501,F375,$G$2:$G$501,"&lt;"&amp;N375,$N$2:$N$501,"&gt;"&amp;G375,$I$2:$I$501,"confirmado",$E$2:$E$501,E375)-1,0)))</x:f>
      </x:c>
    </x:row>
    <x:row r="376" ht="24" customHeight="1">
      <x:c r="A376" s="17"/>
      <x:c r="B376" s="16"/>
      <x:c r="C376" s="2"/>
      <x:c r="D376" s="17"/>
      <x:c r="E376" s="2"/>
      <x:c r="F376" s="10"/>
      <x:c r="G376" s="11"/>
      <x:c r="H376" s="2"/>
      <x:c r="I376" s="7"/>
      <x:c r="J376" s="2"/>
      <x:c r="K376" s="2"/>
      <x:c r="L376" s="2"/>
      <x:c r="M376" s="2"/>
      <x:c r="N376" s="11" t="str">
        <x:f>IF(A376="","",IF(AND(ISNUMBER(G376),ISNUMBER(L376),ISNUMBER(M376)),G376+(L376+M376)/1440,""))</x:f>
      </x:c>
      <x:c r="O376" s="2" t="str">
        <x:f>IF(A376="","",IF(OR(N376="",F376=""),"Dados incompletos",IF(OR(I376="pendente",I376="confirmado"),IF(K376="",0,COUNTIFS($F$2:$F$501,F376,$G$2:$G$501,"&lt;"&amp;N376,$N$2:$N$501,"&gt;"&amp;G376,$I$2:$I$501,"pendente",$K$2:$K$501,K376)+COUNTIFS($F$2:$F$501,F376,$G$2:$G$501,"&lt;"&amp;N376,$N$2:$N$501,"&gt;"&amp;G376,$I$2:$I$501,"confirmado",$K$2:$K$501,K376)-1),0)))</x:f>
      </x:c>
      <x:c r="P376" s="2" t="str">
        <x:f>IF(A376="","",IF(OR(N376="",F376=""),"Dados incompletos",IF(OR(I376="pendente",I376="confirmado"),COUNTIFS($F$2:$F$501,F376,$G$2:$G$501,"&lt;"&amp;N376,$N$2:$N$501,"&gt;"&amp;G376,$I$2:$I$501,"pendente",$E$2:$E$501,E376)+COUNTIFS($F$2:$F$501,F376,$G$2:$G$501,"&lt;"&amp;N376,$N$2:$N$501,"&gt;"&amp;G376,$I$2:$I$501,"confirmado",$E$2:$E$501,E376)-1,0)))</x:f>
      </x:c>
    </x:row>
    <x:row r="377" ht="24" customHeight="1">
      <x:c r="A377" s="17"/>
      <x:c r="B377" s="16"/>
      <x:c r="C377" s="2"/>
      <x:c r="D377" s="17"/>
      <x:c r="E377" s="2"/>
      <x:c r="F377" s="10"/>
      <x:c r="G377" s="11"/>
      <x:c r="H377" s="2"/>
      <x:c r="I377" s="7"/>
      <x:c r="J377" s="2"/>
      <x:c r="K377" s="2"/>
      <x:c r="L377" s="2"/>
      <x:c r="M377" s="2"/>
      <x:c r="N377" s="11" t="str">
        <x:f>IF(A377="","",IF(AND(ISNUMBER(G377),ISNUMBER(L377),ISNUMBER(M377)),G377+(L377+M377)/1440,""))</x:f>
      </x:c>
      <x:c r="O377" s="2" t="str">
        <x:f>IF(A377="","",IF(OR(N377="",F377=""),"Dados incompletos",IF(OR(I377="pendente",I377="confirmado"),IF(K377="",0,COUNTIFS($F$2:$F$501,F377,$G$2:$G$501,"&lt;"&amp;N377,$N$2:$N$501,"&gt;"&amp;G377,$I$2:$I$501,"pendente",$K$2:$K$501,K377)+COUNTIFS($F$2:$F$501,F377,$G$2:$G$501,"&lt;"&amp;N377,$N$2:$N$501,"&gt;"&amp;G377,$I$2:$I$501,"confirmado",$K$2:$K$501,K377)-1),0)))</x:f>
      </x:c>
      <x:c r="P377" s="2" t="str">
        <x:f>IF(A377="","",IF(OR(N377="",F377=""),"Dados incompletos",IF(OR(I377="pendente",I377="confirmado"),COUNTIFS($F$2:$F$501,F377,$G$2:$G$501,"&lt;"&amp;N377,$N$2:$N$501,"&gt;"&amp;G377,$I$2:$I$501,"pendente",$E$2:$E$501,E377)+COUNTIFS($F$2:$F$501,F377,$G$2:$G$501,"&lt;"&amp;N377,$N$2:$N$501,"&gt;"&amp;G377,$I$2:$I$501,"confirmado",$E$2:$E$501,E377)-1,0)))</x:f>
      </x:c>
    </x:row>
    <x:row r="378" ht="24" customHeight="1">
      <x:c r="A378" s="17"/>
      <x:c r="B378" s="16"/>
      <x:c r="C378" s="2"/>
      <x:c r="D378" s="17"/>
      <x:c r="E378" s="2"/>
      <x:c r="F378" s="10"/>
      <x:c r="G378" s="11"/>
      <x:c r="H378" s="2"/>
      <x:c r="I378" s="7"/>
      <x:c r="J378" s="2"/>
      <x:c r="K378" s="2"/>
      <x:c r="L378" s="2"/>
      <x:c r="M378" s="2"/>
      <x:c r="N378" s="11" t="str">
        <x:f>IF(A378="","",IF(AND(ISNUMBER(G378),ISNUMBER(L378),ISNUMBER(M378)),G378+(L378+M378)/1440,""))</x:f>
      </x:c>
      <x:c r="O378" s="2" t="str">
        <x:f>IF(A378="","",IF(OR(N378="",F378=""),"Dados incompletos",IF(OR(I378="pendente",I378="confirmado"),IF(K378="",0,COUNTIFS($F$2:$F$501,F378,$G$2:$G$501,"&lt;"&amp;N378,$N$2:$N$501,"&gt;"&amp;G378,$I$2:$I$501,"pendente",$K$2:$K$501,K378)+COUNTIFS($F$2:$F$501,F378,$G$2:$G$501,"&lt;"&amp;N378,$N$2:$N$501,"&gt;"&amp;G378,$I$2:$I$501,"confirmado",$K$2:$K$501,K378)-1),0)))</x:f>
      </x:c>
      <x:c r="P378" s="2" t="str">
        <x:f>IF(A378="","",IF(OR(N378="",F378=""),"Dados incompletos",IF(OR(I378="pendente",I378="confirmado"),COUNTIFS($F$2:$F$501,F378,$G$2:$G$501,"&lt;"&amp;N378,$N$2:$N$501,"&gt;"&amp;G378,$I$2:$I$501,"pendente",$E$2:$E$501,E378)+COUNTIFS($F$2:$F$501,F378,$G$2:$G$501,"&lt;"&amp;N378,$N$2:$N$501,"&gt;"&amp;G378,$I$2:$I$501,"confirmado",$E$2:$E$501,E378)-1,0)))</x:f>
      </x:c>
    </x:row>
    <x:row r="379" ht="24" customHeight="1">
      <x:c r="A379" s="17"/>
      <x:c r="B379" s="16"/>
      <x:c r="C379" s="2"/>
      <x:c r="D379" s="17"/>
      <x:c r="E379" s="2"/>
      <x:c r="F379" s="10"/>
      <x:c r="G379" s="11"/>
      <x:c r="H379" s="2"/>
      <x:c r="I379" s="7"/>
      <x:c r="J379" s="2"/>
      <x:c r="K379" s="2"/>
      <x:c r="L379" s="2"/>
      <x:c r="M379" s="2"/>
      <x:c r="N379" s="11" t="str">
        <x:f>IF(A379="","",IF(AND(ISNUMBER(G379),ISNUMBER(L379),ISNUMBER(M379)),G379+(L379+M379)/1440,""))</x:f>
      </x:c>
      <x:c r="O379" s="2" t="str">
        <x:f>IF(A379="","",IF(OR(N379="",F379=""),"Dados incompletos",IF(OR(I379="pendente",I379="confirmado"),IF(K379="",0,COUNTIFS($F$2:$F$501,F379,$G$2:$G$501,"&lt;"&amp;N379,$N$2:$N$501,"&gt;"&amp;G379,$I$2:$I$501,"pendente",$K$2:$K$501,K379)+COUNTIFS($F$2:$F$501,F379,$G$2:$G$501,"&lt;"&amp;N379,$N$2:$N$501,"&gt;"&amp;G379,$I$2:$I$501,"confirmado",$K$2:$K$501,K379)-1),0)))</x:f>
      </x:c>
      <x:c r="P379" s="2" t="str">
        <x:f>IF(A379="","",IF(OR(N379="",F379=""),"Dados incompletos",IF(OR(I379="pendente",I379="confirmado"),COUNTIFS($F$2:$F$501,F379,$G$2:$G$501,"&lt;"&amp;N379,$N$2:$N$501,"&gt;"&amp;G379,$I$2:$I$501,"pendente",$E$2:$E$501,E379)+COUNTIFS($F$2:$F$501,F379,$G$2:$G$501,"&lt;"&amp;N379,$N$2:$N$501,"&gt;"&amp;G379,$I$2:$I$501,"confirmado",$E$2:$E$501,E379)-1,0)))</x:f>
      </x:c>
    </x:row>
    <x:row r="380" ht="24" customHeight="1">
      <x:c r="A380" s="17"/>
      <x:c r="B380" s="16"/>
      <x:c r="C380" s="2"/>
      <x:c r="D380" s="17"/>
      <x:c r="E380" s="2"/>
      <x:c r="F380" s="10"/>
      <x:c r="G380" s="11"/>
      <x:c r="H380" s="2"/>
      <x:c r="I380" s="7"/>
      <x:c r="J380" s="2"/>
      <x:c r="K380" s="2"/>
      <x:c r="L380" s="2"/>
      <x:c r="M380" s="2"/>
      <x:c r="N380" s="11" t="str">
        <x:f>IF(A380="","",IF(AND(ISNUMBER(G380),ISNUMBER(L380),ISNUMBER(M380)),G380+(L380+M380)/1440,""))</x:f>
      </x:c>
      <x:c r="O380" s="2" t="str">
        <x:f>IF(A380="","",IF(OR(N380="",F380=""),"Dados incompletos",IF(OR(I380="pendente",I380="confirmado"),IF(K380="",0,COUNTIFS($F$2:$F$501,F380,$G$2:$G$501,"&lt;"&amp;N380,$N$2:$N$501,"&gt;"&amp;G380,$I$2:$I$501,"pendente",$K$2:$K$501,K380)+COUNTIFS($F$2:$F$501,F380,$G$2:$G$501,"&lt;"&amp;N380,$N$2:$N$501,"&gt;"&amp;G380,$I$2:$I$501,"confirmado",$K$2:$K$501,K380)-1),0)))</x:f>
      </x:c>
      <x:c r="P380" s="2" t="str">
        <x:f>IF(A380="","",IF(OR(N380="",F380=""),"Dados incompletos",IF(OR(I380="pendente",I380="confirmado"),COUNTIFS($F$2:$F$501,F380,$G$2:$G$501,"&lt;"&amp;N380,$N$2:$N$501,"&gt;"&amp;G380,$I$2:$I$501,"pendente",$E$2:$E$501,E380)+COUNTIFS($F$2:$F$501,F380,$G$2:$G$501,"&lt;"&amp;N380,$N$2:$N$501,"&gt;"&amp;G380,$I$2:$I$501,"confirmado",$E$2:$E$501,E380)-1,0)))</x:f>
      </x:c>
    </x:row>
    <x:row r="381" ht="24" customHeight="1">
      <x:c r="A381" s="17"/>
      <x:c r="B381" s="16"/>
      <x:c r="C381" s="2"/>
      <x:c r="D381" s="17"/>
      <x:c r="E381" s="2"/>
      <x:c r="F381" s="10"/>
      <x:c r="G381" s="11"/>
      <x:c r="H381" s="2"/>
      <x:c r="I381" s="7"/>
      <x:c r="J381" s="2"/>
      <x:c r="K381" s="2"/>
      <x:c r="L381" s="2"/>
      <x:c r="M381" s="2"/>
      <x:c r="N381" s="11" t="str">
        <x:f>IF(A381="","",IF(AND(ISNUMBER(G381),ISNUMBER(L381),ISNUMBER(M381)),G381+(L381+M381)/1440,""))</x:f>
      </x:c>
      <x:c r="O381" s="2" t="str">
        <x:f>IF(A381="","",IF(OR(N381="",F381=""),"Dados incompletos",IF(OR(I381="pendente",I381="confirmado"),IF(K381="",0,COUNTIFS($F$2:$F$501,F381,$G$2:$G$501,"&lt;"&amp;N381,$N$2:$N$501,"&gt;"&amp;G381,$I$2:$I$501,"pendente",$K$2:$K$501,K381)+COUNTIFS($F$2:$F$501,F381,$G$2:$G$501,"&lt;"&amp;N381,$N$2:$N$501,"&gt;"&amp;G381,$I$2:$I$501,"confirmado",$K$2:$K$501,K381)-1),0)))</x:f>
      </x:c>
      <x:c r="P381" s="2" t="str">
        <x:f>IF(A381="","",IF(OR(N381="",F381=""),"Dados incompletos",IF(OR(I381="pendente",I381="confirmado"),COUNTIFS($F$2:$F$501,F381,$G$2:$G$501,"&lt;"&amp;N381,$N$2:$N$501,"&gt;"&amp;G381,$I$2:$I$501,"pendente",$E$2:$E$501,E381)+COUNTIFS($F$2:$F$501,F381,$G$2:$G$501,"&lt;"&amp;N381,$N$2:$N$501,"&gt;"&amp;G381,$I$2:$I$501,"confirmado",$E$2:$E$501,E381)-1,0)))</x:f>
      </x:c>
    </x:row>
    <x:row r="382" ht="24" customHeight="1">
      <x:c r="A382" s="17"/>
      <x:c r="B382" s="16"/>
      <x:c r="C382" s="2"/>
      <x:c r="D382" s="17"/>
      <x:c r="E382" s="2"/>
      <x:c r="F382" s="10"/>
      <x:c r="G382" s="11"/>
      <x:c r="H382" s="2"/>
      <x:c r="I382" s="7"/>
      <x:c r="J382" s="2"/>
      <x:c r="K382" s="2"/>
      <x:c r="L382" s="2"/>
      <x:c r="M382" s="2"/>
      <x:c r="N382" s="11" t="str">
        <x:f>IF(A382="","",IF(AND(ISNUMBER(G382),ISNUMBER(L382),ISNUMBER(M382)),G382+(L382+M382)/1440,""))</x:f>
      </x:c>
      <x:c r="O382" s="2" t="str">
        <x:f>IF(A382="","",IF(OR(N382="",F382=""),"Dados incompletos",IF(OR(I382="pendente",I382="confirmado"),IF(K382="",0,COUNTIFS($F$2:$F$501,F382,$G$2:$G$501,"&lt;"&amp;N382,$N$2:$N$501,"&gt;"&amp;G382,$I$2:$I$501,"pendente",$K$2:$K$501,K382)+COUNTIFS($F$2:$F$501,F382,$G$2:$G$501,"&lt;"&amp;N382,$N$2:$N$501,"&gt;"&amp;G382,$I$2:$I$501,"confirmado",$K$2:$K$501,K382)-1),0)))</x:f>
      </x:c>
      <x:c r="P382" s="2" t="str">
        <x:f>IF(A382="","",IF(OR(N382="",F382=""),"Dados incompletos",IF(OR(I382="pendente",I382="confirmado"),COUNTIFS($F$2:$F$501,F382,$G$2:$G$501,"&lt;"&amp;N382,$N$2:$N$501,"&gt;"&amp;G382,$I$2:$I$501,"pendente",$E$2:$E$501,E382)+COUNTIFS($F$2:$F$501,F382,$G$2:$G$501,"&lt;"&amp;N382,$N$2:$N$501,"&gt;"&amp;G382,$I$2:$I$501,"confirmado",$E$2:$E$501,E382)-1,0)))</x:f>
      </x:c>
    </x:row>
    <x:row r="383" ht="24" customHeight="1">
      <x:c r="A383" s="17"/>
      <x:c r="B383" s="16"/>
      <x:c r="C383" s="2"/>
      <x:c r="D383" s="17"/>
      <x:c r="E383" s="2"/>
      <x:c r="F383" s="10"/>
      <x:c r="G383" s="11"/>
      <x:c r="H383" s="2"/>
      <x:c r="I383" s="7"/>
      <x:c r="J383" s="2"/>
      <x:c r="K383" s="2"/>
      <x:c r="L383" s="2"/>
      <x:c r="M383" s="2"/>
      <x:c r="N383" s="11" t="str">
        <x:f>IF(A383="","",IF(AND(ISNUMBER(G383),ISNUMBER(L383),ISNUMBER(M383)),G383+(L383+M383)/1440,""))</x:f>
      </x:c>
      <x:c r="O383" s="2" t="str">
        <x:f>IF(A383="","",IF(OR(N383="",F383=""),"Dados incompletos",IF(OR(I383="pendente",I383="confirmado"),IF(K383="",0,COUNTIFS($F$2:$F$501,F383,$G$2:$G$501,"&lt;"&amp;N383,$N$2:$N$501,"&gt;"&amp;G383,$I$2:$I$501,"pendente",$K$2:$K$501,K383)+COUNTIFS($F$2:$F$501,F383,$G$2:$G$501,"&lt;"&amp;N383,$N$2:$N$501,"&gt;"&amp;G383,$I$2:$I$501,"confirmado",$K$2:$K$501,K383)-1),0)))</x:f>
      </x:c>
      <x:c r="P383" s="2" t="str">
        <x:f>IF(A383="","",IF(OR(N383="",F383=""),"Dados incompletos",IF(OR(I383="pendente",I383="confirmado"),COUNTIFS($F$2:$F$501,F383,$G$2:$G$501,"&lt;"&amp;N383,$N$2:$N$501,"&gt;"&amp;G383,$I$2:$I$501,"pendente",$E$2:$E$501,E383)+COUNTIFS($F$2:$F$501,F383,$G$2:$G$501,"&lt;"&amp;N383,$N$2:$N$501,"&gt;"&amp;G383,$I$2:$I$501,"confirmado",$E$2:$E$501,E383)-1,0)))</x:f>
      </x:c>
    </x:row>
    <x:row r="384" ht="24" customHeight="1">
      <x:c r="A384" s="17"/>
      <x:c r="B384" s="16"/>
      <x:c r="C384" s="2"/>
      <x:c r="D384" s="17"/>
      <x:c r="E384" s="2"/>
      <x:c r="F384" s="10"/>
      <x:c r="G384" s="11"/>
      <x:c r="H384" s="2"/>
      <x:c r="I384" s="7"/>
      <x:c r="J384" s="2"/>
      <x:c r="K384" s="2"/>
      <x:c r="L384" s="2"/>
      <x:c r="M384" s="2"/>
      <x:c r="N384" s="11" t="str">
        <x:f>IF(A384="","",IF(AND(ISNUMBER(G384),ISNUMBER(L384),ISNUMBER(M384)),G384+(L384+M384)/1440,""))</x:f>
      </x:c>
      <x:c r="O384" s="2" t="str">
        <x:f>IF(A384="","",IF(OR(N384="",F384=""),"Dados incompletos",IF(OR(I384="pendente",I384="confirmado"),IF(K384="",0,COUNTIFS($F$2:$F$501,F384,$G$2:$G$501,"&lt;"&amp;N384,$N$2:$N$501,"&gt;"&amp;G384,$I$2:$I$501,"pendente",$K$2:$K$501,K384)+COUNTIFS($F$2:$F$501,F384,$G$2:$G$501,"&lt;"&amp;N384,$N$2:$N$501,"&gt;"&amp;G384,$I$2:$I$501,"confirmado",$K$2:$K$501,K384)-1),0)))</x:f>
      </x:c>
      <x:c r="P384" s="2" t="str">
        <x:f>IF(A384="","",IF(OR(N384="",F384=""),"Dados incompletos",IF(OR(I384="pendente",I384="confirmado"),COUNTIFS($F$2:$F$501,F384,$G$2:$G$501,"&lt;"&amp;N384,$N$2:$N$501,"&gt;"&amp;G384,$I$2:$I$501,"pendente",$E$2:$E$501,E384)+COUNTIFS($F$2:$F$501,F384,$G$2:$G$501,"&lt;"&amp;N384,$N$2:$N$501,"&gt;"&amp;G384,$I$2:$I$501,"confirmado",$E$2:$E$501,E384)-1,0)))</x:f>
      </x:c>
    </x:row>
    <x:row r="385" ht="24" customHeight="1">
      <x:c r="A385" s="17"/>
      <x:c r="B385" s="16"/>
      <x:c r="C385" s="2"/>
      <x:c r="D385" s="17"/>
      <x:c r="E385" s="2"/>
      <x:c r="F385" s="10"/>
      <x:c r="G385" s="11"/>
      <x:c r="H385" s="2"/>
      <x:c r="I385" s="7"/>
      <x:c r="J385" s="2"/>
      <x:c r="K385" s="2"/>
      <x:c r="L385" s="2"/>
      <x:c r="M385" s="2"/>
      <x:c r="N385" s="11" t="str">
        <x:f>IF(A385="","",IF(AND(ISNUMBER(G385),ISNUMBER(L385),ISNUMBER(M385)),G385+(L385+M385)/1440,""))</x:f>
      </x:c>
      <x:c r="O385" s="2" t="str">
        <x:f>IF(A385="","",IF(OR(N385="",F385=""),"Dados incompletos",IF(OR(I385="pendente",I385="confirmado"),IF(K385="",0,COUNTIFS($F$2:$F$501,F385,$G$2:$G$501,"&lt;"&amp;N385,$N$2:$N$501,"&gt;"&amp;G385,$I$2:$I$501,"pendente",$K$2:$K$501,K385)+COUNTIFS($F$2:$F$501,F385,$G$2:$G$501,"&lt;"&amp;N385,$N$2:$N$501,"&gt;"&amp;G385,$I$2:$I$501,"confirmado",$K$2:$K$501,K385)-1),0)))</x:f>
      </x:c>
      <x:c r="P385" s="2" t="str">
        <x:f>IF(A385="","",IF(OR(N385="",F385=""),"Dados incompletos",IF(OR(I385="pendente",I385="confirmado"),COUNTIFS($F$2:$F$501,F385,$G$2:$G$501,"&lt;"&amp;N385,$N$2:$N$501,"&gt;"&amp;G385,$I$2:$I$501,"pendente",$E$2:$E$501,E385)+COUNTIFS($F$2:$F$501,F385,$G$2:$G$501,"&lt;"&amp;N385,$N$2:$N$501,"&gt;"&amp;G385,$I$2:$I$501,"confirmado",$E$2:$E$501,E385)-1,0)))</x:f>
      </x:c>
    </x:row>
    <x:row r="386" ht="24" customHeight="1">
      <x:c r="A386" s="17"/>
      <x:c r="B386" s="16"/>
      <x:c r="C386" s="2"/>
      <x:c r="D386" s="17"/>
      <x:c r="E386" s="2"/>
      <x:c r="F386" s="10"/>
      <x:c r="G386" s="11"/>
      <x:c r="H386" s="2"/>
      <x:c r="I386" s="7"/>
      <x:c r="J386" s="2"/>
      <x:c r="K386" s="2"/>
      <x:c r="L386" s="2"/>
      <x:c r="M386" s="2"/>
      <x:c r="N386" s="11" t="str">
        <x:f>IF(A386="","",IF(AND(ISNUMBER(G386),ISNUMBER(L386),ISNUMBER(M386)),G386+(L386+M386)/1440,""))</x:f>
      </x:c>
      <x:c r="O386" s="2" t="str">
        <x:f>IF(A386="","",IF(OR(N386="",F386=""),"Dados incompletos",IF(OR(I386="pendente",I386="confirmado"),IF(K386="",0,COUNTIFS($F$2:$F$501,F386,$G$2:$G$501,"&lt;"&amp;N386,$N$2:$N$501,"&gt;"&amp;G386,$I$2:$I$501,"pendente",$K$2:$K$501,K386)+COUNTIFS($F$2:$F$501,F386,$G$2:$G$501,"&lt;"&amp;N386,$N$2:$N$501,"&gt;"&amp;G386,$I$2:$I$501,"confirmado",$K$2:$K$501,K386)-1),0)))</x:f>
      </x:c>
      <x:c r="P386" s="2" t="str">
        <x:f>IF(A386="","",IF(OR(N386="",F386=""),"Dados incompletos",IF(OR(I386="pendente",I386="confirmado"),COUNTIFS($F$2:$F$501,F386,$G$2:$G$501,"&lt;"&amp;N386,$N$2:$N$501,"&gt;"&amp;G386,$I$2:$I$501,"pendente",$E$2:$E$501,E386)+COUNTIFS($F$2:$F$501,F386,$G$2:$G$501,"&lt;"&amp;N386,$N$2:$N$501,"&gt;"&amp;G386,$I$2:$I$501,"confirmado",$E$2:$E$501,E386)-1,0)))</x:f>
      </x:c>
    </x:row>
    <x:row r="387" ht="24" customHeight="1">
      <x:c r="A387" s="17"/>
      <x:c r="B387" s="16"/>
      <x:c r="C387" s="2"/>
      <x:c r="D387" s="17"/>
      <x:c r="E387" s="2"/>
      <x:c r="F387" s="10"/>
      <x:c r="G387" s="11"/>
      <x:c r="H387" s="2"/>
      <x:c r="I387" s="7"/>
      <x:c r="J387" s="2"/>
      <x:c r="K387" s="2"/>
      <x:c r="L387" s="2"/>
      <x:c r="M387" s="2"/>
      <x:c r="N387" s="11" t="str">
        <x:f>IF(A387="","",IF(AND(ISNUMBER(G387),ISNUMBER(L387),ISNUMBER(M387)),G387+(L387+M387)/1440,""))</x:f>
      </x:c>
      <x:c r="O387" s="2" t="str">
        <x:f>IF(A387="","",IF(OR(N387="",F387=""),"Dados incompletos",IF(OR(I387="pendente",I387="confirmado"),IF(K387="",0,COUNTIFS($F$2:$F$501,F387,$G$2:$G$501,"&lt;"&amp;N387,$N$2:$N$501,"&gt;"&amp;G387,$I$2:$I$501,"pendente",$K$2:$K$501,K387)+COUNTIFS($F$2:$F$501,F387,$G$2:$G$501,"&lt;"&amp;N387,$N$2:$N$501,"&gt;"&amp;G387,$I$2:$I$501,"confirmado",$K$2:$K$501,K387)-1),0)))</x:f>
      </x:c>
      <x:c r="P387" s="2" t="str">
        <x:f>IF(A387="","",IF(OR(N387="",F387=""),"Dados incompletos",IF(OR(I387="pendente",I387="confirmado"),COUNTIFS($F$2:$F$501,F387,$G$2:$G$501,"&lt;"&amp;N387,$N$2:$N$501,"&gt;"&amp;G387,$I$2:$I$501,"pendente",$E$2:$E$501,E387)+COUNTIFS($F$2:$F$501,F387,$G$2:$G$501,"&lt;"&amp;N387,$N$2:$N$501,"&gt;"&amp;G387,$I$2:$I$501,"confirmado",$E$2:$E$501,E387)-1,0)))</x:f>
      </x:c>
    </x:row>
    <x:row r="388" ht="24" customHeight="1">
      <x:c r="A388" s="17"/>
      <x:c r="B388" s="16"/>
      <x:c r="C388" s="2"/>
      <x:c r="D388" s="17"/>
      <x:c r="E388" s="2"/>
      <x:c r="F388" s="10"/>
      <x:c r="G388" s="11"/>
      <x:c r="H388" s="2"/>
      <x:c r="I388" s="7"/>
      <x:c r="J388" s="2"/>
      <x:c r="K388" s="2"/>
      <x:c r="L388" s="2"/>
      <x:c r="M388" s="2"/>
      <x:c r="N388" s="11" t="str">
        <x:f>IF(A388="","",IF(AND(ISNUMBER(G388),ISNUMBER(L388),ISNUMBER(M388)),G388+(L388+M388)/1440,""))</x:f>
      </x:c>
      <x:c r="O388" s="2" t="str">
        <x:f>IF(A388="","",IF(OR(N388="",F388=""),"Dados incompletos",IF(OR(I388="pendente",I388="confirmado"),IF(K388="",0,COUNTIFS($F$2:$F$501,F388,$G$2:$G$501,"&lt;"&amp;N388,$N$2:$N$501,"&gt;"&amp;G388,$I$2:$I$501,"pendente",$K$2:$K$501,K388)+COUNTIFS($F$2:$F$501,F388,$G$2:$G$501,"&lt;"&amp;N388,$N$2:$N$501,"&gt;"&amp;G388,$I$2:$I$501,"confirmado",$K$2:$K$501,K388)-1),0)))</x:f>
      </x:c>
      <x:c r="P388" s="2" t="str">
        <x:f>IF(A388="","",IF(OR(N388="",F388=""),"Dados incompletos",IF(OR(I388="pendente",I388="confirmado"),COUNTIFS($F$2:$F$501,F388,$G$2:$G$501,"&lt;"&amp;N388,$N$2:$N$501,"&gt;"&amp;G388,$I$2:$I$501,"pendente",$E$2:$E$501,E388)+COUNTIFS($F$2:$F$501,F388,$G$2:$G$501,"&lt;"&amp;N388,$N$2:$N$501,"&gt;"&amp;G388,$I$2:$I$501,"confirmado",$E$2:$E$501,E388)-1,0)))</x:f>
      </x:c>
    </x:row>
    <x:row r="389" ht="24" customHeight="1">
      <x:c r="A389" s="17"/>
      <x:c r="B389" s="16"/>
      <x:c r="C389" s="2"/>
      <x:c r="D389" s="17"/>
      <x:c r="E389" s="2"/>
      <x:c r="F389" s="10"/>
      <x:c r="G389" s="11"/>
      <x:c r="H389" s="2"/>
      <x:c r="I389" s="7"/>
      <x:c r="J389" s="2"/>
      <x:c r="K389" s="2"/>
      <x:c r="L389" s="2"/>
      <x:c r="M389" s="2"/>
      <x:c r="N389" s="11" t="str">
        <x:f>IF(A389="","",IF(AND(ISNUMBER(G389),ISNUMBER(L389),ISNUMBER(M389)),G389+(L389+M389)/1440,""))</x:f>
      </x:c>
      <x:c r="O389" s="2" t="str">
        <x:f>IF(A389="","",IF(OR(N389="",F389=""),"Dados incompletos",IF(OR(I389="pendente",I389="confirmado"),IF(K389="",0,COUNTIFS($F$2:$F$501,F389,$G$2:$G$501,"&lt;"&amp;N389,$N$2:$N$501,"&gt;"&amp;G389,$I$2:$I$501,"pendente",$K$2:$K$501,K389)+COUNTIFS($F$2:$F$501,F389,$G$2:$G$501,"&lt;"&amp;N389,$N$2:$N$501,"&gt;"&amp;G389,$I$2:$I$501,"confirmado",$K$2:$K$501,K389)-1),0)))</x:f>
      </x:c>
      <x:c r="P389" s="2" t="str">
        <x:f>IF(A389="","",IF(OR(N389="",F389=""),"Dados incompletos",IF(OR(I389="pendente",I389="confirmado"),COUNTIFS($F$2:$F$501,F389,$G$2:$G$501,"&lt;"&amp;N389,$N$2:$N$501,"&gt;"&amp;G389,$I$2:$I$501,"pendente",$E$2:$E$501,E389)+COUNTIFS($F$2:$F$501,F389,$G$2:$G$501,"&lt;"&amp;N389,$N$2:$N$501,"&gt;"&amp;G389,$I$2:$I$501,"confirmado",$E$2:$E$501,E389)-1,0)))</x:f>
      </x:c>
    </x:row>
    <x:row r="390" ht="24" customHeight="1">
      <x:c r="A390" s="17"/>
      <x:c r="B390" s="16"/>
      <x:c r="C390" s="2"/>
      <x:c r="D390" s="17"/>
      <x:c r="E390" s="2"/>
      <x:c r="F390" s="10"/>
      <x:c r="G390" s="11"/>
      <x:c r="H390" s="2"/>
      <x:c r="I390" s="7"/>
      <x:c r="J390" s="2"/>
      <x:c r="K390" s="2"/>
      <x:c r="L390" s="2"/>
      <x:c r="M390" s="2"/>
      <x:c r="N390" s="11" t="str">
        <x:f>IF(A390="","",IF(AND(ISNUMBER(G390),ISNUMBER(L390),ISNUMBER(M390)),G390+(L390+M390)/1440,""))</x:f>
      </x:c>
      <x:c r="O390" s="2" t="str">
        <x:f>IF(A390="","",IF(OR(N390="",F390=""),"Dados incompletos",IF(OR(I390="pendente",I390="confirmado"),IF(K390="",0,COUNTIFS($F$2:$F$501,F390,$G$2:$G$501,"&lt;"&amp;N390,$N$2:$N$501,"&gt;"&amp;G390,$I$2:$I$501,"pendente",$K$2:$K$501,K390)+COUNTIFS($F$2:$F$501,F390,$G$2:$G$501,"&lt;"&amp;N390,$N$2:$N$501,"&gt;"&amp;G390,$I$2:$I$501,"confirmado",$K$2:$K$501,K390)-1),0)))</x:f>
      </x:c>
      <x:c r="P390" s="2" t="str">
        <x:f>IF(A390="","",IF(OR(N390="",F390=""),"Dados incompletos",IF(OR(I390="pendente",I390="confirmado"),COUNTIFS($F$2:$F$501,F390,$G$2:$G$501,"&lt;"&amp;N390,$N$2:$N$501,"&gt;"&amp;G390,$I$2:$I$501,"pendente",$E$2:$E$501,E390)+COUNTIFS($F$2:$F$501,F390,$G$2:$G$501,"&lt;"&amp;N390,$N$2:$N$501,"&gt;"&amp;G390,$I$2:$I$501,"confirmado",$E$2:$E$501,E390)-1,0)))</x:f>
      </x:c>
    </x:row>
    <x:row r="391" ht="24" customHeight="1">
      <x:c r="A391" s="17"/>
      <x:c r="B391" s="16"/>
      <x:c r="C391" s="2"/>
      <x:c r="D391" s="17"/>
      <x:c r="E391" s="2"/>
      <x:c r="F391" s="10"/>
      <x:c r="G391" s="11"/>
      <x:c r="H391" s="2"/>
      <x:c r="I391" s="7"/>
      <x:c r="J391" s="2"/>
      <x:c r="K391" s="2"/>
      <x:c r="L391" s="2"/>
      <x:c r="M391" s="2"/>
      <x:c r="N391" s="11" t="str">
        <x:f>IF(A391="","",IF(AND(ISNUMBER(G391),ISNUMBER(L391),ISNUMBER(M391)),G391+(L391+M391)/1440,""))</x:f>
      </x:c>
      <x:c r="O391" s="2" t="str">
        <x:f>IF(A391="","",IF(OR(N391="",F391=""),"Dados incompletos",IF(OR(I391="pendente",I391="confirmado"),IF(K391="",0,COUNTIFS($F$2:$F$501,F391,$G$2:$G$501,"&lt;"&amp;N391,$N$2:$N$501,"&gt;"&amp;G391,$I$2:$I$501,"pendente",$K$2:$K$501,K391)+COUNTIFS($F$2:$F$501,F391,$G$2:$G$501,"&lt;"&amp;N391,$N$2:$N$501,"&gt;"&amp;G391,$I$2:$I$501,"confirmado",$K$2:$K$501,K391)-1),0)))</x:f>
      </x:c>
      <x:c r="P391" s="2" t="str">
        <x:f>IF(A391="","",IF(OR(N391="",F391=""),"Dados incompletos",IF(OR(I391="pendente",I391="confirmado"),COUNTIFS($F$2:$F$501,F391,$G$2:$G$501,"&lt;"&amp;N391,$N$2:$N$501,"&gt;"&amp;G391,$I$2:$I$501,"pendente",$E$2:$E$501,E391)+COUNTIFS($F$2:$F$501,F391,$G$2:$G$501,"&lt;"&amp;N391,$N$2:$N$501,"&gt;"&amp;G391,$I$2:$I$501,"confirmado",$E$2:$E$501,E391)-1,0)))</x:f>
      </x:c>
    </x:row>
    <x:row r="392" ht="24" customHeight="1">
      <x:c r="A392" s="17"/>
      <x:c r="B392" s="16"/>
      <x:c r="C392" s="2"/>
      <x:c r="D392" s="17"/>
      <x:c r="E392" s="2"/>
      <x:c r="F392" s="10"/>
      <x:c r="G392" s="11"/>
      <x:c r="H392" s="2"/>
      <x:c r="I392" s="7"/>
      <x:c r="J392" s="2"/>
      <x:c r="K392" s="2"/>
      <x:c r="L392" s="2"/>
      <x:c r="M392" s="2"/>
      <x:c r="N392" s="11" t="str">
        <x:f>IF(A392="","",IF(AND(ISNUMBER(G392),ISNUMBER(L392),ISNUMBER(M392)),G392+(L392+M392)/1440,""))</x:f>
      </x:c>
      <x:c r="O392" s="2" t="str">
        <x:f>IF(A392="","",IF(OR(N392="",F392=""),"Dados incompletos",IF(OR(I392="pendente",I392="confirmado"),IF(K392="",0,COUNTIFS($F$2:$F$501,F392,$G$2:$G$501,"&lt;"&amp;N392,$N$2:$N$501,"&gt;"&amp;G392,$I$2:$I$501,"pendente",$K$2:$K$501,K392)+COUNTIFS($F$2:$F$501,F392,$G$2:$G$501,"&lt;"&amp;N392,$N$2:$N$501,"&gt;"&amp;G392,$I$2:$I$501,"confirmado",$K$2:$K$501,K392)-1),0)))</x:f>
      </x:c>
      <x:c r="P392" s="2" t="str">
        <x:f>IF(A392="","",IF(OR(N392="",F392=""),"Dados incompletos",IF(OR(I392="pendente",I392="confirmado"),COUNTIFS($F$2:$F$501,F392,$G$2:$G$501,"&lt;"&amp;N392,$N$2:$N$501,"&gt;"&amp;G392,$I$2:$I$501,"pendente",$E$2:$E$501,E392)+COUNTIFS($F$2:$F$501,F392,$G$2:$G$501,"&lt;"&amp;N392,$N$2:$N$501,"&gt;"&amp;G392,$I$2:$I$501,"confirmado",$E$2:$E$501,E392)-1,0)))</x:f>
      </x:c>
    </x:row>
    <x:row r="393" ht="24" customHeight="1">
      <x:c r="A393" s="17"/>
      <x:c r="B393" s="16"/>
      <x:c r="C393" s="2"/>
      <x:c r="D393" s="17"/>
      <x:c r="E393" s="2"/>
      <x:c r="F393" s="10"/>
      <x:c r="G393" s="11"/>
      <x:c r="H393" s="2"/>
      <x:c r="I393" s="7"/>
      <x:c r="J393" s="2"/>
      <x:c r="K393" s="2"/>
      <x:c r="L393" s="2"/>
      <x:c r="M393" s="2"/>
      <x:c r="N393" s="11" t="str">
        <x:f>IF(A393="","",IF(AND(ISNUMBER(G393),ISNUMBER(L393),ISNUMBER(M393)),G393+(L393+M393)/1440,""))</x:f>
      </x:c>
      <x:c r="O393" s="2" t="str">
        <x:f>IF(A393="","",IF(OR(N393="",F393=""),"Dados incompletos",IF(OR(I393="pendente",I393="confirmado"),IF(K393="",0,COUNTIFS($F$2:$F$501,F393,$G$2:$G$501,"&lt;"&amp;N393,$N$2:$N$501,"&gt;"&amp;G393,$I$2:$I$501,"pendente",$K$2:$K$501,K393)+COUNTIFS($F$2:$F$501,F393,$G$2:$G$501,"&lt;"&amp;N393,$N$2:$N$501,"&gt;"&amp;G393,$I$2:$I$501,"confirmado",$K$2:$K$501,K393)-1),0)))</x:f>
      </x:c>
      <x:c r="P393" s="2" t="str">
        <x:f>IF(A393="","",IF(OR(N393="",F393=""),"Dados incompletos",IF(OR(I393="pendente",I393="confirmado"),COUNTIFS($F$2:$F$501,F393,$G$2:$G$501,"&lt;"&amp;N393,$N$2:$N$501,"&gt;"&amp;G393,$I$2:$I$501,"pendente",$E$2:$E$501,E393)+COUNTIFS($F$2:$F$501,F393,$G$2:$G$501,"&lt;"&amp;N393,$N$2:$N$501,"&gt;"&amp;G393,$I$2:$I$501,"confirmado",$E$2:$E$501,E393)-1,0)))</x:f>
      </x:c>
    </x:row>
    <x:row r="394" ht="24" customHeight="1">
      <x:c r="A394" s="17"/>
      <x:c r="B394" s="16"/>
      <x:c r="C394" s="2"/>
      <x:c r="D394" s="17"/>
      <x:c r="E394" s="2"/>
      <x:c r="F394" s="10"/>
      <x:c r="G394" s="11"/>
      <x:c r="H394" s="2"/>
      <x:c r="I394" s="7"/>
      <x:c r="J394" s="2"/>
      <x:c r="K394" s="2"/>
      <x:c r="L394" s="2"/>
      <x:c r="M394" s="2"/>
      <x:c r="N394" s="11" t="str">
        <x:f>IF(A394="","",IF(AND(ISNUMBER(G394),ISNUMBER(L394),ISNUMBER(M394)),G394+(L394+M394)/1440,""))</x:f>
      </x:c>
      <x:c r="O394" s="2" t="str">
        <x:f>IF(A394="","",IF(OR(N394="",F394=""),"Dados incompletos",IF(OR(I394="pendente",I394="confirmado"),IF(K394="",0,COUNTIFS($F$2:$F$501,F394,$G$2:$G$501,"&lt;"&amp;N394,$N$2:$N$501,"&gt;"&amp;G394,$I$2:$I$501,"pendente",$K$2:$K$501,K394)+COUNTIFS($F$2:$F$501,F394,$G$2:$G$501,"&lt;"&amp;N394,$N$2:$N$501,"&gt;"&amp;G394,$I$2:$I$501,"confirmado",$K$2:$K$501,K394)-1),0)))</x:f>
      </x:c>
      <x:c r="P394" s="2" t="str">
        <x:f>IF(A394="","",IF(OR(N394="",F394=""),"Dados incompletos",IF(OR(I394="pendente",I394="confirmado"),COUNTIFS($F$2:$F$501,F394,$G$2:$G$501,"&lt;"&amp;N394,$N$2:$N$501,"&gt;"&amp;G394,$I$2:$I$501,"pendente",$E$2:$E$501,E394)+COUNTIFS($F$2:$F$501,F394,$G$2:$G$501,"&lt;"&amp;N394,$N$2:$N$501,"&gt;"&amp;G394,$I$2:$I$501,"confirmado",$E$2:$E$501,E394)-1,0)))</x:f>
      </x:c>
    </x:row>
    <x:row r="395" ht="24" customHeight="1">
      <x:c r="A395" s="17"/>
      <x:c r="B395" s="16"/>
      <x:c r="C395" s="2"/>
      <x:c r="D395" s="17"/>
      <x:c r="E395" s="2"/>
      <x:c r="F395" s="10"/>
      <x:c r="G395" s="11"/>
      <x:c r="H395" s="2"/>
      <x:c r="I395" s="7"/>
      <x:c r="J395" s="2"/>
      <x:c r="K395" s="2"/>
      <x:c r="L395" s="2"/>
      <x:c r="M395" s="2"/>
      <x:c r="N395" s="11" t="str">
        <x:f>IF(A395="","",IF(AND(ISNUMBER(G395),ISNUMBER(L395),ISNUMBER(M395)),G395+(L395+M395)/1440,""))</x:f>
      </x:c>
      <x:c r="O395" s="2" t="str">
        <x:f>IF(A395="","",IF(OR(N395="",F395=""),"Dados incompletos",IF(OR(I395="pendente",I395="confirmado"),IF(K395="",0,COUNTIFS($F$2:$F$501,F395,$G$2:$G$501,"&lt;"&amp;N395,$N$2:$N$501,"&gt;"&amp;G395,$I$2:$I$501,"pendente",$K$2:$K$501,K395)+COUNTIFS($F$2:$F$501,F395,$G$2:$G$501,"&lt;"&amp;N395,$N$2:$N$501,"&gt;"&amp;G395,$I$2:$I$501,"confirmado",$K$2:$K$501,K395)-1),0)))</x:f>
      </x:c>
      <x:c r="P395" s="2" t="str">
        <x:f>IF(A395="","",IF(OR(N395="",F395=""),"Dados incompletos",IF(OR(I395="pendente",I395="confirmado"),COUNTIFS($F$2:$F$501,F395,$G$2:$G$501,"&lt;"&amp;N395,$N$2:$N$501,"&gt;"&amp;G395,$I$2:$I$501,"pendente",$E$2:$E$501,E395)+COUNTIFS($F$2:$F$501,F395,$G$2:$G$501,"&lt;"&amp;N395,$N$2:$N$501,"&gt;"&amp;G395,$I$2:$I$501,"confirmado",$E$2:$E$501,E395)-1,0)))</x:f>
      </x:c>
    </x:row>
    <x:row r="396" ht="24" customHeight="1">
      <x:c r="A396" s="17"/>
      <x:c r="B396" s="16"/>
      <x:c r="C396" s="2"/>
      <x:c r="D396" s="17"/>
      <x:c r="E396" s="2"/>
      <x:c r="F396" s="10"/>
      <x:c r="G396" s="11"/>
      <x:c r="H396" s="2"/>
      <x:c r="I396" s="7"/>
      <x:c r="J396" s="2"/>
      <x:c r="K396" s="2"/>
      <x:c r="L396" s="2"/>
      <x:c r="M396" s="2"/>
      <x:c r="N396" s="11" t="str">
        <x:f>IF(A396="","",IF(AND(ISNUMBER(G396),ISNUMBER(L396),ISNUMBER(M396)),G396+(L396+M396)/1440,""))</x:f>
      </x:c>
      <x:c r="O396" s="2" t="str">
        <x:f>IF(A396="","",IF(OR(N396="",F396=""),"Dados incompletos",IF(OR(I396="pendente",I396="confirmado"),IF(K396="",0,COUNTIFS($F$2:$F$501,F396,$G$2:$G$501,"&lt;"&amp;N396,$N$2:$N$501,"&gt;"&amp;G396,$I$2:$I$501,"pendente",$K$2:$K$501,K396)+COUNTIFS($F$2:$F$501,F396,$G$2:$G$501,"&lt;"&amp;N396,$N$2:$N$501,"&gt;"&amp;G396,$I$2:$I$501,"confirmado",$K$2:$K$501,K396)-1),0)))</x:f>
      </x:c>
      <x:c r="P396" s="2" t="str">
        <x:f>IF(A396="","",IF(OR(N396="",F396=""),"Dados incompletos",IF(OR(I396="pendente",I396="confirmado"),COUNTIFS($F$2:$F$501,F396,$G$2:$G$501,"&lt;"&amp;N396,$N$2:$N$501,"&gt;"&amp;G396,$I$2:$I$501,"pendente",$E$2:$E$501,E396)+COUNTIFS($F$2:$F$501,F396,$G$2:$G$501,"&lt;"&amp;N396,$N$2:$N$501,"&gt;"&amp;G396,$I$2:$I$501,"confirmado",$E$2:$E$501,E396)-1,0)))</x:f>
      </x:c>
    </x:row>
    <x:row r="397" ht="24" customHeight="1">
      <x:c r="A397" s="17"/>
      <x:c r="B397" s="16"/>
      <x:c r="C397" s="2"/>
      <x:c r="D397" s="17"/>
      <x:c r="E397" s="2"/>
      <x:c r="F397" s="10"/>
      <x:c r="G397" s="11"/>
      <x:c r="H397" s="2"/>
      <x:c r="I397" s="7"/>
      <x:c r="J397" s="2"/>
      <x:c r="K397" s="2"/>
      <x:c r="L397" s="2"/>
      <x:c r="M397" s="2"/>
      <x:c r="N397" s="11" t="str">
        <x:f>IF(A397="","",IF(AND(ISNUMBER(G397),ISNUMBER(L397),ISNUMBER(M397)),G397+(L397+M397)/1440,""))</x:f>
      </x:c>
      <x:c r="O397" s="2" t="str">
        <x:f>IF(A397="","",IF(OR(N397="",F397=""),"Dados incompletos",IF(OR(I397="pendente",I397="confirmado"),IF(K397="",0,COUNTIFS($F$2:$F$501,F397,$G$2:$G$501,"&lt;"&amp;N397,$N$2:$N$501,"&gt;"&amp;G397,$I$2:$I$501,"pendente",$K$2:$K$501,K397)+COUNTIFS($F$2:$F$501,F397,$G$2:$G$501,"&lt;"&amp;N397,$N$2:$N$501,"&gt;"&amp;G397,$I$2:$I$501,"confirmado",$K$2:$K$501,K397)-1),0)))</x:f>
      </x:c>
      <x:c r="P397" s="2" t="str">
        <x:f>IF(A397="","",IF(OR(N397="",F397=""),"Dados incompletos",IF(OR(I397="pendente",I397="confirmado"),COUNTIFS($F$2:$F$501,F397,$G$2:$G$501,"&lt;"&amp;N397,$N$2:$N$501,"&gt;"&amp;G397,$I$2:$I$501,"pendente",$E$2:$E$501,E397)+COUNTIFS($F$2:$F$501,F397,$G$2:$G$501,"&lt;"&amp;N397,$N$2:$N$501,"&gt;"&amp;G397,$I$2:$I$501,"confirmado",$E$2:$E$501,E397)-1,0)))</x:f>
      </x:c>
    </x:row>
    <x:row r="398" ht="24" customHeight="1">
      <x:c r="A398" s="17"/>
      <x:c r="B398" s="16"/>
      <x:c r="C398" s="2"/>
      <x:c r="D398" s="17"/>
      <x:c r="E398" s="2"/>
      <x:c r="F398" s="10"/>
      <x:c r="G398" s="11"/>
      <x:c r="H398" s="2"/>
      <x:c r="I398" s="7"/>
      <x:c r="J398" s="2"/>
      <x:c r="K398" s="2"/>
      <x:c r="L398" s="2"/>
      <x:c r="M398" s="2"/>
      <x:c r="N398" s="11" t="str">
        <x:f>IF(A398="","",IF(AND(ISNUMBER(G398),ISNUMBER(L398),ISNUMBER(M398)),G398+(L398+M398)/1440,""))</x:f>
      </x:c>
      <x:c r="O398" s="2" t="str">
        <x:f>IF(A398="","",IF(OR(N398="",F398=""),"Dados incompletos",IF(OR(I398="pendente",I398="confirmado"),IF(K398="",0,COUNTIFS($F$2:$F$501,F398,$G$2:$G$501,"&lt;"&amp;N398,$N$2:$N$501,"&gt;"&amp;G398,$I$2:$I$501,"pendente",$K$2:$K$501,K398)+COUNTIFS($F$2:$F$501,F398,$G$2:$G$501,"&lt;"&amp;N398,$N$2:$N$501,"&gt;"&amp;G398,$I$2:$I$501,"confirmado",$K$2:$K$501,K398)-1),0)))</x:f>
      </x:c>
      <x:c r="P398" s="2" t="str">
        <x:f>IF(A398="","",IF(OR(N398="",F398=""),"Dados incompletos",IF(OR(I398="pendente",I398="confirmado"),COUNTIFS($F$2:$F$501,F398,$G$2:$G$501,"&lt;"&amp;N398,$N$2:$N$501,"&gt;"&amp;G398,$I$2:$I$501,"pendente",$E$2:$E$501,E398)+COUNTIFS($F$2:$F$501,F398,$G$2:$G$501,"&lt;"&amp;N398,$N$2:$N$501,"&gt;"&amp;G398,$I$2:$I$501,"confirmado",$E$2:$E$501,E398)-1,0)))</x:f>
      </x:c>
    </x:row>
    <x:row r="399" ht="24" customHeight="1">
      <x:c r="A399" s="17"/>
      <x:c r="B399" s="16"/>
      <x:c r="C399" s="2"/>
      <x:c r="D399" s="17"/>
      <x:c r="E399" s="2"/>
      <x:c r="F399" s="10"/>
      <x:c r="G399" s="11"/>
      <x:c r="H399" s="2"/>
      <x:c r="I399" s="7"/>
      <x:c r="J399" s="2"/>
      <x:c r="K399" s="2"/>
      <x:c r="L399" s="2"/>
      <x:c r="M399" s="2"/>
      <x:c r="N399" s="11" t="str">
        <x:f>IF(A399="","",IF(AND(ISNUMBER(G399),ISNUMBER(L399),ISNUMBER(M399)),G399+(L399+M399)/1440,""))</x:f>
      </x:c>
      <x:c r="O399" s="2" t="str">
        <x:f>IF(A399="","",IF(OR(N399="",F399=""),"Dados incompletos",IF(OR(I399="pendente",I399="confirmado"),IF(K399="",0,COUNTIFS($F$2:$F$501,F399,$G$2:$G$501,"&lt;"&amp;N399,$N$2:$N$501,"&gt;"&amp;G399,$I$2:$I$501,"pendente",$K$2:$K$501,K399)+COUNTIFS($F$2:$F$501,F399,$G$2:$G$501,"&lt;"&amp;N399,$N$2:$N$501,"&gt;"&amp;G399,$I$2:$I$501,"confirmado",$K$2:$K$501,K399)-1),0)))</x:f>
      </x:c>
      <x:c r="P399" s="2" t="str">
        <x:f>IF(A399="","",IF(OR(N399="",F399=""),"Dados incompletos",IF(OR(I399="pendente",I399="confirmado"),COUNTIFS($F$2:$F$501,F399,$G$2:$G$501,"&lt;"&amp;N399,$N$2:$N$501,"&gt;"&amp;G399,$I$2:$I$501,"pendente",$E$2:$E$501,E399)+COUNTIFS($F$2:$F$501,F399,$G$2:$G$501,"&lt;"&amp;N399,$N$2:$N$501,"&gt;"&amp;G399,$I$2:$I$501,"confirmado",$E$2:$E$501,E399)-1,0)))</x:f>
      </x:c>
    </x:row>
    <x:row r="400" ht="24" customHeight="1">
      <x:c r="A400" s="17"/>
      <x:c r="B400" s="16"/>
      <x:c r="C400" s="2"/>
      <x:c r="D400" s="17"/>
      <x:c r="E400" s="2"/>
      <x:c r="F400" s="10"/>
      <x:c r="G400" s="11"/>
      <x:c r="H400" s="2"/>
      <x:c r="I400" s="7"/>
      <x:c r="J400" s="2"/>
      <x:c r="K400" s="2"/>
      <x:c r="L400" s="2"/>
      <x:c r="M400" s="2"/>
      <x:c r="N400" s="11" t="str">
        <x:f>IF(A400="","",IF(AND(ISNUMBER(G400),ISNUMBER(L400),ISNUMBER(M400)),G400+(L400+M400)/1440,""))</x:f>
      </x:c>
      <x:c r="O400" s="2" t="str">
        <x:f>IF(A400="","",IF(OR(N400="",F400=""),"Dados incompletos",IF(OR(I400="pendente",I400="confirmado"),IF(K400="",0,COUNTIFS($F$2:$F$501,F400,$G$2:$G$501,"&lt;"&amp;N400,$N$2:$N$501,"&gt;"&amp;G400,$I$2:$I$501,"pendente",$K$2:$K$501,K400)+COUNTIFS($F$2:$F$501,F400,$G$2:$G$501,"&lt;"&amp;N400,$N$2:$N$501,"&gt;"&amp;G400,$I$2:$I$501,"confirmado",$K$2:$K$501,K400)-1),0)))</x:f>
      </x:c>
      <x:c r="P400" s="2" t="str">
        <x:f>IF(A400="","",IF(OR(N400="",F400=""),"Dados incompletos",IF(OR(I400="pendente",I400="confirmado"),COUNTIFS($F$2:$F$501,F400,$G$2:$G$501,"&lt;"&amp;N400,$N$2:$N$501,"&gt;"&amp;G400,$I$2:$I$501,"pendente",$E$2:$E$501,E400)+COUNTIFS($F$2:$F$501,F400,$G$2:$G$501,"&lt;"&amp;N400,$N$2:$N$501,"&gt;"&amp;G400,$I$2:$I$501,"confirmado",$E$2:$E$501,E400)-1,0)))</x:f>
      </x:c>
    </x:row>
    <x:row r="401" ht="24" customHeight="1">
      <x:c r="A401" s="17"/>
      <x:c r="B401" s="16"/>
      <x:c r="C401" s="2"/>
      <x:c r="D401" s="17"/>
      <x:c r="E401" s="2"/>
      <x:c r="F401" s="10"/>
      <x:c r="G401" s="11"/>
      <x:c r="H401" s="2"/>
      <x:c r="I401" s="7"/>
      <x:c r="J401" s="2"/>
      <x:c r="K401" s="2"/>
      <x:c r="L401" s="2"/>
      <x:c r="M401" s="2"/>
      <x:c r="N401" s="11" t="str">
        <x:f>IF(A401="","",IF(AND(ISNUMBER(G401),ISNUMBER(L401),ISNUMBER(M401)),G401+(L401+M401)/1440,""))</x:f>
      </x:c>
      <x:c r="O401" s="2" t="str">
        <x:f>IF(A401="","",IF(OR(N401="",F401=""),"Dados incompletos",IF(OR(I401="pendente",I401="confirmado"),IF(K401="",0,COUNTIFS($F$2:$F$501,F401,$G$2:$G$501,"&lt;"&amp;N401,$N$2:$N$501,"&gt;"&amp;G401,$I$2:$I$501,"pendente",$K$2:$K$501,K401)+COUNTIFS($F$2:$F$501,F401,$G$2:$G$501,"&lt;"&amp;N401,$N$2:$N$501,"&gt;"&amp;G401,$I$2:$I$501,"confirmado",$K$2:$K$501,K401)-1),0)))</x:f>
      </x:c>
      <x:c r="P401" s="2" t="str">
        <x:f>IF(A401="","",IF(OR(N401="",F401=""),"Dados incompletos",IF(OR(I401="pendente",I401="confirmado"),COUNTIFS($F$2:$F$501,F401,$G$2:$G$501,"&lt;"&amp;N401,$N$2:$N$501,"&gt;"&amp;G401,$I$2:$I$501,"pendente",$E$2:$E$501,E401)+COUNTIFS($F$2:$F$501,F401,$G$2:$G$501,"&lt;"&amp;N401,$N$2:$N$501,"&gt;"&amp;G401,$I$2:$I$501,"confirmado",$E$2:$E$501,E401)-1,0)))</x:f>
      </x:c>
    </x:row>
    <x:row r="402" ht="24" customHeight="1">
      <x:c r="A402" s="17"/>
      <x:c r="B402" s="16"/>
      <x:c r="C402" s="2"/>
      <x:c r="D402" s="17"/>
      <x:c r="E402" s="2"/>
      <x:c r="F402" s="10"/>
      <x:c r="G402" s="11"/>
      <x:c r="H402" s="2"/>
      <x:c r="I402" s="7"/>
      <x:c r="J402" s="2"/>
      <x:c r="K402" s="2"/>
      <x:c r="L402" s="2"/>
      <x:c r="M402" s="2"/>
      <x:c r="N402" s="11" t="str">
        <x:f>IF(A402="","",IF(AND(ISNUMBER(G402),ISNUMBER(L402),ISNUMBER(M402)),G402+(L402+M402)/1440,""))</x:f>
      </x:c>
      <x:c r="O402" s="2" t="str">
        <x:f>IF(A402="","",IF(OR(N402="",F402=""),"Dados incompletos",IF(OR(I402="pendente",I402="confirmado"),IF(K402="",0,COUNTIFS($F$2:$F$501,F402,$G$2:$G$501,"&lt;"&amp;N402,$N$2:$N$501,"&gt;"&amp;G402,$I$2:$I$501,"pendente",$K$2:$K$501,K402)+COUNTIFS($F$2:$F$501,F402,$G$2:$G$501,"&lt;"&amp;N402,$N$2:$N$501,"&gt;"&amp;G402,$I$2:$I$501,"confirmado",$K$2:$K$501,K402)-1),0)))</x:f>
      </x:c>
      <x:c r="P402" s="2" t="str">
        <x:f>IF(A402="","",IF(OR(N402="",F402=""),"Dados incompletos",IF(OR(I402="pendente",I402="confirmado"),COUNTIFS($F$2:$F$501,F402,$G$2:$G$501,"&lt;"&amp;N402,$N$2:$N$501,"&gt;"&amp;G402,$I$2:$I$501,"pendente",$E$2:$E$501,E402)+COUNTIFS($F$2:$F$501,F402,$G$2:$G$501,"&lt;"&amp;N402,$N$2:$N$501,"&gt;"&amp;G402,$I$2:$I$501,"confirmado",$E$2:$E$501,E402)-1,0)))</x:f>
      </x:c>
    </x:row>
    <x:row r="403" ht="24" customHeight="1">
      <x:c r="A403" s="17"/>
      <x:c r="B403" s="16"/>
      <x:c r="C403" s="2"/>
      <x:c r="D403" s="17"/>
      <x:c r="E403" s="2"/>
      <x:c r="F403" s="10"/>
      <x:c r="G403" s="11"/>
      <x:c r="H403" s="2"/>
      <x:c r="I403" s="7"/>
      <x:c r="J403" s="2"/>
      <x:c r="K403" s="2"/>
      <x:c r="L403" s="2"/>
      <x:c r="M403" s="2"/>
      <x:c r="N403" s="11" t="str">
        <x:f>IF(A403="","",IF(AND(ISNUMBER(G403),ISNUMBER(L403),ISNUMBER(M403)),G403+(L403+M403)/1440,""))</x:f>
      </x:c>
      <x:c r="O403" s="2" t="str">
        <x:f>IF(A403="","",IF(OR(N403="",F403=""),"Dados incompletos",IF(OR(I403="pendente",I403="confirmado"),IF(K403="",0,COUNTIFS($F$2:$F$501,F403,$G$2:$G$501,"&lt;"&amp;N403,$N$2:$N$501,"&gt;"&amp;G403,$I$2:$I$501,"pendente",$K$2:$K$501,K403)+COUNTIFS($F$2:$F$501,F403,$G$2:$G$501,"&lt;"&amp;N403,$N$2:$N$501,"&gt;"&amp;G403,$I$2:$I$501,"confirmado",$K$2:$K$501,K403)-1),0)))</x:f>
      </x:c>
      <x:c r="P403" s="2" t="str">
        <x:f>IF(A403="","",IF(OR(N403="",F403=""),"Dados incompletos",IF(OR(I403="pendente",I403="confirmado"),COUNTIFS($F$2:$F$501,F403,$G$2:$G$501,"&lt;"&amp;N403,$N$2:$N$501,"&gt;"&amp;G403,$I$2:$I$501,"pendente",$E$2:$E$501,E403)+COUNTIFS($F$2:$F$501,F403,$G$2:$G$501,"&lt;"&amp;N403,$N$2:$N$501,"&gt;"&amp;G403,$I$2:$I$501,"confirmado",$E$2:$E$501,E403)-1,0)))</x:f>
      </x:c>
    </x:row>
    <x:row r="404" ht="24" customHeight="1">
      <x:c r="A404" s="17"/>
      <x:c r="B404" s="16"/>
      <x:c r="C404" s="2"/>
      <x:c r="D404" s="17"/>
      <x:c r="E404" s="2"/>
      <x:c r="F404" s="10"/>
      <x:c r="G404" s="11"/>
      <x:c r="H404" s="2"/>
      <x:c r="I404" s="7"/>
      <x:c r="J404" s="2"/>
      <x:c r="K404" s="2"/>
      <x:c r="L404" s="2"/>
      <x:c r="M404" s="2"/>
      <x:c r="N404" s="11" t="str">
        <x:f>IF(A404="","",IF(AND(ISNUMBER(G404),ISNUMBER(L404),ISNUMBER(M404)),G404+(L404+M404)/1440,""))</x:f>
      </x:c>
      <x:c r="O404" s="2" t="str">
        <x:f>IF(A404="","",IF(OR(N404="",F404=""),"Dados incompletos",IF(OR(I404="pendente",I404="confirmado"),IF(K404="",0,COUNTIFS($F$2:$F$501,F404,$G$2:$G$501,"&lt;"&amp;N404,$N$2:$N$501,"&gt;"&amp;G404,$I$2:$I$501,"pendente",$K$2:$K$501,K404)+COUNTIFS($F$2:$F$501,F404,$G$2:$G$501,"&lt;"&amp;N404,$N$2:$N$501,"&gt;"&amp;G404,$I$2:$I$501,"confirmado",$K$2:$K$501,K404)-1),0)))</x:f>
      </x:c>
      <x:c r="P404" s="2" t="str">
        <x:f>IF(A404="","",IF(OR(N404="",F404=""),"Dados incompletos",IF(OR(I404="pendente",I404="confirmado"),COUNTIFS($F$2:$F$501,F404,$G$2:$G$501,"&lt;"&amp;N404,$N$2:$N$501,"&gt;"&amp;G404,$I$2:$I$501,"pendente",$E$2:$E$501,E404)+COUNTIFS($F$2:$F$501,F404,$G$2:$G$501,"&lt;"&amp;N404,$N$2:$N$501,"&gt;"&amp;G404,$I$2:$I$501,"confirmado",$E$2:$E$501,E404)-1,0)))</x:f>
      </x:c>
    </x:row>
    <x:row r="405" ht="24" customHeight="1">
      <x:c r="A405" s="17"/>
      <x:c r="B405" s="16"/>
      <x:c r="C405" s="2"/>
      <x:c r="D405" s="17"/>
      <x:c r="E405" s="2"/>
      <x:c r="F405" s="10"/>
      <x:c r="G405" s="11"/>
      <x:c r="H405" s="2"/>
      <x:c r="I405" s="7"/>
      <x:c r="J405" s="2"/>
      <x:c r="K405" s="2"/>
      <x:c r="L405" s="2"/>
      <x:c r="M405" s="2"/>
      <x:c r="N405" s="11" t="str">
        <x:f>IF(A405="","",IF(AND(ISNUMBER(G405),ISNUMBER(L405),ISNUMBER(M405)),G405+(L405+M405)/1440,""))</x:f>
      </x:c>
      <x:c r="O405" s="2" t="str">
        <x:f>IF(A405="","",IF(OR(N405="",F405=""),"Dados incompletos",IF(OR(I405="pendente",I405="confirmado"),IF(K405="",0,COUNTIFS($F$2:$F$501,F405,$G$2:$G$501,"&lt;"&amp;N405,$N$2:$N$501,"&gt;"&amp;G405,$I$2:$I$501,"pendente",$K$2:$K$501,K405)+COUNTIFS($F$2:$F$501,F405,$G$2:$G$501,"&lt;"&amp;N405,$N$2:$N$501,"&gt;"&amp;G405,$I$2:$I$501,"confirmado",$K$2:$K$501,K405)-1),0)))</x:f>
      </x:c>
      <x:c r="P405" s="2" t="str">
        <x:f>IF(A405="","",IF(OR(N405="",F405=""),"Dados incompletos",IF(OR(I405="pendente",I405="confirmado"),COUNTIFS($F$2:$F$501,F405,$G$2:$G$501,"&lt;"&amp;N405,$N$2:$N$501,"&gt;"&amp;G405,$I$2:$I$501,"pendente",$E$2:$E$501,E405)+COUNTIFS($F$2:$F$501,F405,$G$2:$G$501,"&lt;"&amp;N405,$N$2:$N$501,"&gt;"&amp;G405,$I$2:$I$501,"confirmado",$E$2:$E$501,E405)-1,0)))</x:f>
      </x:c>
    </x:row>
    <x:row r="406" ht="24" customHeight="1">
      <x:c r="A406" s="17"/>
      <x:c r="B406" s="16"/>
      <x:c r="C406" s="2"/>
      <x:c r="D406" s="17"/>
      <x:c r="E406" s="2"/>
      <x:c r="F406" s="10"/>
      <x:c r="G406" s="11"/>
      <x:c r="H406" s="2"/>
      <x:c r="I406" s="7"/>
      <x:c r="J406" s="2"/>
      <x:c r="K406" s="2"/>
      <x:c r="L406" s="2"/>
      <x:c r="M406" s="2"/>
      <x:c r="N406" s="11" t="str">
        <x:f>IF(A406="","",IF(AND(ISNUMBER(G406),ISNUMBER(L406),ISNUMBER(M406)),G406+(L406+M406)/1440,""))</x:f>
      </x:c>
      <x:c r="O406" s="2" t="str">
        <x:f>IF(A406="","",IF(OR(N406="",F406=""),"Dados incompletos",IF(OR(I406="pendente",I406="confirmado"),IF(K406="",0,COUNTIFS($F$2:$F$501,F406,$G$2:$G$501,"&lt;"&amp;N406,$N$2:$N$501,"&gt;"&amp;G406,$I$2:$I$501,"pendente",$K$2:$K$501,K406)+COUNTIFS($F$2:$F$501,F406,$G$2:$G$501,"&lt;"&amp;N406,$N$2:$N$501,"&gt;"&amp;G406,$I$2:$I$501,"confirmado",$K$2:$K$501,K406)-1),0)))</x:f>
      </x:c>
      <x:c r="P406" s="2" t="str">
        <x:f>IF(A406="","",IF(OR(N406="",F406=""),"Dados incompletos",IF(OR(I406="pendente",I406="confirmado"),COUNTIFS($F$2:$F$501,F406,$G$2:$G$501,"&lt;"&amp;N406,$N$2:$N$501,"&gt;"&amp;G406,$I$2:$I$501,"pendente",$E$2:$E$501,E406)+COUNTIFS($F$2:$F$501,F406,$G$2:$G$501,"&lt;"&amp;N406,$N$2:$N$501,"&gt;"&amp;G406,$I$2:$I$501,"confirmado",$E$2:$E$501,E406)-1,0)))</x:f>
      </x:c>
    </x:row>
    <x:row r="407" ht="24" customHeight="1">
      <x:c r="A407" s="17"/>
      <x:c r="B407" s="16"/>
      <x:c r="C407" s="2"/>
      <x:c r="D407" s="17"/>
      <x:c r="E407" s="2"/>
      <x:c r="F407" s="10"/>
      <x:c r="G407" s="11"/>
      <x:c r="H407" s="2"/>
      <x:c r="I407" s="7"/>
      <x:c r="J407" s="2"/>
      <x:c r="K407" s="2"/>
      <x:c r="L407" s="2"/>
      <x:c r="M407" s="2"/>
      <x:c r="N407" s="11" t="str">
        <x:f>IF(A407="","",IF(AND(ISNUMBER(G407),ISNUMBER(L407),ISNUMBER(M407)),G407+(L407+M407)/1440,""))</x:f>
      </x:c>
      <x:c r="O407" s="2" t="str">
        <x:f>IF(A407="","",IF(OR(N407="",F407=""),"Dados incompletos",IF(OR(I407="pendente",I407="confirmado"),IF(K407="",0,COUNTIFS($F$2:$F$501,F407,$G$2:$G$501,"&lt;"&amp;N407,$N$2:$N$501,"&gt;"&amp;G407,$I$2:$I$501,"pendente",$K$2:$K$501,K407)+COUNTIFS($F$2:$F$501,F407,$G$2:$G$501,"&lt;"&amp;N407,$N$2:$N$501,"&gt;"&amp;G407,$I$2:$I$501,"confirmado",$K$2:$K$501,K407)-1),0)))</x:f>
      </x:c>
      <x:c r="P407" s="2" t="str">
        <x:f>IF(A407="","",IF(OR(N407="",F407=""),"Dados incompletos",IF(OR(I407="pendente",I407="confirmado"),COUNTIFS($F$2:$F$501,F407,$G$2:$G$501,"&lt;"&amp;N407,$N$2:$N$501,"&gt;"&amp;G407,$I$2:$I$501,"pendente",$E$2:$E$501,E407)+COUNTIFS($F$2:$F$501,F407,$G$2:$G$501,"&lt;"&amp;N407,$N$2:$N$501,"&gt;"&amp;G407,$I$2:$I$501,"confirmado",$E$2:$E$501,E407)-1,0)))</x:f>
      </x:c>
    </x:row>
    <x:row r="408" ht="24" customHeight="1">
      <x:c r="A408" s="17"/>
      <x:c r="B408" s="16"/>
      <x:c r="C408" s="2"/>
      <x:c r="D408" s="17"/>
      <x:c r="E408" s="2"/>
      <x:c r="F408" s="10"/>
      <x:c r="G408" s="11"/>
      <x:c r="H408" s="2"/>
      <x:c r="I408" s="7"/>
      <x:c r="J408" s="2"/>
      <x:c r="K408" s="2"/>
      <x:c r="L408" s="2"/>
      <x:c r="M408" s="2"/>
      <x:c r="N408" s="11" t="str">
        <x:f>IF(A408="","",IF(AND(ISNUMBER(G408),ISNUMBER(L408),ISNUMBER(M408)),G408+(L408+M408)/1440,""))</x:f>
      </x:c>
      <x:c r="O408" s="2" t="str">
        <x:f>IF(A408="","",IF(OR(N408="",F408=""),"Dados incompletos",IF(OR(I408="pendente",I408="confirmado"),IF(K408="",0,COUNTIFS($F$2:$F$501,F408,$G$2:$G$501,"&lt;"&amp;N408,$N$2:$N$501,"&gt;"&amp;G408,$I$2:$I$501,"pendente",$K$2:$K$501,K408)+COUNTIFS($F$2:$F$501,F408,$G$2:$G$501,"&lt;"&amp;N408,$N$2:$N$501,"&gt;"&amp;G408,$I$2:$I$501,"confirmado",$K$2:$K$501,K408)-1),0)))</x:f>
      </x:c>
      <x:c r="P408" s="2" t="str">
        <x:f>IF(A408="","",IF(OR(N408="",F408=""),"Dados incompletos",IF(OR(I408="pendente",I408="confirmado"),COUNTIFS($F$2:$F$501,F408,$G$2:$G$501,"&lt;"&amp;N408,$N$2:$N$501,"&gt;"&amp;G408,$I$2:$I$501,"pendente",$E$2:$E$501,E408)+COUNTIFS($F$2:$F$501,F408,$G$2:$G$501,"&lt;"&amp;N408,$N$2:$N$501,"&gt;"&amp;G408,$I$2:$I$501,"confirmado",$E$2:$E$501,E408)-1,0)))</x:f>
      </x:c>
    </x:row>
    <x:row r="409" ht="24" customHeight="1">
      <x:c r="A409" s="17"/>
      <x:c r="B409" s="16"/>
      <x:c r="C409" s="2"/>
      <x:c r="D409" s="17"/>
      <x:c r="E409" s="2"/>
      <x:c r="F409" s="10"/>
      <x:c r="G409" s="11"/>
      <x:c r="H409" s="2"/>
      <x:c r="I409" s="7"/>
      <x:c r="J409" s="2"/>
      <x:c r="K409" s="2"/>
      <x:c r="L409" s="2"/>
      <x:c r="M409" s="2"/>
      <x:c r="N409" s="11" t="str">
        <x:f>IF(A409="","",IF(AND(ISNUMBER(G409),ISNUMBER(L409),ISNUMBER(M409)),G409+(L409+M409)/1440,""))</x:f>
      </x:c>
      <x:c r="O409" s="2" t="str">
        <x:f>IF(A409="","",IF(OR(N409="",F409=""),"Dados incompletos",IF(OR(I409="pendente",I409="confirmado"),IF(K409="",0,COUNTIFS($F$2:$F$501,F409,$G$2:$G$501,"&lt;"&amp;N409,$N$2:$N$501,"&gt;"&amp;G409,$I$2:$I$501,"pendente",$K$2:$K$501,K409)+COUNTIFS($F$2:$F$501,F409,$G$2:$G$501,"&lt;"&amp;N409,$N$2:$N$501,"&gt;"&amp;G409,$I$2:$I$501,"confirmado",$K$2:$K$501,K409)-1),0)))</x:f>
      </x:c>
      <x:c r="P409" s="2" t="str">
        <x:f>IF(A409="","",IF(OR(N409="",F409=""),"Dados incompletos",IF(OR(I409="pendente",I409="confirmado"),COUNTIFS($F$2:$F$501,F409,$G$2:$G$501,"&lt;"&amp;N409,$N$2:$N$501,"&gt;"&amp;G409,$I$2:$I$501,"pendente",$E$2:$E$501,E409)+COUNTIFS($F$2:$F$501,F409,$G$2:$G$501,"&lt;"&amp;N409,$N$2:$N$501,"&gt;"&amp;G409,$I$2:$I$501,"confirmado",$E$2:$E$501,E409)-1,0)))</x:f>
      </x:c>
    </x:row>
    <x:row r="410" ht="24" customHeight="1">
      <x:c r="A410" s="17"/>
      <x:c r="B410" s="16"/>
      <x:c r="C410" s="2"/>
      <x:c r="D410" s="17"/>
      <x:c r="E410" s="2"/>
      <x:c r="F410" s="10"/>
      <x:c r="G410" s="11"/>
      <x:c r="H410" s="2"/>
      <x:c r="I410" s="7"/>
      <x:c r="J410" s="2"/>
      <x:c r="K410" s="2"/>
      <x:c r="L410" s="2"/>
      <x:c r="M410" s="2"/>
      <x:c r="N410" s="11" t="str">
        <x:f>IF(A410="","",IF(AND(ISNUMBER(G410),ISNUMBER(L410),ISNUMBER(M410)),G410+(L410+M410)/1440,""))</x:f>
      </x:c>
      <x:c r="O410" s="2" t="str">
        <x:f>IF(A410="","",IF(OR(N410="",F410=""),"Dados incompletos",IF(OR(I410="pendente",I410="confirmado"),IF(K410="",0,COUNTIFS($F$2:$F$501,F410,$G$2:$G$501,"&lt;"&amp;N410,$N$2:$N$501,"&gt;"&amp;G410,$I$2:$I$501,"pendente",$K$2:$K$501,K410)+COUNTIFS($F$2:$F$501,F410,$G$2:$G$501,"&lt;"&amp;N410,$N$2:$N$501,"&gt;"&amp;G410,$I$2:$I$501,"confirmado",$K$2:$K$501,K410)-1),0)))</x:f>
      </x:c>
      <x:c r="P410" s="2" t="str">
        <x:f>IF(A410="","",IF(OR(N410="",F410=""),"Dados incompletos",IF(OR(I410="pendente",I410="confirmado"),COUNTIFS($F$2:$F$501,F410,$G$2:$G$501,"&lt;"&amp;N410,$N$2:$N$501,"&gt;"&amp;G410,$I$2:$I$501,"pendente",$E$2:$E$501,E410)+COUNTIFS($F$2:$F$501,F410,$G$2:$G$501,"&lt;"&amp;N410,$N$2:$N$501,"&gt;"&amp;G410,$I$2:$I$501,"confirmado",$E$2:$E$501,E410)-1,0)))</x:f>
      </x:c>
    </x:row>
    <x:row r="411" ht="24" customHeight="1">
      <x:c r="A411" s="17"/>
      <x:c r="B411" s="16"/>
      <x:c r="C411" s="2"/>
      <x:c r="D411" s="17"/>
      <x:c r="E411" s="2"/>
      <x:c r="F411" s="10"/>
      <x:c r="G411" s="11"/>
      <x:c r="H411" s="2"/>
      <x:c r="I411" s="7"/>
      <x:c r="J411" s="2"/>
      <x:c r="K411" s="2"/>
      <x:c r="L411" s="2"/>
      <x:c r="M411" s="2"/>
      <x:c r="N411" s="11" t="str">
        <x:f>IF(A411="","",IF(AND(ISNUMBER(G411),ISNUMBER(L411),ISNUMBER(M411)),G411+(L411+M411)/1440,""))</x:f>
      </x:c>
      <x:c r="O411" s="2" t="str">
        <x:f>IF(A411="","",IF(OR(N411="",F411=""),"Dados incompletos",IF(OR(I411="pendente",I411="confirmado"),IF(K411="",0,COUNTIFS($F$2:$F$501,F411,$G$2:$G$501,"&lt;"&amp;N411,$N$2:$N$501,"&gt;"&amp;G411,$I$2:$I$501,"pendente",$K$2:$K$501,K411)+COUNTIFS($F$2:$F$501,F411,$G$2:$G$501,"&lt;"&amp;N411,$N$2:$N$501,"&gt;"&amp;G411,$I$2:$I$501,"confirmado",$K$2:$K$501,K411)-1),0)))</x:f>
      </x:c>
      <x:c r="P411" s="2" t="str">
        <x:f>IF(A411="","",IF(OR(N411="",F411=""),"Dados incompletos",IF(OR(I411="pendente",I411="confirmado"),COUNTIFS($F$2:$F$501,F411,$G$2:$G$501,"&lt;"&amp;N411,$N$2:$N$501,"&gt;"&amp;G411,$I$2:$I$501,"pendente",$E$2:$E$501,E411)+COUNTIFS($F$2:$F$501,F411,$G$2:$G$501,"&lt;"&amp;N411,$N$2:$N$501,"&gt;"&amp;G411,$I$2:$I$501,"confirmado",$E$2:$E$501,E411)-1,0)))</x:f>
      </x:c>
    </x:row>
    <x:row r="412" ht="24" customHeight="1">
      <x:c r="A412" s="17"/>
      <x:c r="B412" s="16"/>
      <x:c r="C412" s="2"/>
      <x:c r="D412" s="17"/>
      <x:c r="E412" s="2"/>
      <x:c r="F412" s="10"/>
      <x:c r="G412" s="11"/>
      <x:c r="H412" s="2"/>
      <x:c r="I412" s="7"/>
      <x:c r="J412" s="2"/>
      <x:c r="K412" s="2"/>
      <x:c r="L412" s="2"/>
      <x:c r="M412" s="2"/>
      <x:c r="N412" s="11" t="str">
        <x:f>IF(A412="","",IF(AND(ISNUMBER(G412),ISNUMBER(L412),ISNUMBER(M412)),G412+(L412+M412)/1440,""))</x:f>
      </x:c>
      <x:c r="O412" s="2" t="str">
        <x:f>IF(A412="","",IF(OR(N412="",F412=""),"Dados incompletos",IF(OR(I412="pendente",I412="confirmado"),IF(K412="",0,COUNTIFS($F$2:$F$501,F412,$G$2:$G$501,"&lt;"&amp;N412,$N$2:$N$501,"&gt;"&amp;G412,$I$2:$I$501,"pendente",$K$2:$K$501,K412)+COUNTIFS($F$2:$F$501,F412,$G$2:$G$501,"&lt;"&amp;N412,$N$2:$N$501,"&gt;"&amp;G412,$I$2:$I$501,"confirmado",$K$2:$K$501,K412)-1),0)))</x:f>
      </x:c>
      <x:c r="P412" s="2" t="str">
        <x:f>IF(A412="","",IF(OR(N412="",F412=""),"Dados incompletos",IF(OR(I412="pendente",I412="confirmado"),COUNTIFS($F$2:$F$501,F412,$G$2:$G$501,"&lt;"&amp;N412,$N$2:$N$501,"&gt;"&amp;G412,$I$2:$I$501,"pendente",$E$2:$E$501,E412)+COUNTIFS($F$2:$F$501,F412,$G$2:$G$501,"&lt;"&amp;N412,$N$2:$N$501,"&gt;"&amp;G412,$I$2:$I$501,"confirmado",$E$2:$E$501,E412)-1,0)))</x:f>
      </x:c>
    </x:row>
    <x:row r="413" ht="24" customHeight="1">
      <x:c r="A413" s="17"/>
      <x:c r="B413" s="16"/>
      <x:c r="C413" s="2"/>
      <x:c r="D413" s="17"/>
      <x:c r="E413" s="2"/>
      <x:c r="F413" s="10"/>
      <x:c r="G413" s="11"/>
      <x:c r="H413" s="2"/>
      <x:c r="I413" s="7"/>
      <x:c r="J413" s="2"/>
      <x:c r="K413" s="2"/>
      <x:c r="L413" s="2"/>
      <x:c r="M413" s="2"/>
      <x:c r="N413" s="11" t="str">
        <x:f>IF(A413="","",IF(AND(ISNUMBER(G413),ISNUMBER(L413),ISNUMBER(M413)),G413+(L413+M413)/1440,""))</x:f>
      </x:c>
      <x:c r="O413" s="2" t="str">
        <x:f>IF(A413="","",IF(OR(N413="",F413=""),"Dados incompletos",IF(OR(I413="pendente",I413="confirmado"),IF(K413="",0,COUNTIFS($F$2:$F$501,F413,$G$2:$G$501,"&lt;"&amp;N413,$N$2:$N$501,"&gt;"&amp;G413,$I$2:$I$501,"pendente",$K$2:$K$501,K413)+COUNTIFS($F$2:$F$501,F413,$G$2:$G$501,"&lt;"&amp;N413,$N$2:$N$501,"&gt;"&amp;G413,$I$2:$I$501,"confirmado",$K$2:$K$501,K413)-1),0)))</x:f>
      </x:c>
      <x:c r="P413" s="2" t="str">
        <x:f>IF(A413="","",IF(OR(N413="",F413=""),"Dados incompletos",IF(OR(I413="pendente",I413="confirmado"),COUNTIFS($F$2:$F$501,F413,$G$2:$G$501,"&lt;"&amp;N413,$N$2:$N$501,"&gt;"&amp;G413,$I$2:$I$501,"pendente",$E$2:$E$501,E413)+COUNTIFS($F$2:$F$501,F413,$G$2:$G$501,"&lt;"&amp;N413,$N$2:$N$501,"&gt;"&amp;G413,$I$2:$I$501,"confirmado",$E$2:$E$501,E413)-1,0)))</x:f>
      </x:c>
    </x:row>
    <x:row r="414" ht="24" customHeight="1">
      <x:c r="A414" s="17"/>
      <x:c r="B414" s="16"/>
      <x:c r="C414" s="2"/>
      <x:c r="D414" s="17"/>
      <x:c r="E414" s="2"/>
      <x:c r="F414" s="10"/>
      <x:c r="G414" s="11"/>
      <x:c r="H414" s="2"/>
      <x:c r="I414" s="7"/>
      <x:c r="J414" s="2"/>
      <x:c r="K414" s="2"/>
      <x:c r="L414" s="2"/>
      <x:c r="M414" s="2"/>
      <x:c r="N414" s="11" t="str">
        <x:f>IF(A414="","",IF(AND(ISNUMBER(G414),ISNUMBER(L414),ISNUMBER(M414)),G414+(L414+M414)/1440,""))</x:f>
      </x:c>
      <x:c r="O414" s="2" t="str">
        <x:f>IF(A414="","",IF(OR(N414="",F414=""),"Dados incompletos",IF(OR(I414="pendente",I414="confirmado"),IF(K414="",0,COUNTIFS($F$2:$F$501,F414,$G$2:$G$501,"&lt;"&amp;N414,$N$2:$N$501,"&gt;"&amp;G414,$I$2:$I$501,"pendente",$K$2:$K$501,K414)+COUNTIFS($F$2:$F$501,F414,$G$2:$G$501,"&lt;"&amp;N414,$N$2:$N$501,"&gt;"&amp;G414,$I$2:$I$501,"confirmado",$K$2:$K$501,K414)-1),0)))</x:f>
      </x:c>
      <x:c r="P414" s="2" t="str">
        <x:f>IF(A414="","",IF(OR(N414="",F414=""),"Dados incompletos",IF(OR(I414="pendente",I414="confirmado"),COUNTIFS($F$2:$F$501,F414,$G$2:$G$501,"&lt;"&amp;N414,$N$2:$N$501,"&gt;"&amp;G414,$I$2:$I$501,"pendente",$E$2:$E$501,E414)+COUNTIFS($F$2:$F$501,F414,$G$2:$G$501,"&lt;"&amp;N414,$N$2:$N$501,"&gt;"&amp;G414,$I$2:$I$501,"confirmado",$E$2:$E$501,E414)-1,0)))</x:f>
      </x:c>
    </x:row>
    <x:row r="415" ht="24" customHeight="1">
      <x:c r="A415" s="17"/>
      <x:c r="B415" s="16"/>
      <x:c r="C415" s="2"/>
      <x:c r="D415" s="17"/>
      <x:c r="E415" s="2"/>
      <x:c r="F415" s="10"/>
      <x:c r="G415" s="11"/>
      <x:c r="H415" s="2"/>
      <x:c r="I415" s="7"/>
      <x:c r="J415" s="2"/>
      <x:c r="K415" s="2"/>
      <x:c r="L415" s="2"/>
      <x:c r="M415" s="2"/>
      <x:c r="N415" s="11" t="str">
        <x:f>IF(A415="","",IF(AND(ISNUMBER(G415),ISNUMBER(L415),ISNUMBER(M415)),G415+(L415+M415)/1440,""))</x:f>
      </x:c>
      <x:c r="O415" s="2" t="str">
        <x:f>IF(A415="","",IF(OR(N415="",F415=""),"Dados incompletos",IF(OR(I415="pendente",I415="confirmado"),IF(K415="",0,COUNTIFS($F$2:$F$501,F415,$G$2:$G$501,"&lt;"&amp;N415,$N$2:$N$501,"&gt;"&amp;G415,$I$2:$I$501,"pendente",$K$2:$K$501,K415)+COUNTIFS($F$2:$F$501,F415,$G$2:$G$501,"&lt;"&amp;N415,$N$2:$N$501,"&gt;"&amp;G415,$I$2:$I$501,"confirmado",$K$2:$K$501,K415)-1),0)))</x:f>
      </x:c>
      <x:c r="P415" s="2" t="str">
        <x:f>IF(A415="","",IF(OR(N415="",F415=""),"Dados incompletos",IF(OR(I415="pendente",I415="confirmado"),COUNTIFS($F$2:$F$501,F415,$G$2:$G$501,"&lt;"&amp;N415,$N$2:$N$501,"&gt;"&amp;G415,$I$2:$I$501,"pendente",$E$2:$E$501,E415)+COUNTIFS($F$2:$F$501,F415,$G$2:$G$501,"&lt;"&amp;N415,$N$2:$N$501,"&gt;"&amp;G415,$I$2:$I$501,"confirmado",$E$2:$E$501,E415)-1,0)))</x:f>
      </x:c>
    </x:row>
    <x:row r="416" ht="24" customHeight="1">
      <x:c r="A416" s="17"/>
      <x:c r="B416" s="16"/>
      <x:c r="C416" s="2"/>
      <x:c r="D416" s="17"/>
      <x:c r="E416" s="2"/>
      <x:c r="F416" s="10"/>
      <x:c r="G416" s="11"/>
      <x:c r="H416" s="2"/>
      <x:c r="I416" s="7"/>
      <x:c r="J416" s="2"/>
      <x:c r="K416" s="2"/>
      <x:c r="L416" s="2"/>
      <x:c r="M416" s="2"/>
      <x:c r="N416" s="11" t="str">
        <x:f>IF(A416="","",IF(AND(ISNUMBER(G416),ISNUMBER(L416),ISNUMBER(M416)),G416+(L416+M416)/1440,""))</x:f>
      </x:c>
      <x:c r="O416" s="2" t="str">
        <x:f>IF(A416="","",IF(OR(N416="",F416=""),"Dados incompletos",IF(OR(I416="pendente",I416="confirmado"),IF(K416="",0,COUNTIFS($F$2:$F$501,F416,$G$2:$G$501,"&lt;"&amp;N416,$N$2:$N$501,"&gt;"&amp;G416,$I$2:$I$501,"pendente",$K$2:$K$501,K416)+COUNTIFS($F$2:$F$501,F416,$G$2:$G$501,"&lt;"&amp;N416,$N$2:$N$501,"&gt;"&amp;G416,$I$2:$I$501,"confirmado",$K$2:$K$501,K416)-1),0)))</x:f>
      </x:c>
      <x:c r="P416" s="2" t="str">
        <x:f>IF(A416="","",IF(OR(N416="",F416=""),"Dados incompletos",IF(OR(I416="pendente",I416="confirmado"),COUNTIFS($F$2:$F$501,F416,$G$2:$G$501,"&lt;"&amp;N416,$N$2:$N$501,"&gt;"&amp;G416,$I$2:$I$501,"pendente",$E$2:$E$501,E416)+COUNTIFS($F$2:$F$501,F416,$G$2:$G$501,"&lt;"&amp;N416,$N$2:$N$501,"&gt;"&amp;G416,$I$2:$I$501,"confirmado",$E$2:$E$501,E416)-1,0)))</x:f>
      </x:c>
    </x:row>
    <x:row r="417" ht="24" customHeight="1">
      <x:c r="A417" s="17"/>
      <x:c r="B417" s="16"/>
      <x:c r="C417" s="2"/>
      <x:c r="D417" s="17"/>
      <x:c r="E417" s="2"/>
      <x:c r="F417" s="10"/>
      <x:c r="G417" s="11"/>
      <x:c r="H417" s="2"/>
      <x:c r="I417" s="7"/>
      <x:c r="J417" s="2"/>
      <x:c r="K417" s="2"/>
      <x:c r="L417" s="2"/>
      <x:c r="M417" s="2"/>
      <x:c r="N417" s="11" t="str">
        <x:f>IF(A417="","",IF(AND(ISNUMBER(G417),ISNUMBER(L417),ISNUMBER(M417)),G417+(L417+M417)/1440,""))</x:f>
      </x:c>
      <x:c r="O417" s="2" t="str">
        <x:f>IF(A417="","",IF(OR(N417="",F417=""),"Dados incompletos",IF(OR(I417="pendente",I417="confirmado"),IF(K417="",0,COUNTIFS($F$2:$F$501,F417,$G$2:$G$501,"&lt;"&amp;N417,$N$2:$N$501,"&gt;"&amp;G417,$I$2:$I$501,"pendente",$K$2:$K$501,K417)+COUNTIFS($F$2:$F$501,F417,$G$2:$G$501,"&lt;"&amp;N417,$N$2:$N$501,"&gt;"&amp;G417,$I$2:$I$501,"confirmado",$K$2:$K$501,K417)-1),0)))</x:f>
      </x:c>
      <x:c r="P417" s="2" t="str">
        <x:f>IF(A417="","",IF(OR(N417="",F417=""),"Dados incompletos",IF(OR(I417="pendente",I417="confirmado"),COUNTIFS($F$2:$F$501,F417,$G$2:$G$501,"&lt;"&amp;N417,$N$2:$N$501,"&gt;"&amp;G417,$I$2:$I$501,"pendente",$E$2:$E$501,E417)+COUNTIFS($F$2:$F$501,F417,$G$2:$G$501,"&lt;"&amp;N417,$N$2:$N$501,"&gt;"&amp;G417,$I$2:$I$501,"confirmado",$E$2:$E$501,E417)-1,0)))</x:f>
      </x:c>
    </x:row>
    <x:row r="418" ht="24" customHeight="1">
      <x:c r="A418" s="17"/>
      <x:c r="B418" s="16"/>
      <x:c r="C418" s="2"/>
      <x:c r="D418" s="17"/>
      <x:c r="E418" s="2"/>
      <x:c r="F418" s="10"/>
      <x:c r="G418" s="11"/>
      <x:c r="H418" s="2"/>
      <x:c r="I418" s="7"/>
      <x:c r="J418" s="2"/>
      <x:c r="K418" s="2"/>
      <x:c r="L418" s="2"/>
      <x:c r="M418" s="2"/>
      <x:c r="N418" s="11" t="str">
        <x:f>IF(A418="","",IF(AND(ISNUMBER(G418),ISNUMBER(L418),ISNUMBER(M418)),G418+(L418+M418)/1440,""))</x:f>
      </x:c>
      <x:c r="O418" s="2" t="str">
        <x:f>IF(A418="","",IF(OR(N418="",F418=""),"Dados incompletos",IF(OR(I418="pendente",I418="confirmado"),IF(K418="",0,COUNTIFS($F$2:$F$501,F418,$G$2:$G$501,"&lt;"&amp;N418,$N$2:$N$501,"&gt;"&amp;G418,$I$2:$I$501,"pendente",$K$2:$K$501,K418)+COUNTIFS($F$2:$F$501,F418,$G$2:$G$501,"&lt;"&amp;N418,$N$2:$N$501,"&gt;"&amp;G418,$I$2:$I$501,"confirmado",$K$2:$K$501,K418)-1),0)))</x:f>
      </x:c>
      <x:c r="P418" s="2" t="str">
        <x:f>IF(A418="","",IF(OR(N418="",F418=""),"Dados incompletos",IF(OR(I418="pendente",I418="confirmado"),COUNTIFS($F$2:$F$501,F418,$G$2:$G$501,"&lt;"&amp;N418,$N$2:$N$501,"&gt;"&amp;G418,$I$2:$I$501,"pendente",$E$2:$E$501,E418)+COUNTIFS($F$2:$F$501,F418,$G$2:$G$501,"&lt;"&amp;N418,$N$2:$N$501,"&gt;"&amp;G418,$I$2:$I$501,"confirmado",$E$2:$E$501,E418)-1,0)))</x:f>
      </x:c>
    </x:row>
    <x:row r="419" ht="24" customHeight="1">
      <x:c r="A419" s="17"/>
      <x:c r="B419" s="16"/>
      <x:c r="C419" s="2"/>
      <x:c r="D419" s="17"/>
      <x:c r="E419" s="2"/>
      <x:c r="F419" s="10"/>
      <x:c r="G419" s="11"/>
      <x:c r="H419" s="2"/>
      <x:c r="I419" s="7"/>
      <x:c r="J419" s="2"/>
      <x:c r="K419" s="2"/>
      <x:c r="L419" s="2"/>
      <x:c r="M419" s="2"/>
      <x:c r="N419" s="11" t="str">
        <x:f>IF(A419="","",IF(AND(ISNUMBER(G419),ISNUMBER(L419),ISNUMBER(M419)),G419+(L419+M419)/1440,""))</x:f>
      </x:c>
      <x:c r="O419" s="2" t="str">
        <x:f>IF(A419="","",IF(OR(N419="",F419=""),"Dados incompletos",IF(OR(I419="pendente",I419="confirmado"),IF(K419="",0,COUNTIFS($F$2:$F$501,F419,$G$2:$G$501,"&lt;"&amp;N419,$N$2:$N$501,"&gt;"&amp;G419,$I$2:$I$501,"pendente",$K$2:$K$501,K419)+COUNTIFS($F$2:$F$501,F419,$G$2:$G$501,"&lt;"&amp;N419,$N$2:$N$501,"&gt;"&amp;G419,$I$2:$I$501,"confirmado",$K$2:$K$501,K419)-1),0)))</x:f>
      </x:c>
      <x:c r="P419" s="2" t="str">
        <x:f>IF(A419="","",IF(OR(N419="",F419=""),"Dados incompletos",IF(OR(I419="pendente",I419="confirmado"),COUNTIFS($F$2:$F$501,F419,$G$2:$G$501,"&lt;"&amp;N419,$N$2:$N$501,"&gt;"&amp;G419,$I$2:$I$501,"pendente",$E$2:$E$501,E419)+COUNTIFS($F$2:$F$501,F419,$G$2:$G$501,"&lt;"&amp;N419,$N$2:$N$501,"&gt;"&amp;G419,$I$2:$I$501,"confirmado",$E$2:$E$501,E419)-1,0)))</x:f>
      </x:c>
    </x:row>
    <x:row r="420" ht="24" customHeight="1">
      <x:c r="A420" s="17"/>
      <x:c r="B420" s="16"/>
      <x:c r="C420" s="2"/>
      <x:c r="D420" s="17"/>
      <x:c r="E420" s="2"/>
      <x:c r="F420" s="10"/>
      <x:c r="G420" s="11"/>
      <x:c r="H420" s="2"/>
      <x:c r="I420" s="7"/>
      <x:c r="J420" s="2"/>
      <x:c r="K420" s="2"/>
      <x:c r="L420" s="2"/>
      <x:c r="M420" s="2"/>
      <x:c r="N420" s="11" t="str">
        <x:f>IF(A420="","",IF(AND(ISNUMBER(G420),ISNUMBER(L420),ISNUMBER(M420)),G420+(L420+M420)/1440,""))</x:f>
      </x:c>
      <x:c r="O420" s="2" t="str">
        <x:f>IF(A420="","",IF(OR(N420="",F420=""),"Dados incompletos",IF(OR(I420="pendente",I420="confirmado"),IF(K420="",0,COUNTIFS($F$2:$F$501,F420,$G$2:$G$501,"&lt;"&amp;N420,$N$2:$N$501,"&gt;"&amp;G420,$I$2:$I$501,"pendente",$K$2:$K$501,K420)+COUNTIFS($F$2:$F$501,F420,$G$2:$G$501,"&lt;"&amp;N420,$N$2:$N$501,"&gt;"&amp;G420,$I$2:$I$501,"confirmado",$K$2:$K$501,K420)-1),0)))</x:f>
      </x:c>
      <x:c r="P420" s="2" t="str">
        <x:f>IF(A420="","",IF(OR(N420="",F420=""),"Dados incompletos",IF(OR(I420="pendente",I420="confirmado"),COUNTIFS($F$2:$F$501,F420,$G$2:$G$501,"&lt;"&amp;N420,$N$2:$N$501,"&gt;"&amp;G420,$I$2:$I$501,"pendente",$E$2:$E$501,E420)+COUNTIFS($F$2:$F$501,F420,$G$2:$G$501,"&lt;"&amp;N420,$N$2:$N$501,"&gt;"&amp;G420,$I$2:$I$501,"confirmado",$E$2:$E$501,E420)-1,0)))</x:f>
      </x:c>
    </x:row>
    <x:row r="421" ht="24" customHeight="1">
      <x:c r="A421" s="17"/>
      <x:c r="B421" s="16"/>
      <x:c r="C421" s="2"/>
      <x:c r="D421" s="17"/>
      <x:c r="E421" s="2"/>
      <x:c r="F421" s="10"/>
      <x:c r="G421" s="11"/>
      <x:c r="H421" s="2"/>
      <x:c r="I421" s="7"/>
      <x:c r="J421" s="2"/>
      <x:c r="K421" s="2"/>
      <x:c r="L421" s="2"/>
      <x:c r="M421" s="2"/>
      <x:c r="N421" s="11" t="str">
        <x:f>IF(A421="","",IF(AND(ISNUMBER(G421),ISNUMBER(L421),ISNUMBER(M421)),G421+(L421+M421)/1440,""))</x:f>
      </x:c>
      <x:c r="O421" s="2" t="str">
        <x:f>IF(A421="","",IF(OR(N421="",F421=""),"Dados incompletos",IF(OR(I421="pendente",I421="confirmado"),IF(K421="",0,COUNTIFS($F$2:$F$501,F421,$G$2:$G$501,"&lt;"&amp;N421,$N$2:$N$501,"&gt;"&amp;G421,$I$2:$I$501,"pendente",$K$2:$K$501,K421)+COUNTIFS($F$2:$F$501,F421,$G$2:$G$501,"&lt;"&amp;N421,$N$2:$N$501,"&gt;"&amp;G421,$I$2:$I$501,"confirmado",$K$2:$K$501,K421)-1),0)))</x:f>
      </x:c>
      <x:c r="P421" s="2" t="str">
        <x:f>IF(A421="","",IF(OR(N421="",F421=""),"Dados incompletos",IF(OR(I421="pendente",I421="confirmado"),COUNTIFS($F$2:$F$501,F421,$G$2:$G$501,"&lt;"&amp;N421,$N$2:$N$501,"&gt;"&amp;G421,$I$2:$I$501,"pendente",$E$2:$E$501,E421)+COUNTIFS($F$2:$F$501,F421,$G$2:$G$501,"&lt;"&amp;N421,$N$2:$N$501,"&gt;"&amp;G421,$I$2:$I$501,"confirmado",$E$2:$E$501,E421)-1,0)))</x:f>
      </x:c>
    </x:row>
    <x:row r="422" ht="24" customHeight="1">
      <x:c r="A422" s="17"/>
      <x:c r="B422" s="16"/>
      <x:c r="C422" s="2"/>
      <x:c r="D422" s="17"/>
      <x:c r="E422" s="2"/>
      <x:c r="F422" s="10"/>
      <x:c r="G422" s="11"/>
      <x:c r="H422" s="2"/>
      <x:c r="I422" s="7"/>
      <x:c r="J422" s="2"/>
      <x:c r="K422" s="2"/>
      <x:c r="L422" s="2"/>
      <x:c r="M422" s="2"/>
      <x:c r="N422" s="11" t="str">
        <x:f>IF(A422="","",IF(AND(ISNUMBER(G422),ISNUMBER(L422),ISNUMBER(M422)),G422+(L422+M422)/1440,""))</x:f>
      </x:c>
      <x:c r="O422" s="2" t="str">
        <x:f>IF(A422="","",IF(OR(N422="",F422=""),"Dados incompletos",IF(OR(I422="pendente",I422="confirmado"),IF(K422="",0,COUNTIFS($F$2:$F$501,F422,$G$2:$G$501,"&lt;"&amp;N422,$N$2:$N$501,"&gt;"&amp;G422,$I$2:$I$501,"pendente",$K$2:$K$501,K422)+COUNTIFS($F$2:$F$501,F422,$G$2:$G$501,"&lt;"&amp;N422,$N$2:$N$501,"&gt;"&amp;G422,$I$2:$I$501,"confirmado",$K$2:$K$501,K422)-1),0)))</x:f>
      </x:c>
      <x:c r="P422" s="2" t="str">
        <x:f>IF(A422="","",IF(OR(N422="",F422=""),"Dados incompletos",IF(OR(I422="pendente",I422="confirmado"),COUNTIFS($F$2:$F$501,F422,$G$2:$G$501,"&lt;"&amp;N422,$N$2:$N$501,"&gt;"&amp;G422,$I$2:$I$501,"pendente",$E$2:$E$501,E422)+COUNTIFS($F$2:$F$501,F422,$G$2:$G$501,"&lt;"&amp;N422,$N$2:$N$501,"&gt;"&amp;G422,$I$2:$I$501,"confirmado",$E$2:$E$501,E422)-1,0)))</x:f>
      </x:c>
    </x:row>
    <x:row r="423" ht="24" customHeight="1">
      <x:c r="A423" s="17"/>
      <x:c r="B423" s="16"/>
      <x:c r="C423" s="2"/>
      <x:c r="D423" s="17"/>
      <x:c r="E423" s="2"/>
      <x:c r="F423" s="10"/>
      <x:c r="G423" s="11"/>
      <x:c r="H423" s="2"/>
      <x:c r="I423" s="7"/>
      <x:c r="J423" s="2"/>
      <x:c r="K423" s="2"/>
      <x:c r="L423" s="2"/>
      <x:c r="M423" s="2"/>
      <x:c r="N423" s="11" t="str">
        <x:f>IF(A423="","",IF(AND(ISNUMBER(G423),ISNUMBER(L423),ISNUMBER(M423)),G423+(L423+M423)/1440,""))</x:f>
      </x:c>
      <x:c r="O423" s="2" t="str">
        <x:f>IF(A423="","",IF(OR(N423="",F423=""),"Dados incompletos",IF(OR(I423="pendente",I423="confirmado"),IF(K423="",0,COUNTIFS($F$2:$F$501,F423,$G$2:$G$501,"&lt;"&amp;N423,$N$2:$N$501,"&gt;"&amp;G423,$I$2:$I$501,"pendente",$K$2:$K$501,K423)+COUNTIFS($F$2:$F$501,F423,$G$2:$G$501,"&lt;"&amp;N423,$N$2:$N$501,"&gt;"&amp;G423,$I$2:$I$501,"confirmado",$K$2:$K$501,K423)-1),0)))</x:f>
      </x:c>
      <x:c r="P423" s="2" t="str">
        <x:f>IF(A423="","",IF(OR(N423="",F423=""),"Dados incompletos",IF(OR(I423="pendente",I423="confirmado"),COUNTIFS($F$2:$F$501,F423,$G$2:$G$501,"&lt;"&amp;N423,$N$2:$N$501,"&gt;"&amp;G423,$I$2:$I$501,"pendente",$E$2:$E$501,E423)+COUNTIFS($F$2:$F$501,F423,$G$2:$G$501,"&lt;"&amp;N423,$N$2:$N$501,"&gt;"&amp;G423,$I$2:$I$501,"confirmado",$E$2:$E$501,E423)-1,0)))</x:f>
      </x:c>
    </x:row>
    <x:row r="424" ht="24" customHeight="1">
      <x:c r="A424" s="17"/>
      <x:c r="B424" s="16"/>
      <x:c r="C424" s="2"/>
      <x:c r="D424" s="17"/>
      <x:c r="E424" s="2"/>
      <x:c r="F424" s="10"/>
      <x:c r="G424" s="11"/>
      <x:c r="H424" s="2"/>
      <x:c r="I424" s="7"/>
      <x:c r="J424" s="2"/>
      <x:c r="K424" s="2"/>
      <x:c r="L424" s="2"/>
      <x:c r="M424" s="2"/>
      <x:c r="N424" s="11" t="str">
        <x:f>IF(A424="","",IF(AND(ISNUMBER(G424),ISNUMBER(L424),ISNUMBER(M424)),G424+(L424+M424)/1440,""))</x:f>
      </x:c>
      <x:c r="O424" s="2" t="str">
        <x:f>IF(A424="","",IF(OR(N424="",F424=""),"Dados incompletos",IF(OR(I424="pendente",I424="confirmado"),IF(K424="",0,COUNTIFS($F$2:$F$501,F424,$G$2:$G$501,"&lt;"&amp;N424,$N$2:$N$501,"&gt;"&amp;G424,$I$2:$I$501,"pendente",$K$2:$K$501,K424)+COUNTIFS($F$2:$F$501,F424,$G$2:$G$501,"&lt;"&amp;N424,$N$2:$N$501,"&gt;"&amp;G424,$I$2:$I$501,"confirmado",$K$2:$K$501,K424)-1),0)))</x:f>
      </x:c>
      <x:c r="P424" s="2" t="str">
        <x:f>IF(A424="","",IF(OR(N424="",F424=""),"Dados incompletos",IF(OR(I424="pendente",I424="confirmado"),COUNTIFS($F$2:$F$501,F424,$G$2:$G$501,"&lt;"&amp;N424,$N$2:$N$501,"&gt;"&amp;G424,$I$2:$I$501,"pendente",$E$2:$E$501,E424)+COUNTIFS($F$2:$F$501,F424,$G$2:$G$501,"&lt;"&amp;N424,$N$2:$N$501,"&gt;"&amp;G424,$I$2:$I$501,"confirmado",$E$2:$E$501,E424)-1,0)))</x:f>
      </x:c>
    </x:row>
    <x:row r="425" ht="24" customHeight="1">
      <x:c r="A425" s="17"/>
      <x:c r="B425" s="16"/>
      <x:c r="C425" s="2"/>
      <x:c r="D425" s="17"/>
      <x:c r="E425" s="2"/>
      <x:c r="F425" s="10"/>
      <x:c r="G425" s="11"/>
      <x:c r="H425" s="2"/>
      <x:c r="I425" s="7"/>
      <x:c r="J425" s="2"/>
      <x:c r="K425" s="2"/>
      <x:c r="L425" s="2"/>
      <x:c r="M425" s="2"/>
      <x:c r="N425" s="11" t="str">
        <x:f>IF(A425="","",IF(AND(ISNUMBER(G425),ISNUMBER(L425),ISNUMBER(M425)),G425+(L425+M425)/1440,""))</x:f>
      </x:c>
      <x:c r="O425" s="2" t="str">
        <x:f>IF(A425="","",IF(OR(N425="",F425=""),"Dados incompletos",IF(OR(I425="pendente",I425="confirmado"),IF(K425="",0,COUNTIFS($F$2:$F$501,F425,$G$2:$G$501,"&lt;"&amp;N425,$N$2:$N$501,"&gt;"&amp;G425,$I$2:$I$501,"pendente",$K$2:$K$501,K425)+COUNTIFS($F$2:$F$501,F425,$G$2:$G$501,"&lt;"&amp;N425,$N$2:$N$501,"&gt;"&amp;G425,$I$2:$I$501,"confirmado",$K$2:$K$501,K425)-1),0)))</x:f>
      </x:c>
      <x:c r="P425" s="2" t="str">
        <x:f>IF(A425="","",IF(OR(N425="",F425=""),"Dados incompletos",IF(OR(I425="pendente",I425="confirmado"),COUNTIFS($F$2:$F$501,F425,$G$2:$G$501,"&lt;"&amp;N425,$N$2:$N$501,"&gt;"&amp;G425,$I$2:$I$501,"pendente",$E$2:$E$501,E425)+COUNTIFS($F$2:$F$501,F425,$G$2:$G$501,"&lt;"&amp;N425,$N$2:$N$501,"&gt;"&amp;G425,$I$2:$I$501,"confirmado",$E$2:$E$501,E425)-1,0)))</x:f>
      </x:c>
    </x:row>
    <x:row r="426" ht="24" customHeight="1">
      <x:c r="A426" s="17"/>
      <x:c r="B426" s="16"/>
      <x:c r="C426" s="2"/>
      <x:c r="D426" s="17"/>
      <x:c r="E426" s="2"/>
      <x:c r="F426" s="10"/>
      <x:c r="G426" s="11"/>
      <x:c r="H426" s="2"/>
      <x:c r="I426" s="7"/>
      <x:c r="J426" s="2"/>
      <x:c r="K426" s="2"/>
      <x:c r="L426" s="2"/>
      <x:c r="M426" s="2"/>
      <x:c r="N426" s="11" t="str">
        <x:f>IF(A426="","",IF(AND(ISNUMBER(G426),ISNUMBER(L426),ISNUMBER(M426)),G426+(L426+M426)/1440,""))</x:f>
      </x:c>
      <x:c r="O426" s="2" t="str">
        <x:f>IF(A426="","",IF(OR(N426="",F426=""),"Dados incompletos",IF(OR(I426="pendente",I426="confirmado"),IF(K426="",0,COUNTIFS($F$2:$F$501,F426,$G$2:$G$501,"&lt;"&amp;N426,$N$2:$N$501,"&gt;"&amp;G426,$I$2:$I$501,"pendente",$K$2:$K$501,K426)+COUNTIFS($F$2:$F$501,F426,$G$2:$G$501,"&lt;"&amp;N426,$N$2:$N$501,"&gt;"&amp;G426,$I$2:$I$501,"confirmado",$K$2:$K$501,K426)-1),0)))</x:f>
      </x:c>
      <x:c r="P426" s="2" t="str">
        <x:f>IF(A426="","",IF(OR(N426="",F426=""),"Dados incompletos",IF(OR(I426="pendente",I426="confirmado"),COUNTIFS($F$2:$F$501,F426,$G$2:$G$501,"&lt;"&amp;N426,$N$2:$N$501,"&gt;"&amp;G426,$I$2:$I$501,"pendente",$E$2:$E$501,E426)+COUNTIFS($F$2:$F$501,F426,$G$2:$G$501,"&lt;"&amp;N426,$N$2:$N$501,"&gt;"&amp;G426,$I$2:$I$501,"confirmado",$E$2:$E$501,E426)-1,0)))</x:f>
      </x:c>
    </x:row>
    <x:row r="427" ht="24" customHeight="1">
      <x:c r="A427" s="17"/>
      <x:c r="B427" s="16"/>
      <x:c r="C427" s="2"/>
      <x:c r="D427" s="17"/>
      <x:c r="E427" s="2"/>
      <x:c r="F427" s="10"/>
      <x:c r="G427" s="11"/>
      <x:c r="H427" s="2"/>
      <x:c r="I427" s="7"/>
      <x:c r="J427" s="2"/>
      <x:c r="K427" s="2"/>
      <x:c r="L427" s="2"/>
      <x:c r="M427" s="2"/>
      <x:c r="N427" s="11" t="str">
        <x:f>IF(A427="","",IF(AND(ISNUMBER(G427),ISNUMBER(L427),ISNUMBER(M427)),G427+(L427+M427)/1440,""))</x:f>
      </x:c>
      <x:c r="O427" s="2" t="str">
        <x:f>IF(A427="","",IF(OR(N427="",F427=""),"Dados incompletos",IF(OR(I427="pendente",I427="confirmado"),IF(K427="",0,COUNTIFS($F$2:$F$501,F427,$G$2:$G$501,"&lt;"&amp;N427,$N$2:$N$501,"&gt;"&amp;G427,$I$2:$I$501,"pendente",$K$2:$K$501,K427)+COUNTIFS($F$2:$F$501,F427,$G$2:$G$501,"&lt;"&amp;N427,$N$2:$N$501,"&gt;"&amp;G427,$I$2:$I$501,"confirmado",$K$2:$K$501,K427)-1),0)))</x:f>
      </x:c>
      <x:c r="P427" s="2" t="str">
        <x:f>IF(A427="","",IF(OR(N427="",F427=""),"Dados incompletos",IF(OR(I427="pendente",I427="confirmado"),COUNTIFS($F$2:$F$501,F427,$G$2:$G$501,"&lt;"&amp;N427,$N$2:$N$501,"&gt;"&amp;G427,$I$2:$I$501,"pendente",$E$2:$E$501,E427)+COUNTIFS($F$2:$F$501,F427,$G$2:$G$501,"&lt;"&amp;N427,$N$2:$N$501,"&gt;"&amp;G427,$I$2:$I$501,"confirmado",$E$2:$E$501,E427)-1,0)))</x:f>
      </x:c>
    </x:row>
    <x:row r="428" ht="24" customHeight="1">
      <x:c r="A428" s="17"/>
      <x:c r="B428" s="16"/>
      <x:c r="C428" s="2"/>
      <x:c r="D428" s="17"/>
      <x:c r="E428" s="2"/>
      <x:c r="F428" s="10"/>
      <x:c r="G428" s="11"/>
      <x:c r="H428" s="2"/>
      <x:c r="I428" s="7"/>
      <x:c r="J428" s="2"/>
      <x:c r="K428" s="2"/>
      <x:c r="L428" s="2"/>
      <x:c r="M428" s="2"/>
      <x:c r="N428" s="11" t="str">
        <x:f>IF(A428="","",IF(AND(ISNUMBER(G428),ISNUMBER(L428),ISNUMBER(M428)),G428+(L428+M428)/1440,""))</x:f>
      </x:c>
      <x:c r="O428" s="2" t="str">
        <x:f>IF(A428="","",IF(OR(N428="",F428=""),"Dados incompletos",IF(OR(I428="pendente",I428="confirmado"),IF(K428="",0,COUNTIFS($F$2:$F$501,F428,$G$2:$G$501,"&lt;"&amp;N428,$N$2:$N$501,"&gt;"&amp;G428,$I$2:$I$501,"pendente",$K$2:$K$501,K428)+COUNTIFS($F$2:$F$501,F428,$G$2:$G$501,"&lt;"&amp;N428,$N$2:$N$501,"&gt;"&amp;G428,$I$2:$I$501,"confirmado",$K$2:$K$501,K428)-1),0)))</x:f>
      </x:c>
      <x:c r="P428" s="2" t="str">
        <x:f>IF(A428="","",IF(OR(N428="",F428=""),"Dados incompletos",IF(OR(I428="pendente",I428="confirmado"),COUNTIFS($F$2:$F$501,F428,$G$2:$G$501,"&lt;"&amp;N428,$N$2:$N$501,"&gt;"&amp;G428,$I$2:$I$501,"pendente",$E$2:$E$501,E428)+COUNTIFS($F$2:$F$501,F428,$G$2:$G$501,"&lt;"&amp;N428,$N$2:$N$501,"&gt;"&amp;G428,$I$2:$I$501,"confirmado",$E$2:$E$501,E428)-1,0)))</x:f>
      </x:c>
    </x:row>
    <x:row r="429" ht="24" customHeight="1">
      <x:c r="A429" s="17"/>
      <x:c r="B429" s="16"/>
      <x:c r="C429" s="2"/>
      <x:c r="D429" s="17"/>
      <x:c r="E429" s="2"/>
      <x:c r="F429" s="10"/>
      <x:c r="G429" s="11"/>
      <x:c r="H429" s="2"/>
      <x:c r="I429" s="7"/>
      <x:c r="J429" s="2"/>
      <x:c r="K429" s="2"/>
      <x:c r="L429" s="2"/>
      <x:c r="M429" s="2"/>
      <x:c r="N429" s="11" t="str">
        <x:f>IF(A429="","",IF(AND(ISNUMBER(G429),ISNUMBER(L429),ISNUMBER(M429)),G429+(L429+M429)/1440,""))</x:f>
      </x:c>
      <x:c r="O429" s="2" t="str">
        <x:f>IF(A429="","",IF(OR(N429="",F429=""),"Dados incompletos",IF(OR(I429="pendente",I429="confirmado"),IF(K429="",0,COUNTIFS($F$2:$F$501,F429,$G$2:$G$501,"&lt;"&amp;N429,$N$2:$N$501,"&gt;"&amp;G429,$I$2:$I$501,"pendente",$K$2:$K$501,K429)+COUNTIFS($F$2:$F$501,F429,$G$2:$G$501,"&lt;"&amp;N429,$N$2:$N$501,"&gt;"&amp;G429,$I$2:$I$501,"confirmado",$K$2:$K$501,K429)-1),0)))</x:f>
      </x:c>
      <x:c r="P429" s="2" t="str">
        <x:f>IF(A429="","",IF(OR(N429="",F429=""),"Dados incompletos",IF(OR(I429="pendente",I429="confirmado"),COUNTIFS($F$2:$F$501,F429,$G$2:$G$501,"&lt;"&amp;N429,$N$2:$N$501,"&gt;"&amp;G429,$I$2:$I$501,"pendente",$E$2:$E$501,E429)+COUNTIFS($F$2:$F$501,F429,$G$2:$G$501,"&lt;"&amp;N429,$N$2:$N$501,"&gt;"&amp;G429,$I$2:$I$501,"confirmado",$E$2:$E$501,E429)-1,0)))</x:f>
      </x:c>
    </x:row>
    <x:row r="430" ht="24" customHeight="1">
      <x:c r="A430" s="17"/>
      <x:c r="B430" s="16"/>
      <x:c r="C430" s="2"/>
      <x:c r="D430" s="17"/>
      <x:c r="E430" s="2"/>
      <x:c r="F430" s="10"/>
      <x:c r="G430" s="11"/>
      <x:c r="H430" s="2"/>
      <x:c r="I430" s="7"/>
      <x:c r="J430" s="2"/>
      <x:c r="K430" s="2"/>
      <x:c r="L430" s="2"/>
      <x:c r="M430" s="2"/>
      <x:c r="N430" s="11" t="str">
        <x:f>IF(A430="","",IF(AND(ISNUMBER(G430),ISNUMBER(L430),ISNUMBER(M430)),G430+(L430+M430)/1440,""))</x:f>
      </x:c>
      <x:c r="O430" s="2" t="str">
        <x:f>IF(A430="","",IF(OR(N430="",F430=""),"Dados incompletos",IF(OR(I430="pendente",I430="confirmado"),IF(K430="",0,COUNTIFS($F$2:$F$501,F430,$G$2:$G$501,"&lt;"&amp;N430,$N$2:$N$501,"&gt;"&amp;G430,$I$2:$I$501,"pendente",$K$2:$K$501,K430)+COUNTIFS($F$2:$F$501,F430,$G$2:$G$501,"&lt;"&amp;N430,$N$2:$N$501,"&gt;"&amp;G430,$I$2:$I$501,"confirmado",$K$2:$K$501,K430)-1),0)))</x:f>
      </x:c>
      <x:c r="P430" s="2" t="str">
        <x:f>IF(A430="","",IF(OR(N430="",F430=""),"Dados incompletos",IF(OR(I430="pendente",I430="confirmado"),COUNTIFS($F$2:$F$501,F430,$G$2:$G$501,"&lt;"&amp;N430,$N$2:$N$501,"&gt;"&amp;G430,$I$2:$I$501,"pendente",$E$2:$E$501,E430)+COUNTIFS($F$2:$F$501,F430,$G$2:$G$501,"&lt;"&amp;N430,$N$2:$N$501,"&gt;"&amp;G430,$I$2:$I$501,"confirmado",$E$2:$E$501,E430)-1,0)))</x:f>
      </x:c>
    </x:row>
    <x:row r="431" ht="24" customHeight="1">
      <x:c r="A431" s="17"/>
      <x:c r="B431" s="16"/>
      <x:c r="C431" s="2"/>
      <x:c r="D431" s="17"/>
      <x:c r="E431" s="2"/>
      <x:c r="F431" s="10"/>
      <x:c r="G431" s="11"/>
      <x:c r="H431" s="2"/>
      <x:c r="I431" s="7"/>
      <x:c r="J431" s="2"/>
      <x:c r="K431" s="2"/>
      <x:c r="L431" s="2"/>
      <x:c r="M431" s="2"/>
      <x:c r="N431" s="11" t="str">
        <x:f>IF(A431="","",IF(AND(ISNUMBER(G431),ISNUMBER(L431),ISNUMBER(M431)),G431+(L431+M431)/1440,""))</x:f>
      </x:c>
      <x:c r="O431" s="2" t="str">
        <x:f>IF(A431="","",IF(OR(N431="",F431=""),"Dados incompletos",IF(OR(I431="pendente",I431="confirmado"),IF(K431="",0,COUNTIFS($F$2:$F$501,F431,$G$2:$G$501,"&lt;"&amp;N431,$N$2:$N$501,"&gt;"&amp;G431,$I$2:$I$501,"pendente",$K$2:$K$501,K431)+COUNTIFS($F$2:$F$501,F431,$G$2:$G$501,"&lt;"&amp;N431,$N$2:$N$501,"&gt;"&amp;G431,$I$2:$I$501,"confirmado",$K$2:$K$501,K431)-1),0)))</x:f>
      </x:c>
      <x:c r="P431" s="2" t="str">
        <x:f>IF(A431="","",IF(OR(N431="",F431=""),"Dados incompletos",IF(OR(I431="pendente",I431="confirmado"),COUNTIFS($F$2:$F$501,F431,$G$2:$G$501,"&lt;"&amp;N431,$N$2:$N$501,"&gt;"&amp;G431,$I$2:$I$501,"pendente",$E$2:$E$501,E431)+COUNTIFS($F$2:$F$501,F431,$G$2:$G$501,"&lt;"&amp;N431,$N$2:$N$501,"&gt;"&amp;G431,$I$2:$I$501,"confirmado",$E$2:$E$501,E431)-1,0)))</x:f>
      </x:c>
    </x:row>
    <x:row r="432" ht="24" customHeight="1">
      <x:c r="A432" s="17"/>
      <x:c r="B432" s="16"/>
      <x:c r="C432" s="2"/>
      <x:c r="D432" s="17"/>
      <x:c r="E432" s="2"/>
      <x:c r="F432" s="10"/>
      <x:c r="G432" s="11"/>
      <x:c r="H432" s="2"/>
      <x:c r="I432" s="7"/>
      <x:c r="J432" s="2"/>
      <x:c r="K432" s="2"/>
      <x:c r="L432" s="2"/>
      <x:c r="M432" s="2"/>
      <x:c r="N432" s="11" t="str">
        <x:f>IF(A432="","",IF(AND(ISNUMBER(G432),ISNUMBER(L432),ISNUMBER(M432)),G432+(L432+M432)/1440,""))</x:f>
      </x:c>
      <x:c r="O432" s="2" t="str">
        <x:f>IF(A432="","",IF(OR(N432="",F432=""),"Dados incompletos",IF(OR(I432="pendente",I432="confirmado"),IF(K432="",0,COUNTIFS($F$2:$F$501,F432,$G$2:$G$501,"&lt;"&amp;N432,$N$2:$N$501,"&gt;"&amp;G432,$I$2:$I$501,"pendente",$K$2:$K$501,K432)+COUNTIFS($F$2:$F$501,F432,$G$2:$G$501,"&lt;"&amp;N432,$N$2:$N$501,"&gt;"&amp;G432,$I$2:$I$501,"confirmado",$K$2:$K$501,K432)-1),0)))</x:f>
      </x:c>
      <x:c r="P432" s="2" t="str">
        <x:f>IF(A432="","",IF(OR(N432="",F432=""),"Dados incompletos",IF(OR(I432="pendente",I432="confirmado"),COUNTIFS($F$2:$F$501,F432,$G$2:$G$501,"&lt;"&amp;N432,$N$2:$N$501,"&gt;"&amp;G432,$I$2:$I$501,"pendente",$E$2:$E$501,E432)+COUNTIFS($F$2:$F$501,F432,$G$2:$G$501,"&lt;"&amp;N432,$N$2:$N$501,"&gt;"&amp;G432,$I$2:$I$501,"confirmado",$E$2:$E$501,E432)-1,0)))</x:f>
      </x:c>
    </x:row>
    <x:row r="433" ht="24" customHeight="1">
      <x:c r="A433" s="17"/>
      <x:c r="B433" s="16"/>
      <x:c r="C433" s="2"/>
      <x:c r="D433" s="17"/>
      <x:c r="E433" s="2"/>
      <x:c r="F433" s="10"/>
      <x:c r="G433" s="11"/>
      <x:c r="H433" s="2"/>
      <x:c r="I433" s="7"/>
      <x:c r="J433" s="2"/>
      <x:c r="K433" s="2"/>
      <x:c r="L433" s="2"/>
      <x:c r="M433" s="2"/>
      <x:c r="N433" s="11" t="str">
        <x:f>IF(A433="","",IF(AND(ISNUMBER(G433),ISNUMBER(L433),ISNUMBER(M433)),G433+(L433+M433)/1440,""))</x:f>
      </x:c>
      <x:c r="O433" s="2" t="str">
        <x:f>IF(A433="","",IF(OR(N433="",F433=""),"Dados incompletos",IF(OR(I433="pendente",I433="confirmado"),IF(K433="",0,COUNTIFS($F$2:$F$501,F433,$G$2:$G$501,"&lt;"&amp;N433,$N$2:$N$501,"&gt;"&amp;G433,$I$2:$I$501,"pendente",$K$2:$K$501,K433)+COUNTIFS($F$2:$F$501,F433,$G$2:$G$501,"&lt;"&amp;N433,$N$2:$N$501,"&gt;"&amp;G433,$I$2:$I$501,"confirmado",$K$2:$K$501,K433)-1),0)))</x:f>
      </x:c>
      <x:c r="P433" s="2" t="str">
        <x:f>IF(A433="","",IF(OR(N433="",F433=""),"Dados incompletos",IF(OR(I433="pendente",I433="confirmado"),COUNTIFS($F$2:$F$501,F433,$G$2:$G$501,"&lt;"&amp;N433,$N$2:$N$501,"&gt;"&amp;G433,$I$2:$I$501,"pendente",$E$2:$E$501,E433)+COUNTIFS($F$2:$F$501,F433,$G$2:$G$501,"&lt;"&amp;N433,$N$2:$N$501,"&gt;"&amp;G433,$I$2:$I$501,"confirmado",$E$2:$E$501,E433)-1,0)))</x:f>
      </x:c>
    </x:row>
    <x:row r="434" ht="24" customHeight="1">
      <x:c r="A434" s="17"/>
      <x:c r="B434" s="16"/>
      <x:c r="C434" s="2"/>
      <x:c r="D434" s="17"/>
      <x:c r="E434" s="2"/>
      <x:c r="F434" s="10"/>
      <x:c r="G434" s="11"/>
      <x:c r="H434" s="2"/>
      <x:c r="I434" s="7"/>
      <x:c r="J434" s="2"/>
      <x:c r="K434" s="2"/>
      <x:c r="L434" s="2"/>
      <x:c r="M434" s="2"/>
      <x:c r="N434" s="11" t="str">
        <x:f>IF(A434="","",IF(AND(ISNUMBER(G434),ISNUMBER(L434),ISNUMBER(M434)),G434+(L434+M434)/1440,""))</x:f>
      </x:c>
      <x:c r="O434" s="2" t="str">
        <x:f>IF(A434="","",IF(OR(N434="",F434=""),"Dados incompletos",IF(OR(I434="pendente",I434="confirmado"),IF(K434="",0,COUNTIFS($F$2:$F$501,F434,$G$2:$G$501,"&lt;"&amp;N434,$N$2:$N$501,"&gt;"&amp;G434,$I$2:$I$501,"pendente",$K$2:$K$501,K434)+COUNTIFS($F$2:$F$501,F434,$G$2:$G$501,"&lt;"&amp;N434,$N$2:$N$501,"&gt;"&amp;G434,$I$2:$I$501,"confirmado",$K$2:$K$501,K434)-1),0)))</x:f>
      </x:c>
      <x:c r="P434" s="2" t="str">
        <x:f>IF(A434="","",IF(OR(N434="",F434=""),"Dados incompletos",IF(OR(I434="pendente",I434="confirmado"),COUNTIFS($F$2:$F$501,F434,$G$2:$G$501,"&lt;"&amp;N434,$N$2:$N$501,"&gt;"&amp;G434,$I$2:$I$501,"pendente",$E$2:$E$501,E434)+COUNTIFS($F$2:$F$501,F434,$G$2:$G$501,"&lt;"&amp;N434,$N$2:$N$501,"&gt;"&amp;G434,$I$2:$I$501,"confirmado",$E$2:$E$501,E434)-1,0)))</x:f>
      </x:c>
    </x:row>
    <x:row r="435" ht="24" customHeight="1">
      <x:c r="A435" s="17"/>
      <x:c r="B435" s="16"/>
      <x:c r="C435" s="2"/>
      <x:c r="D435" s="17"/>
      <x:c r="E435" s="2"/>
      <x:c r="F435" s="10"/>
      <x:c r="G435" s="11"/>
      <x:c r="H435" s="2"/>
      <x:c r="I435" s="7"/>
      <x:c r="J435" s="2"/>
      <x:c r="K435" s="2"/>
      <x:c r="L435" s="2"/>
      <x:c r="M435" s="2"/>
      <x:c r="N435" s="11" t="str">
        <x:f>IF(A435="","",IF(AND(ISNUMBER(G435),ISNUMBER(L435),ISNUMBER(M435)),G435+(L435+M435)/1440,""))</x:f>
      </x:c>
      <x:c r="O435" s="2" t="str">
        <x:f>IF(A435="","",IF(OR(N435="",F435=""),"Dados incompletos",IF(OR(I435="pendente",I435="confirmado"),IF(K435="",0,COUNTIFS($F$2:$F$501,F435,$G$2:$G$501,"&lt;"&amp;N435,$N$2:$N$501,"&gt;"&amp;G435,$I$2:$I$501,"pendente",$K$2:$K$501,K435)+COUNTIFS($F$2:$F$501,F435,$G$2:$G$501,"&lt;"&amp;N435,$N$2:$N$501,"&gt;"&amp;G435,$I$2:$I$501,"confirmado",$K$2:$K$501,K435)-1),0)))</x:f>
      </x:c>
      <x:c r="P435" s="2" t="str">
        <x:f>IF(A435="","",IF(OR(N435="",F435=""),"Dados incompletos",IF(OR(I435="pendente",I435="confirmado"),COUNTIFS($F$2:$F$501,F435,$G$2:$G$501,"&lt;"&amp;N435,$N$2:$N$501,"&gt;"&amp;G435,$I$2:$I$501,"pendente",$E$2:$E$501,E435)+COUNTIFS($F$2:$F$501,F435,$G$2:$G$501,"&lt;"&amp;N435,$N$2:$N$501,"&gt;"&amp;G435,$I$2:$I$501,"confirmado",$E$2:$E$501,E435)-1,0)))</x:f>
      </x:c>
    </x:row>
    <x:row r="436" ht="24" customHeight="1">
      <x:c r="A436" s="17"/>
      <x:c r="B436" s="16"/>
      <x:c r="C436" s="2"/>
      <x:c r="D436" s="17"/>
      <x:c r="E436" s="2"/>
      <x:c r="F436" s="10"/>
      <x:c r="G436" s="11"/>
      <x:c r="H436" s="2"/>
      <x:c r="I436" s="7"/>
      <x:c r="J436" s="2"/>
      <x:c r="K436" s="2"/>
      <x:c r="L436" s="2"/>
      <x:c r="M436" s="2"/>
      <x:c r="N436" s="11" t="str">
        <x:f>IF(A436="","",IF(AND(ISNUMBER(G436),ISNUMBER(L436),ISNUMBER(M436)),G436+(L436+M436)/1440,""))</x:f>
      </x:c>
      <x:c r="O436" s="2" t="str">
        <x:f>IF(A436="","",IF(OR(N436="",F436=""),"Dados incompletos",IF(OR(I436="pendente",I436="confirmado"),IF(K436="",0,COUNTIFS($F$2:$F$501,F436,$G$2:$G$501,"&lt;"&amp;N436,$N$2:$N$501,"&gt;"&amp;G436,$I$2:$I$501,"pendente",$K$2:$K$501,K436)+COUNTIFS($F$2:$F$501,F436,$G$2:$G$501,"&lt;"&amp;N436,$N$2:$N$501,"&gt;"&amp;G436,$I$2:$I$501,"confirmado",$K$2:$K$501,K436)-1),0)))</x:f>
      </x:c>
      <x:c r="P436" s="2" t="str">
        <x:f>IF(A436="","",IF(OR(N436="",F436=""),"Dados incompletos",IF(OR(I436="pendente",I436="confirmado"),COUNTIFS($F$2:$F$501,F436,$G$2:$G$501,"&lt;"&amp;N436,$N$2:$N$501,"&gt;"&amp;G436,$I$2:$I$501,"pendente",$E$2:$E$501,E436)+COUNTIFS($F$2:$F$501,F436,$G$2:$G$501,"&lt;"&amp;N436,$N$2:$N$501,"&gt;"&amp;G436,$I$2:$I$501,"confirmado",$E$2:$E$501,E436)-1,0)))</x:f>
      </x:c>
    </x:row>
    <x:row r="437" ht="24" customHeight="1">
      <x:c r="A437" s="17"/>
      <x:c r="B437" s="16"/>
      <x:c r="C437" s="2"/>
      <x:c r="D437" s="17"/>
      <x:c r="E437" s="2"/>
      <x:c r="F437" s="10"/>
      <x:c r="G437" s="11"/>
      <x:c r="H437" s="2"/>
      <x:c r="I437" s="7"/>
      <x:c r="J437" s="2"/>
      <x:c r="K437" s="2"/>
      <x:c r="L437" s="2"/>
      <x:c r="M437" s="2"/>
      <x:c r="N437" s="11" t="str">
        <x:f>IF(A437="","",IF(AND(ISNUMBER(G437),ISNUMBER(L437),ISNUMBER(M437)),G437+(L437+M437)/1440,""))</x:f>
      </x:c>
      <x:c r="O437" s="2" t="str">
        <x:f>IF(A437="","",IF(OR(N437="",F437=""),"Dados incompletos",IF(OR(I437="pendente",I437="confirmado"),IF(K437="",0,COUNTIFS($F$2:$F$501,F437,$G$2:$G$501,"&lt;"&amp;N437,$N$2:$N$501,"&gt;"&amp;G437,$I$2:$I$501,"pendente",$K$2:$K$501,K437)+COUNTIFS($F$2:$F$501,F437,$G$2:$G$501,"&lt;"&amp;N437,$N$2:$N$501,"&gt;"&amp;G437,$I$2:$I$501,"confirmado",$K$2:$K$501,K437)-1),0)))</x:f>
      </x:c>
      <x:c r="P437" s="2" t="str">
        <x:f>IF(A437="","",IF(OR(N437="",F437=""),"Dados incompletos",IF(OR(I437="pendente",I437="confirmado"),COUNTIFS($F$2:$F$501,F437,$G$2:$G$501,"&lt;"&amp;N437,$N$2:$N$501,"&gt;"&amp;G437,$I$2:$I$501,"pendente",$E$2:$E$501,E437)+COUNTIFS($F$2:$F$501,F437,$G$2:$G$501,"&lt;"&amp;N437,$N$2:$N$501,"&gt;"&amp;G437,$I$2:$I$501,"confirmado",$E$2:$E$501,E437)-1,0)))</x:f>
      </x:c>
    </x:row>
    <x:row r="438" ht="24" customHeight="1">
      <x:c r="A438" s="17"/>
      <x:c r="B438" s="16"/>
      <x:c r="C438" s="2"/>
      <x:c r="D438" s="17"/>
      <x:c r="E438" s="2"/>
      <x:c r="F438" s="10"/>
      <x:c r="G438" s="11"/>
      <x:c r="H438" s="2"/>
      <x:c r="I438" s="7"/>
      <x:c r="J438" s="2"/>
      <x:c r="K438" s="2"/>
      <x:c r="L438" s="2"/>
      <x:c r="M438" s="2"/>
      <x:c r="N438" s="11" t="str">
        <x:f>IF(A438="","",IF(AND(ISNUMBER(G438),ISNUMBER(L438),ISNUMBER(M438)),G438+(L438+M438)/1440,""))</x:f>
      </x:c>
      <x:c r="O438" s="2" t="str">
        <x:f>IF(A438="","",IF(OR(N438="",F438=""),"Dados incompletos",IF(OR(I438="pendente",I438="confirmado"),IF(K438="",0,COUNTIFS($F$2:$F$501,F438,$G$2:$G$501,"&lt;"&amp;N438,$N$2:$N$501,"&gt;"&amp;G438,$I$2:$I$501,"pendente",$K$2:$K$501,K438)+COUNTIFS($F$2:$F$501,F438,$G$2:$G$501,"&lt;"&amp;N438,$N$2:$N$501,"&gt;"&amp;G438,$I$2:$I$501,"confirmado",$K$2:$K$501,K438)-1),0)))</x:f>
      </x:c>
      <x:c r="P438" s="2" t="str">
        <x:f>IF(A438="","",IF(OR(N438="",F438=""),"Dados incompletos",IF(OR(I438="pendente",I438="confirmado"),COUNTIFS($F$2:$F$501,F438,$G$2:$G$501,"&lt;"&amp;N438,$N$2:$N$501,"&gt;"&amp;G438,$I$2:$I$501,"pendente",$E$2:$E$501,E438)+COUNTIFS($F$2:$F$501,F438,$G$2:$G$501,"&lt;"&amp;N438,$N$2:$N$501,"&gt;"&amp;G438,$I$2:$I$501,"confirmado",$E$2:$E$501,E438)-1,0)))</x:f>
      </x:c>
    </x:row>
    <x:row r="439" ht="24" customHeight="1">
      <x:c r="A439" s="17"/>
      <x:c r="B439" s="16"/>
      <x:c r="C439" s="2"/>
      <x:c r="D439" s="17"/>
      <x:c r="E439" s="2"/>
      <x:c r="F439" s="10"/>
      <x:c r="G439" s="11"/>
      <x:c r="H439" s="2"/>
      <x:c r="I439" s="7"/>
      <x:c r="J439" s="2"/>
      <x:c r="K439" s="2"/>
      <x:c r="L439" s="2"/>
      <x:c r="M439" s="2"/>
      <x:c r="N439" s="11" t="str">
        <x:f>IF(A439="","",IF(AND(ISNUMBER(G439),ISNUMBER(L439),ISNUMBER(M439)),G439+(L439+M439)/1440,""))</x:f>
      </x:c>
      <x:c r="O439" s="2" t="str">
        <x:f>IF(A439="","",IF(OR(N439="",F439=""),"Dados incompletos",IF(OR(I439="pendente",I439="confirmado"),IF(K439="",0,COUNTIFS($F$2:$F$501,F439,$G$2:$G$501,"&lt;"&amp;N439,$N$2:$N$501,"&gt;"&amp;G439,$I$2:$I$501,"pendente",$K$2:$K$501,K439)+COUNTIFS($F$2:$F$501,F439,$G$2:$G$501,"&lt;"&amp;N439,$N$2:$N$501,"&gt;"&amp;G439,$I$2:$I$501,"confirmado",$K$2:$K$501,K439)-1),0)))</x:f>
      </x:c>
      <x:c r="P439" s="2" t="str">
        <x:f>IF(A439="","",IF(OR(N439="",F439=""),"Dados incompletos",IF(OR(I439="pendente",I439="confirmado"),COUNTIFS($F$2:$F$501,F439,$G$2:$G$501,"&lt;"&amp;N439,$N$2:$N$501,"&gt;"&amp;G439,$I$2:$I$501,"pendente",$E$2:$E$501,E439)+COUNTIFS($F$2:$F$501,F439,$G$2:$G$501,"&lt;"&amp;N439,$N$2:$N$501,"&gt;"&amp;G439,$I$2:$I$501,"confirmado",$E$2:$E$501,E439)-1,0)))</x:f>
      </x:c>
    </x:row>
    <x:row r="440" ht="24" customHeight="1">
      <x:c r="A440" s="17"/>
      <x:c r="B440" s="16"/>
      <x:c r="C440" s="2"/>
      <x:c r="D440" s="17"/>
      <x:c r="E440" s="2"/>
      <x:c r="F440" s="10"/>
      <x:c r="G440" s="11"/>
      <x:c r="H440" s="2"/>
      <x:c r="I440" s="7"/>
      <x:c r="J440" s="2"/>
      <x:c r="K440" s="2"/>
      <x:c r="L440" s="2"/>
      <x:c r="M440" s="2"/>
      <x:c r="N440" s="11" t="str">
        <x:f>IF(A440="","",IF(AND(ISNUMBER(G440),ISNUMBER(L440),ISNUMBER(M440)),G440+(L440+M440)/1440,""))</x:f>
      </x:c>
      <x:c r="O440" s="2" t="str">
        <x:f>IF(A440="","",IF(OR(N440="",F440=""),"Dados incompletos",IF(OR(I440="pendente",I440="confirmado"),IF(K440="",0,COUNTIFS($F$2:$F$501,F440,$G$2:$G$501,"&lt;"&amp;N440,$N$2:$N$501,"&gt;"&amp;G440,$I$2:$I$501,"pendente",$K$2:$K$501,K440)+COUNTIFS($F$2:$F$501,F440,$G$2:$G$501,"&lt;"&amp;N440,$N$2:$N$501,"&gt;"&amp;G440,$I$2:$I$501,"confirmado",$K$2:$K$501,K440)-1),0)))</x:f>
      </x:c>
      <x:c r="P440" s="2" t="str">
        <x:f>IF(A440="","",IF(OR(N440="",F440=""),"Dados incompletos",IF(OR(I440="pendente",I440="confirmado"),COUNTIFS($F$2:$F$501,F440,$G$2:$G$501,"&lt;"&amp;N440,$N$2:$N$501,"&gt;"&amp;G440,$I$2:$I$501,"pendente",$E$2:$E$501,E440)+COUNTIFS($F$2:$F$501,F440,$G$2:$G$501,"&lt;"&amp;N440,$N$2:$N$501,"&gt;"&amp;G440,$I$2:$I$501,"confirmado",$E$2:$E$501,E440)-1,0)))</x:f>
      </x:c>
    </x:row>
    <x:row r="441" ht="24" customHeight="1">
      <x:c r="A441" s="17"/>
      <x:c r="B441" s="16"/>
      <x:c r="C441" s="2"/>
      <x:c r="D441" s="17"/>
      <x:c r="E441" s="2"/>
      <x:c r="F441" s="10"/>
      <x:c r="G441" s="11"/>
      <x:c r="H441" s="2"/>
      <x:c r="I441" s="7"/>
      <x:c r="J441" s="2"/>
      <x:c r="K441" s="2"/>
      <x:c r="L441" s="2"/>
      <x:c r="M441" s="2"/>
      <x:c r="N441" s="11" t="str">
        <x:f>IF(A441="","",IF(AND(ISNUMBER(G441),ISNUMBER(L441),ISNUMBER(M441)),G441+(L441+M441)/1440,""))</x:f>
      </x:c>
      <x:c r="O441" s="2" t="str">
        <x:f>IF(A441="","",IF(OR(N441="",F441=""),"Dados incompletos",IF(OR(I441="pendente",I441="confirmado"),IF(K441="",0,COUNTIFS($F$2:$F$501,F441,$G$2:$G$501,"&lt;"&amp;N441,$N$2:$N$501,"&gt;"&amp;G441,$I$2:$I$501,"pendente",$K$2:$K$501,K441)+COUNTIFS($F$2:$F$501,F441,$G$2:$G$501,"&lt;"&amp;N441,$N$2:$N$501,"&gt;"&amp;G441,$I$2:$I$501,"confirmado",$K$2:$K$501,K441)-1),0)))</x:f>
      </x:c>
      <x:c r="P441" s="2" t="str">
        <x:f>IF(A441="","",IF(OR(N441="",F441=""),"Dados incompletos",IF(OR(I441="pendente",I441="confirmado"),COUNTIFS($F$2:$F$501,F441,$G$2:$G$501,"&lt;"&amp;N441,$N$2:$N$501,"&gt;"&amp;G441,$I$2:$I$501,"pendente",$E$2:$E$501,E441)+COUNTIFS($F$2:$F$501,F441,$G$2:$G$501,"&lt;"&amp;N441,$N$2:$N$501,"&gt;"&amp;G441,$I$2:$I$501,"confirmado",$E$2:$E$501,E441)-1,0)))</x:f>
      </x:c>
    </x:row>
    <x:row r="442" ht="24" customHeight="1">
      <x:c r="A442" s="17"/>
      <x:c r="B442" s="16"/>
      <x:c r="C442" s="2"/>
      <x:c r="D442" s="17"/>
      <x:c r="E442" s="2"/>
      <x:c r="F442" s="10"/>
      <x:c r="G442" s="11"/>
      <x:c r="H442" s="2"/>
      <x:c r="I442" s="7"/>
      <x:c r="J442" s="2"/>
      <x:c r="K442" s="2"/>
      <x:c r="L442" s="2"/>
      <x:c r="M442" s="2"/>
      <x:c r="N442" s="11" t="str">
        <x:f>IF(A442="","",IF(AND(ISNUMBER(G442),ISNUMBER(L442),ISNUMBER(M442)),G442+(L442+M442)/1440,""))</x:f>
      </x:c>
      <x:c r="O442" s="2" t="str">
        <x:f>IF(A442="","",IF(OR(N442="",F442=""),"Dados incompletos",IF(OR(I442="pendente",I442="confirmado"),IF(K442="",0,COUNTIFS($F$2:$F$501,F442,$G$2:$G$501,"&lt;"&amp;N442,$N$2:$N$501,"&gt;"&amp;G442,$I$2:$I$501,"pendente",$K$2:$K$501,K442)+COUNTIFS($F$2:$F$501,F442,$G$2:$G$501,"&lt;"&amp;N442,$N$2:$N$501,"&gt;"&amp;G442,$I$2:$I$501,"confirmado",$K$2:$K$501,K442)-1),0)))</x:f>
      </x:c>
      <x:c r="P442" s="2" t="str">
        <x:f>IF(A442="","",IF(OR(N442="",F442=""),"Dados incompletos",IF(OR(I442="pendente",I442="confirmado"),COUNTIFS($F$2:$F$501,F442,$G$2:$G$501,"&lt;"&amp;N442,$N$2:$N$501,"&gt;"&amp;G442,$I$2:$I$501,"pendente",$E$2:$E$501,E442)+COUNTIFS($F$2:$F$501,F442,$G$2:$G$501,"&lt;"&amp;N442,$N$2:$N$501,"&gt;"&amp;G442,$I$2:$I$501,"confirmado",$E$2:$E$501,E442)-1,0)))</x:f>
      </x:c>
    </x:row>
    <x:row r="443" ht="24" customHeight="1">
      <x:c r="A443" s="17"/>
      <x:c r="B443" s="16"/>
      <x:c r="C443" s="2"/>
      <x:c r="D443" s="17"/>
      <x:c r="E443" s="2"/>
      <x:c r="F443" s="10"/>
      <x:c r="G443" s="11"/>
      <x:c r="H443" s="2"/>
      <x:c r="I443" s="7"/>
      <x:c r="J443" s="2"/>
      <x:c r="K443" s="2"/>
      <x:c r="L443" s="2"/>
      <x:c r="M443" s="2"/>
      <x:c r="N443" s="11" t="str">
        <x:f>IF(A443="","",IF(AND(ISNUMBER(G443),ISNUMBER(L443),ISNUMBER(M443)),G443+(L443+M443)/1440,""))</x:f>
      </x:c>
      <x:c r="O443" s="2" t="str">
        <x:f>IF(A443="","",IF(OR(N443="",F443=""),"Dados incompletos",IF(OR(I443="pendente",I443="confirmado"),IF(K443="",0,COUNTIFS($F$2:$F$501,F443,$G$2:$G$501,"&lt;"&amp;N443,$N$2:$N$501,"&gt;"&amp;G443,$I$2:$I$501,"pendente",$K$2:$K$501,K443)+COUNTIFS($F$2:$F$501,F443,$G$2:$G$501,"&lt;"&amp;N443,$N$2:$N$501,"&gt;"&amp;G443,$I$2:$I$501,"confirmado",$K$2:$K$501,K443)-1),0)))</x:f>
      </x:c>
      <x:c r="P443" s="2" t="str">
        <x:f>IF(A443="","",IF(OR(N443="",F443=""),"Dados incompletos",IF(OR(I443="pendente",I443="confirmado"),COUNTIFS($F$2:$F$501,F443,$G$2:$G$501,"&lt;"&amp;N443,$N$2:$N$501,"&gt;"&amp;G443,$I$2:$I$501,"pendente",$E$2:$E$501,E443)+COUNTIFS($F$2:$F$501,F443,$G$2:$G$501,"&lt;"&amp;N443,$N$2:$N$501,"&gt;"&amp;G443,$I$2:$I$501,"confirmado",$E$2:$E$501,E443)-1,0)))</x:f>
      </x:c>
    </x:row>
    <x:row r="444" ht="24" customHeight="1">
      <x:c r="A444" s="17"/>
      <x:c r="B444" s="16"/>
      <x:c r="C444" s="2"/>
      <x:c r="D444" s="17"/>
      <x:c r="E444" s="2"/>
      <x:c r="F444" s="10"/>
      <x:c r="G444" s="11"/>
      <x:c r="H444" s="2"/>
      <x:c r="I444" s="7"/>
      <x:c r="J444" s="2"/>
      <x:c r="K444" s="2"/>
      <x:c r="L444" s="2"/>
      <x:c r="M444" s="2"/>
      <x:c r="N444" s="11" t="str">
        <x:f>IF(A444="","",IF(AND(ISNUMBER(G444),ISNUMBER(L444),ISNUMBER(M444)),G444+(L444+M444)/1440,""))</x:f>
      </x:c>
      <x:c r="O444" s="2" t="str">
        <x:f>IF(A444="","",IF(OR(N444="",F444=""),"Dados incompletos",IF(OR(I444="pendente",I444="confirmado"),IF(K444="",0,COUNTIFS($F$2:$F$501,F444,$G$2:$G$501,"&lt;"&amp;N444,$N$2:$N$501,"&gt;"&amp;G444,$I$2:$I$501,"pendente",$K$2:$K$501,K444)+COUNTIFS($F$2:$F$501,F444,$G$2:$G$501,"&lt;"&amp;N444,$N$2:$N$501,"&gt;"&amp;G444,$I$2:$I$501,"confirmado",$K$2:$K$501,K444)-1),0)))</x:f>
      </x:c>
      <x:c r="P444" s="2" t="str">
        <x:f>IF(A444="","",IF(OR(N444="",F444=""),"Dados incompletos",IF(OR(I444="pendente",I444="confirmado"),COUNTIFS($F$2:$F$501,F444,$G$2:$G$501,"&lt;"&amp;N444,$N$2:$N$501,"&gt;"&amp;G444,$I$2:$I$501,"pendente",$E$2:$E$501,E444)+COUNTIFS($F$2:$F$501,F444,$G$2:$G$501,"&lt;"&amp;N444,$N$2:$N$501,"&gt;"&amp;G444,$I$2:$I$501,"confirmado",$E$2:$E$501,E444)-1,0)))</x:f>
      </x:c>
    </x:row>
    <x:row r="445" ht="24" customHeight="1">
      <x:c r="A445" s="17"/>
      <x:c r="B445" s="16"/>
      <x:c r="C445" s="2"/>
      <x:c r="D445" s="17"/>
      <x:c r="E445" s="2"/>
      <x:c r="F445" s="10"/>
      <x:c r="G445" s="11"/>
      <x:c r="H445" s="2"/>
      <x:c r="I445" s="7"/>
      <x:c r="J445" s="2"/>
      <x:c r="K445" s="2"/>
      <x:c r="L445" s="2"/>
      <x:c r="M445" s="2"/>
      <x:c r="N445" s="11" t="str">
        <x:f>IF(A445="","",IF(AND(ISNUMBER(G445),ISNUMBER(L445),ISNUMBER(M445)),G445+(L445+M445)/1440,""))</x:f>
      </x:c>
      <x:c r="O445" s="2" t="str">
        <x:f>IF(A445="","",IF(OR(N445="",F445=""),"Dados incompletos",IF(OR(I445="pendente",I445="confirmado"),IF(K445="",0,COUNTIFS($F$2:$F$501,F445,$G$2:$G$501,"&lt;"&amp;N445,$N$2:$N$501,"&gt;"&amp;G445,$I$2:$I$501,"pendente",$K$2:$K$501,K445)+COUNTIFS($F$2:$F$501,F445,$G$2:$G$501,"&lt;"&amp;N445,$N$2:$N$501,"&gt;"&amp;G445,$I$2:$I$501,"confirmado",$K$2:$K$501,K445)-1),0)))</x:f>
      </x:c>
      <x:c r="P445" s="2" t="str">
        <x:f>IF(A445="","",IF(OR(N445="",F445=""),"Dados incompletos",IF(OR(I445="pendente",I445="confirmado"),COUNTIFS($F$2:$F$501,F445,$G$2:$G$501,"&lt;"&amp;N445,$N$2:$N$501,"&gt;"&amp;G445,$I$2:$I$501,"pendente",$E$2:$E$501,E445)+COUNTIFS($F$2:$F$501,F445,$G$2:$G$501,"&lt;"&amp;N445,$N$2:$N$501,"&gt;"&amp;G445,$I$2:$I$501,"confirmado",$E$2:$E$501,E445)-1,0)))</x:f>
      </x:c>
    </x:row>
    <x:row r="446" ht="24" customHeight="1">
      <x:c r="A446" s="17"/>
      <x:c r="B446" s="16"/>
      <x:c r="C446" s="2"/>
      <x:c r="D446" s="17"/>
      <x:c r="E446" s="2"/>
      <x:c r="F446" s="10"/>
      <x:c r="G446" s="11"/>
      <x:c r="H446" s="2"/>
      <x:c r="I446" s="7"/>
      <x:c r="J446" s="2"/>
      <x:c r="K446" s="2"/>
      <x:c r="L446" s="2"/>
      <x:c r="M446" s="2"/>
      <x:c r="N446" s="11" t="str">
        <x:f>IF(A446="","",IF(AND(ISNUMBER(G446),ISNUMBER(L446),ISNUMBER(M446)),G446+(L446+M446)/1440,""))</x:f>
      </x:c>
      <x:c r="O446" s="2" t="str">
        <x:f>IF(A446="","",IF(OR(N446="",F446=""),"Dados incompletos",IF(OR(I446="pendente",I446="confirmado"),IF(K446="",0,COUNTIFS($F$2:$F$501,F446,$G$2:$G$501,"&lt;"&amp;N446,$N$2:$N$501,"&gt;"&amp;G446,$I$2:$I$501,"pendente",$K$2:$K$501,K446)+COUNTIFS($F$2:$F$501,F446,$G$2:$G$501,"&lt;"&amp;N446,$N$2:$N$501,"&gt;"&amp;G446,$I$2:$I$501,"confirmado",$K$2:$K$501,K446)-1),0)))</x:f>
      </x:c>
      <x:c r="P446" s="2" t="str">
        <x:f>IF(A446="","",IF(OR(N446="",F446=""),"Dados incompletos",IF(OR(I446="pendente",I446="confirmado"),COUNTIFS($F$2:$F$501,F446,$G$2:$G$501,"&lt;"&amp;N446,$N$2:$N$501,"&gt;"&amp;G446,$I$2:$I$501,"pendente",$E$2:$E$501,E446)+COUNTIFS($F$2:$F$501,F446,$G$2:$G$501,"&lt;"&amp;N446,$N$2:$N$501,"&gt;"&amp;G446,$I$2:$I$501,"confirmado",$E$2:$E$501,E446)-1,0)))</x:f>
      </x:c>
    </x:row>
    <x:row r="447" ht="24" customHeight="1">
      <x:c r="A447" s="17"/>
      <x:c r="B447" s="16"/>
      <x:c r="C447" s="2"/>
      <x:c r="D447" s="17"/>
      <x:c r="E447" s="2"/>
      <x:c r="F447" s="10"/>
      <x:c r="G447" s="11"/>
      <x:c r="H447" s="2"/>
      <x:c r="I447" s="7"/>
      <x:c r="J447" s="2"/>
      <x:c r="K447" s="2"/>
      <x:c r="L447" s="2"/>
      <x:c r="M447" s="2"/>
      <x:c r="N447" s="11" t="str">
        <x:f>IF(A447="","",IF(AND(ISNUMBER(G447),ISNUMBER(L447),ISNUMBER(M447)),G447+(L447+M447)/1440,""))</x:f>
      </x:c>
      <x:c r="O447" s="2" t="str">
        <x:f>IF(A447="","",IF(OR(N447="",F447=""),"Dados incompletos",IF(OR(I447="pendente",I447="confirmado"),IF(K447="",0,COUNTIFS($F$2:$F$501,F447,$G$2:$G$501,"&lt;"&amp;N447,$N$2:$N$501,"&gt;"&amp;G447,$I$2:$I$501,"pendente",$K$2:$K$501,K447)+COUNTIFS($F$2:$F$501,F447,$G$2:$G$501,"&lt;"&amp;N447,$N$2:$N$501,"&gt;"&amp;G447,$I$2:$I$501,"confirmado",$K$2:$K$501,K447)-1),0)))</x:f>
      </x:c>
      <x:c r="P447" s="2" t="str">
        <x:f>IF(A447="","",IF(OR(N447="",F447=""),"Dados incompletos",IF(OR(I447="pendente",I447="confirmado"),COUNTIFS($F$2:$F$501,F447,$G$2:$G$501,"&lt;"&amp;N447,$N$2:$N$501,"&gt;"&amp;G447,$I$2:$I$501,"pendente",$E$2:$E$501,E447)+COUNTIFS($F$2:$F$501,F447,$G$2:$G$501,"&lt;"&amp;N447,$N$2:$N$501,"&gt;"&amp;G447,$I$2:$I$501,"confirmado",$E$2:$E$501,E447)-1,0)))</x:f>
      </x:c>
    </x:row>
    <x:row r="448" ht="24" customHeight="1">
      <x:c r="A448" s="17"/>
      <x:c r="B448" s="16"/>
      <x:c r="C448" s="2"/>
      <x:c r="D448" s="17"/>
      <x:c r="E448" s="2"/>
      <x:c r="F448" s="10"/>
      <x:c r="G448" s="11"/>
      <x:c r="H448" s="2"/>
      <x:c r="I448" s="7"/>
      <x:c r="J448" s="2"/>
      <x:c r="K448" s="2"/>
      <x:c r="L448" s="2"/>
      <x:c r="M448" s="2"/>
      <x:c r="N448" s="11" t="str">
        <x:f>IF(A448="","",IF(AND(ISNUMBER(G448),ISNUMBER(L448),ISNUMBER(M448)),G448+(L448+M448)/1440,""))</x:f>
      </x:c>
      <x:c r="O448" s="2" t="str">
        <x:f>IF(A448="","",IF(OR(N448="",F448=""),"Dados incompletos",IF(OR(I448="pendente",I448="confirmado"),IF(K448="",0,COUNTIFS($F$2:$F$501,F448,$G$2:$G$501,"&lt;"&amp;N448,$N$2:$N$501,"&gt;"&amp;G448,$I$2:$I$501,"pendente",$K$2:$K$501,K448)+COUNTIFS($F$2:$F$501,F448,$G$2:$G$501,"&lt;"&amp;N448,$N$2:$N$501,"&gt;"&amp;G448,$I$2:$I$501,"confirmado",$K$2:$K$501,K448)-1),0)))</x:f>
      </x:c>
      <x:c r="P448" s="2" t="str">
        <x:f>IF(A448="","",IF(OR(N448="",F448=""),"Dados incompletos",IF(OR(I448="pendente",I448="confirmado"),COUNTIFS($F$2:$F$501,F448,$G$2:$G$501,"&lt;"&amp;N448,$N$2:$N$501,"&gt;"&amp;G448,$I$2:$I$501,"pendente",$E$2:$E$501,E448)+COUNTIFS($F$2:$F$501,F448,$G$2:$G$501,"&lt;"&amp;N448,$N$2:$N$501,"&gt;"&amp;G448,$I$2:$I$501,"confirmado",$E$2:$E$501,E448)-1,0)))</x:f>
      </x:c>
    </x:row>
    <x:row r="449" ht="24" customHeight="1">
      <x:c r="A449" s="17"/>
      <x:c r="B449" s="16"/>
      <x:c r="C449" s="2"/>
      <x:c r="D449" s="17"/>
      <x:c r="E449" s="2"/>
      <x:c r="F449" s="10"/>
      <x:c r="G449" s="11"/>
      <x:c r="H449" s="2"/>
      <x:c r="I449" s="7"/>
      <x:c r="J449" s="2"/>
      <x:c r="K449" s="2"/>
      <x:c r="L449" s="2"/>
      <x:c r="M449" s="2"/>
      <x:c r="N449" s="11" t="str">
        <x:f>IF(A449="","",IF(AND(ISNUMBER(G449),ISNUMBER(L449),ISNUMBER(M449)),G449+(L449+M449)/1440,""))</x:f>
      </x:c>
      <x:c r="O449" s="2" t="str">
        <x:f>IF(A449="","",IF(OR(N449="",F449=""),"Dados incompletos",IF(OR(I449="pendente",I449="confirmado"),IF(K449="",0,COUNTIFS($F$2:$F$501,F449,$G$2:$G$501,"&lt;"&amp;N449,$N$2:$N$501,"&gt;"&amp;G449,$I$2:$I$501,"pendente",$K$2:$K$501,K449)+COUNTIFS($F$2:$F$501,F449,$G$2:$G$501,"&lt;"&amp;N449,$N$2:$N$501,"&gt;"&amp;G449,$I$2:$I$501,"confirmado",$K$2:$K$501,K449)-1),0)))</x:f>
      </x:c>
      <x:c r="P449" s="2" t="str">
        <x:f>IF(A449="","",IF(OR(N449="",F449=""),"Dados incompletos",IF(OR(I449="pendente",I449="confirmado"),COUNTIFS($F$2:$F$501,F449,$G$2:$G$501,"&lt;"&amp;N449,$N$2:$N$501,"&gt;"&amp;G449,$I$2:$I$501,"pendente",$E$2:$E$501,E449)+COUNTIFS($F$2:$F$501,F449,$G$2:$G$501,"&lt;"&amp;N449,$N$2:$N$501,"&gt;"&amp;G449,$I$2:$I$501,"confirmado",$E$2:$E$501,E449)-1,0)))</x:f>
      </x:c>
    </x:row>
    <x:row r="450" ht="24" customHeight="1">
      <x:c r="A450" s="17"/>
      <x:c r="B450" s="16"/>
      <x:c r="C450" s="2"/>
      <x:c r="D450" s="17"/>
      <x:c r="E450" s="2"/>
      <x:c r="F450" s="10"/>
      <x:c r="G450" s="11"/>
      <x:c r="H450" s="2"/>
      <x:c r="I450" s="7"/>
      <x:c r="J450" s="2"/>
      <x:c r="K450" s="2"/>
      <x:c r="L450" s="2"/>
      <x:c r="M450" s="2"/>
      <x:c r="N450" s="11" t="str">
        <x:f>IF(A450="","",IF(AND(ISNUMBER(G450),ISNUMBER(L450),ISNUMBER(M450)),G450+(L450+M450)/1440,""))</x:f>
      </x:c>
      <x:c r="O450" s="2" t="str">
        <x:f>IF(A450="","",IF(OR(N450="",F450=""),"Dados incompletos",IF(OR(I450="pendente",I450="confirmado"),IF(K450="",0,COUNTIFS($F$2:$F$501,F450,$G$2:$G$501,"&lt;"&amp;N450,$N$2:$N$501,"&gt;"&amp;G450,$I$2:$I$501,"pendente",$K$2:$K$501,K450)+COUNTIFS($F$2:$F$501,F450,$G$2:$G$501,"&lt;"&amp;N450,$N$2:$N$501,"&gt;"&amp;G450,$I$2:$I$501,"confirmado",$K$2:$K$501,K450)-1),0)))</x:f>
      </x:c>
      <x:c r="P450" s="2" t="str">
        <x:f>IF(A450="","",IF(OR(N450="",F450=""),"Dados incompletos",IF(OR(I450="pendente",I450="confirmado"),COUNTIFS($F$2:$F$501,F450,$G$2:$G$501,"&lt;"&amp;N450,$N$2:$N$501,"&gt;"&amp;G450,$I$2:$I$501,"pendente",$E$2:$E$501,E450)+COUNTIFS($F$2:$F$501,F450,$G$2:$G$501,"&lt;"&amp;N450,$N$2:$N$501,"&gt;"&amp;G450,$I$2:$I$501,"confirmado",$E$2:$E$501,E450)-1,0)))</x:f>
      </x:c>
    </x:row>
    <x:row r="451" ht="24" customHeight="1">
      <x:c r="A451" s="17"/>
      <x:c r="B451" s="16"/>
      <x:c r="C451" s="2"/>
      <x:c r="D451" s="17"/>
      <x:c r="E451" s="2"/>
      <x:c r="F451" s="10"/>
      <x:c r="G451" s="11"/>
      <x:c r="H451" s="2"/>
      <x:c r="I451" s="7"/>
      <x:c r="J451" s="2"/>
      <x:c r="K451" s="2"/>
      <x:c r="L451" s="2"/>
      <x:c r="M451" s="2"/>
      <x:c r="N451" s="11" t="str">
        <x:f>IF(A451="","",IF(AND(ISNUMBER(G451),ISNUMBER(L451),ISNUMBER(M451)),G451+(L451+M451)/1440,""))</x:f>
      </x:c>
      <x:c r="O451" s="2" t="str">
        <x:f>IF(A451="","",IF(OR(N451="",F451=""),"Dados incompletos",IF(OR(I451="pendente",I451="confirmado"),IF(K451="",0,COUNTIFS($F$2:$F$501,F451,$G$2:$G$501,"&lt;"&amp;N451,$N$2:$N$501,"&gt;"&amp;G451,$I$2:$I$501,"pendente",$K$2:$K$501,K451)+COUNTIFS($F$2:$F$501,F451,$G$2:$G$501,"&lt;"&amp;N451,$N$2:$N$501,"&gt;"&amp;G451,$I$2:$I$501,"confirmado",$K$2:$K$501,K451)-1),0)))</x:f>
      </x:c>
      <x:c r="P451" s="2" t="str">
        <x:f>IF(A451="","",IF(OR(N451="",F451=""),"Dados incompletos",IF(OR(I451="pendente",I451="confirmado"),COUNTIFS($F$2:$F$501,F451,$G$2:$G$501,"&lt;"&amp;N451,$N$2:$N$501,"&gt;"&amp;G451,$I$2:$I$501,"pendente",$E$2:$E$501,E451)+COUNTIFS($F$2:$F$501,F451,$G$2:$G$501,"&lt;"&amp;N451,$N$2:$N$501,"&gt;"&amp;G451,$I$2:$I$501,"confirmado",$E$2:$E$501,E451)-1,0)))</x:f>
      </x:c>
    </x:row>
    <x:row r="452" ht="24" customHeight="1">
      <x:c r="A452" s="17"/>
      <x:c r="B452" s="16"/>
      <x:c r="C452" s="2"/>
      <x:c r="D452" s="17"/>
      <x:c r="E452" s="2"/>
      <x:c r="F452" s="10"/>
      <x:c r="G452" s="11"/>
      <x:c r="H452" s="2"/>
      <x:c r="I452" s="7"/>
      <x:c r="J452" s="2"/>
      <x:c r="K452" s="2"/>
      <x:c r="L452" s="2"/>
      <x:c r="M452" s="2"/>
      <x:c r="N452" s="11" t="str">
        <x:f>IF(A452="","",IF(AND(ISNUMBER(G452),ISNUMBER(L452),ISNUMBER(M452)),G452+(L452+M452)/1440,""))</x:f>
      </x:c>
      <x:c r="O452" s="2" t="str">
        <x:f>IF(A452="","",IF(OR(N452="",F452=""),"Dados incompletos",IF(OR(I452="pendente",I452="confirmado"),IF(K452="",0,COUNTIFS($F$2:$F$501,F452,$G$2:$G$501,"&lt;"&amp;N452,$N$2:$N$501,"&gt;"&amp;G452,$I$2:$I$501,"pendente",$K$2:$K$501,K452)+COUNTIFS($F$2:$F$501,F452,$G$2:$G$501,"&lt;"&amp;N452,$N$2:$N$501,"&gt;"&amp;G452,$I$2:$I$501,"confirmado",$K$2:$K$501,K452)-1),0)))</x:f>
      </x:c>
      <x:c r="P452" s="2" t="str">
        <x:f>IF(A452="","",IF(OR(N452="",F452=""),"Dados incompletos",IF(OR(I452="pendente",I452="confirmado"),COUNTIFS($F$2:$F$501,F452,$G$2:$G$501,"&lt;"&amp;N452,$N$2:$N$501,"&gt;"&amp;G452,$I$2:$I$501,"pendente",$E$2:$E$501,E452)+COUNTIFS($F$2:$F$501,F452,$G$2:$G$501,"&lt;"&amp;N452,$N$2:$N$501,"&gt;"&amp;G452,$I$2:$I$501,"confirmado",$E$2:$E$501,E452)-1,0)))</x:f>
      </x:c>
    </x:row>
    <x:row r="453" ht="24" customHeight="1">
      <x:c r="A453" s="17"/>
      <x:c r="B453" s="16"/>
      <x:c r="C453" s="2"/>
      <x:c r="D453" s="17"/>
      <x:c r="E453" s="2"/>
      <x:c r="F453" s="10"/>
      <x:c r="G453" s="11"/>
      <x:c r="H453" s="2"/>
      <x:c r="I453" s="7"/>
      <x:c r="J453" s="2"/>
      <x:c r="K453" s="2"/>
      <x:c r="L453" s="2"/>
      <x:c r="M453" s="2"/>
      <x:c r="N453" s="11" t="str">
        <x:f>IF(A453="","",IF(AND(ISNUMBER(G453),ISNUMBER(L453),ISNUMBER(M453)),G453+(L453+M453)/1440,""))</x:f>
      </x:c>
      <x:c r="O453" s="2" t="str">
        <x:f>IF(A453="","",IF(OR(N453="",F453=""),"Dados incompletos",IF(OR(I453="pendente",I453="confirmado"),IF(K453="",0,COUNTIFS($F$2:$F$501,F453,$G$2:$G$501,"&lt;"&amp;N453,$N$2:$N$501,"&gt;"&amp;G453,$I$2:$I$501,"pendente",$K$2:$K$501,K453)+COUNTIFS($F$2:$F$501,F453,$G$2:$G$501,"&lt;"&amp;N453,$N$2:$N$501,"&gt;"&amp;G453,$I$2:$I$501,"confirmado",$K$2:$K$501,K453)-1),0)))</x:f>
      </x:c>
      <x:c r="P453" s="2" t="str">
        <x:f>IF(A453="","",IF(OR(N453="",F453=""),"Dados incompletos",IF(OR(I453="pendente",I453="confirmado"),COUNTIFS($F$2:$F$501,F453,$G$2:$G$501,"&lt;"&amp;N453,$N$2:$N$501,"&gt;"&amp;G453,$I$2:$I$501,"pendente",$E$2:$E$501,E453)+COUNTIFS($F$2:$F$501,F453,$G$2:$G$501,"&lt;"&amp;N453,$N$2:$N$501,"&gt;"&amp;G453,$I$2:$I$501,"confirmado",$E$2:$E$501,E453)-1,0)))</x:f>
      </x:c>
    </x:row>
    <x:row r="454" ht="24" customHeight="1">
      <x:c r="A454" s="17"/>
      <x:c r="B454" s="16"/>
      <x:c r="C454" s="2"/>
      <x:c r="D454" s="17"/>
      <x:c r="E454" s="2"/>
      <x:c r="F454" s="10"/>
      <x:c r="G454" s="11"/>
      <x:c r="H454" s="2"/>
      <x:c r="I454" s="7"/>
      <x:c r="J454" s="2"/>
      <x:c r="K454" s="2"/>
      <x:c r="L454" s="2"/>
      <x:c r="M454" s="2"/>
      <x:c r="N454" s="11" t="str">
        <x:f>IF(A454="","",IF(AND(ISNUMBER(G454),ISNUMBER(L454),ISNUMBER(M454)),G454+(L454+M454)/1440,""))</x:f>
      </x:c>
      <x:c r="O454" s="2" t="str">
        <x:f>IF(A454="","",IF(OR(N454="",F454=""),"Dados incompletos",IF(OR(I454="pendente",I454="confirmado"),IF(K454="",0,COUNTIFS($F$2:$F$501,F454,$G$2:$G$501,"&lt;"&amp;N454,$N$2:$N$501,"&gt;"&amp;G454,$I$2:$I$501,"pendente",$K$2:$K$501,K454)+COUNTIFS($F$2:$F$501,F454,$G$2:$G$501,"&lt;"&amp;N454,$N$2:$N$501,"&gt;"&amp;G454,$I$2:$I$501,"confirmado",$K$2:$K$501,K454)-1),0)))</x:f>
      </x:c>
      <x:c r="P454" s="2" t="str">
        <x:f>IF(A454="","",IF(OR(N454="",F454=""),"Dados incompletos",IF(OR(I454="pendente",I454="confirmado"),COUNTIFS($F$2:$F$501,F454,$G$2:$G$501,"&lt;"&amp;N454,$N$2:$N$501,"&gt;"&amp;G454,$I$2:$I$501,"pendente",$E$2:$E$501,E454)+COUNTIFS($F$2:$F$501,F454,$G$2:$G$501,"&lt;"&amp;N454,$N$2:$N$501,"&gt;"&amp;G454,$I$2:$I$501,"confirmado",$E$2:$E$501,E454)-1,0)))</x:f>
      </x:c>
    </x:row>
    <x:row r="455" ht="24" customHeight="1">
      <x:c r="A455" s="17"/>
      <x:c r="B455" s="16"/>
      <x:c r="C455" s="2"/>
      <x:c r="D455" s="17"/>
      <x:c r="E455" s="2"/>
      <x:c r="F455" s="10"/>
      <x:c r="G455" s="11"/>
      <x:c r="H455" s="2"/>
      <x:c r="I455" s="7"/>
      <x:c r="J455" s="2"/>
      <x:c r="K455" s="2"/>
      <x:c r="L455" s="2"/>
      <x:c r="M455" s="2"/>
      <x:c r="N455" s="11" t="str">
        <x:f>IF(A455="","",IF(AND(ISNUMBER(G455),ISNUMBER(L455),ISNUMBER(M455)),G455+(L455+M455)/1440,""))</x:f>
      </x:c>
      <x:c r="O455" s="2" t="str">
        <x:f>IF(A455="","",IF(OR(N455="",F455=""),"Dados incompletos",IF(OR(I455="pendente",I455="confirmado"),IF(K455="",0,COUNTIFS($F$2:$F$501,F455,$G$2:$G$501,"&lt;"&amp;N455,$N$2:$N$501,"&gt;"&amp;G455,$I$2:$I$501,"pendente",$K$2:$K$501,K455)+COUNTIFS($F$2:$F$501,F455,$G$2:$G$501,"&lt;"&amp;N455,$N$2:$N$501,"&gt;"&amp;G455,$I$2:$I$501,"confirmado",$K$2:$K$501,K455)-1),0)))</x:f>
      </x:c>
      <x:c r="P455" s="2" t="str">
        <x:f>IF(A455="","",IF(OR(N455="",F455=""),"Dados incompletos",IF(OR(I455="pendente",I455="confirmado"),COUNTIFS($F$2:$F$501,F455,$G$2:$G$501,"&lt;"&amp;N455,$N$2:$N$501,"&gt;"&amp;G455,$I$2:$I$501,"pendente",$E$2:$E$501,E455)+COUNTIFS($F$2:$F$501,F455,$G$2:$G$501,"&lt;"&amp;N455,$N$2:$N$501,"&gt;"&amp;G455,$I$2:$I$501,"confirmado",$E$2:$E$501,E455)-1,0)))</x:f>
      </x:c>
    </x:row>
    <x:row r="456" ht="24" customHeight="1">
      <x:c r="A456" s="17"/>
      <x:c r="B456" s="16"/>
      <x:c r="C456" s="2"/>
      <x:c r="D456" s="17"/>
      <x:c r="E456" s="2"/>
      <x:c r="F456" s="10"/>
      <x:c r="G456" s="11"/>
      <x:c r="H456" s="2"/>
      <x:c r="I456" s="7"/>
      <x:c r="J456" s="2"/>
      <x:c r="K456" s="2"/>
      <x:c r="L456" s="2"/>
      <x:c r="M456" s="2"/>
      <x:c r="N456" s="11" t="str">
        <x:f>IF(A456="","",IF(AND(ISNUMBER(G456),ISNUMBER(L456),ISNUMBER(M456)),G456+(L456+M456)/1440,""))</x:f>
      </x:c>
      <x:c r="O456" s="2" t="str">
        <x:f>IF(A456="","",IF(OR(N456="",F456=""),"Dados incompletos",IF(OR(I456="pendente",I456="confirmado"),IF(K456="",0,COUNTIFS($F$2:$F$501,F456,$G$2:$G$501,"&lt;"&amp;N456,$N$2:$N$501,"&gt;"&amp;G456,$I$2:$I$501,"pendente",$K$2:$K$501,K456)+COUNTIFS($F$2:$F$501,F456,$G$2:$G$501,"&lt;"&amp;N456,$N$2:$N$501,"&gt;"&amp;G456,$I$2:$I$501,"confirmado",$K$2:$K$501,K456)-1),0)))</x:f>
      </x:c>
      <x:c r="P456" s="2" t="str">
        <x:f>IF(A456="","",IF(OR(N456="",F456=""),"Dados incompletos",IF(OR(I456="pendente",I456="confirmado"),COUNTIFS($F$2:$F$501,F456,$G$2:$G$501,"&lt;"&amp;N456,$N$2:$N$501,"&gt;"&amp;G456,$I$2:$I$501,"pendente",$E$2:$E$501,E456)+COUNTIFS($F$2:$F$501,F456,$G$2:$G$501,"&lt;"&amp;N456,$N$2:$N$501,"&gt;"&amp;G456,$I$2:$I$501,"confirmado",$E$2:$E$501,E456)-1,0)))</x:f>
      </x:c>
    </x:row>
    <x:row r="457" ht="24" customHeight="1">
      <x:c r="A457" s="17"/>
      <x:c r="B457" s="16"/>
      <x:c r="C457" s="2"/>
      <x:c r="D457" s="17"/>
      <x:c r="E457" s="2"/>
      <x:c r="F457" s="10"/>
      <x:c r="G457" s="11"/>
      <x:c r="H457" s="2"/>
      <x:c r="I457" s="7"/>
      <x:c r="J457" s="2"/>
      <x:c r="K457" s="2"/>
      <x:c r="L457" s="2"/>
      <x:c r="M457" s="2"/>
      <x:c r="N457" s="11" t="str">
        <x:f>IF(A457="","",IF(AND(ISNUMBER(G457),ISNUMBER(L457),ISNUMBER(M457)),G457+(L457+M457)/1440,""))</x:f>
      </x:c>
      <x:c r="O457" s="2" t="str">
        <x:f>IF(A457="","",IF(OR(N457="",F457=""),"Dados incompletos",IF(OR(I457="pendente",I457="confirmado"),IF(K457="",0,COUNTIFS($F$2:$F$501,F457,$G$2:$G$501,"&lt;"&amp;N457,$N$2:$N$501,"&gt;"&amp;G457,$I$2:$I$501,"pendente",$K$2:$K$501,K457)+COUNTIFS($F$2:$F$501,F457,$G$2:$G$501,"&lt;"&amp;N457,$N$2:$N$501,"&gt;"&amp;G457,$I$2:$I$501,"confirmado",$K$2:$K$501,K457)-1),0)))</x:f>
      </x:c>
      <x:c r="P457" s="2" t="str">
        <x:f>IF(A457="","",IF(OR(N457="",F457=""),"Dados incompletos",IF(OR(I457="pendente",I457="confirmado"),COUNTIFS($F$2:$F$501,F457,$G$2:$G$501,"&lt;"&amp;N457,$N$2:$N$501,"&gt;"&amp;G457,$I$2:$I$501,"pendente",$E$2:$E$501,E457)+COUNTIFS($F$2:$F$501,F457,$G$2:$G$501,"&lt;"&amp;N457,$N$2:$N$501,"&gt;"&amp;G457,$I$2:$I$501,"confirmado",$E$2:$E$501,E457)-1,0)))</x:f>
      </x:c>
    </x:row>
    <x:row r="458" ht="24" customHeight="1">
      <x:c r="A458" s="17"/>
      <x:c r="B458" s="16"/>
      <x:c r="C458" s="2"/>
      <x:c r="D458" s="17"/>
      <x:c r="E458" s="2"/>
      <x:c r="F458" s="10"/>
      <x:c r="G458" s="11"/>
      <x:c r="H458" s="2"/>
      <x:c r="I458" s="7"/>
      <x:c r="J458" s="2"/>
      <x:c r="K458" s="2"/>
      <x:c r="L458" s="2"/>
      <x:c r="M458" s="2"/>
      <x:c r="N458" s="11" t="str">
        <x:f>IF(A458="","",IF(AND(ISNUMBER(G458),ISNUMBER(L458),ISNUMBER(M458)),G458+(L458+M458)/1440,""))</x:f>
      </x:c>
      <x:c r="O458" s="2" t="str">
        <x:f>IF(A458="","",IF(OR(N458="",F458=""),"Dados incompletos",IF(OR(I458="pendente",I458="confirmado"),IF(K458="",0,COUNTIFS($F$2:$F$501,F458,$G$2:$G$501,"&lt;"&amp;N458,$N$2:$N$501,"&gt;"&amp;G458,$I$2:$I$501,"pendente",$K$2:$K$501,K458)+COUNTIFS($F$2:$F$501,F458,$G$2:$G$501,"&lt;"&amp;N458,$N$2:$N$501,"&gt;"&amp;G458,$I$2:$I$501,"confirmado",$K$2:$K$501,K458)-1),0)))</x:f>
      </x:c>
      <x:c r="P458" s="2" t="str">
        <x:f>IF(A458="","",IF(OR(N458="",F458=""),"Dados incompletos",IF(OR(I458="pendente",I458="confirmado"),COUNTIFS($F$2:$F$501,F458,$G$2:$G$501,"&lt;"&amp;N458,$N$2:$N$501,"&gt;"&amp;G458,$I$2:$I$501,"pendente",$E$2:$E$501,E458)+COUNTIFS($F$2:$F$501,F458,$G$2:$G$501,"&lt;"&amp;N458,$N$2:$N$501,"&gt;"&amp;G458,$I$2:$I$501,"confirmado",$E$2:$E$501,E458)-1,0)))</x:f>
      </x:c>
    </x:row>
    <x:row r="459" ht="24" customHeight="1">
      <x:c r="A459" s="17"/>
      <x:c r="B459" s="16"/>
      <x:c r="C459" s="2"/>
      <x:c r="D459" s="17"/>
      <x:c r="E459" s="2"/>
      <x:c r="F459" s="10"/>
      <x:c r="G459" s="11"/>
      <x:c r="H459" s="2"/>
      <x:c r="I459" s="7"/>
      <x:c r="J459" s="2"/>
      <x:c r="K459" s="2"/>
      <x:c r="L459" s="2"/>
      <x:c r="M459" s="2"/>
      <x:c r="N459" s="11" t="str">
        <x:f>IF(A459="","",IF(AND(ISNUMBER(G459),ISNUMBER(L459),ISNUMBER(M459)),G459+(L459+M459)/1440,""))</x:f>
      </x:c>
      <x:c r="O459" s="2" t="str">
        <x:f>IF(A459="","",IF(OR(N459="",F459=""),"Dados incompletos",IF(OR(I459="pendente",I459="confirmado"),IF(K459="",0,COUNTIFS($F$2:$F$501,F459,$G$2:$G$501,"&lt;"&amp;N459,$N$2:$N$501,"&gt;"&amp;G459,$I$2:$I$501,"pendente",$K$2:$K$501,K459)+COUNTIFS($F$2:$F$501,F459,$G$2:$G$501,"&lt;"&amp;N459,$N$2:$N$501,"&gt;"&amp;G459,$I$2:$I$501,"confirmado",$K$2:$K$501,K459)-1),0)))</x:f>
      </x:c>
      <x:c r="P459" s="2" t="str">
        <x:f>IF(A459="","",IF(OR(N459="",F459=""),"Dados incompletos",IF(OR(I459="pendente",I459="confirmado"),COUNTIFS($F$2:$F$501,F459,$G$2:$G$501,"&lt;"&amp;N459,$N$2:$N$501,"&gt;"&amp;G459,$I$2:$I$501,"pendente",$E$2:$E$501,E459)+COUNTIFS($F$2:$F$501,F459,$G$2:$G$501,"&lt;"&amp;N459,$N$2:$N$501,"&gt;"&amp;G459,$I$2:$I$501,"confirmado",$E$2:$E$501,E459)-1,0)))</x:f>
      </x:c>
    </x:row>
    <x:row r="460" ht="24" customHeight="1">
      <x:c r="A460" s="17"/>
      <x:c r="B460" s="16"/>
      <x:c r="C460" s="2"/>
      <x:c r="D460" s="17"/>
      <x:c r="E460" s="2"/>
      <x:c r="F460" s="10"/>
      <x:c r="G460" s="11"/>
      <x:c r="H460" s="2"/>
      <x:c r="I460" s="7"/>
      <x:c r="J460" s="2"/>
      <x:c r="K460" s="2"/>
      <x:c r="L460" s="2"/>
      <x:c r="M460" s="2"/>
      <x:c r="N460" s="11" t="str">
        <x:f>IF(A460="","",IF(AND(ISNUMBER(G460),ISNUMBER(L460),ISNUMBER(M460)),G460+(L460+M460)/1440,""))</x:f>
      </x:c>
      <x:c r="O460" s="2" t="str">
        <x:f>IF(A460="","",IF(OR(N460="",F460=""),"Dados incompletos",IF(OR(I460="pendente",I460="confirmado"),IF(K460="",0,COUNTIFS($F$2:$F$501,F460,$G$2:$G$501,"&lt;"&amp;N460,$N$2:$N$501,"&gt;"&amp;G460,$I$2:$I$501,"pendente",$K$2:$K$501,K460)+COUNTIFS($F$2:$F$501,F460,$G$2:$G$501,"&lt;"&amp;N460,$N$2:$N$501,"&gt;"&amp;G460,$I$2:$I$501,"confirmado",$K$2:$K$501,K460)-1),0)))</x:f>
      </x:c>
      <x:c r="P460" s="2" t="str">
        <x:f>IF(A460="","",IF(OR(N460="",F460=""),"Dados incompletos",IF(OR(I460="pendente",I460="confirmado"),COUNTIFS($F$2:$F$501,F460,$G$2:$G$501,"&lt;"&amp;N460,$N$2:$N$501,"&gt;"&amp;G460,$I$2:$I$501,"pendente",$E$2:$E$501,E460)+COUNTIFS($F$2:$F$501,F460,$G$2:$G$501,"&lt;"&amp;N460,$N$2:$N$501,"&gt;"&amp;G460,$I$2:$I$501,"confirmado",$E$2:$E$501,E460)-1,0)))</x:f>
      </x:c>
    </x:row>
    <x:row r="461" ht="24" customHeight="1">
      <x:c r="A461" s="17"/>
      <x:c r="B461" s="16"/>
      <x:c r="C461" s="2"/>
      <x:c r="D461" s="17"/>
      <x:c r="E461" s="2"/>
      <x:c r="F461" s="10"/>
      <x:c r="G461" s="11"/>
      <x:c r="H461" s="2"/>
      <x:c r="I461" s="7"/>
      <x:c r="J461" s="2"/>
      <x:c r="K461" s="2"/>
      <x:c r="L461" s="2"/>
      <x:c r="M461" s="2"/>
      <x:c r="N461" s="11" t="str">
        <x:f>IF(A461="","",IF(AND(ISNUMBER(G461),ISNUMBER(L461),ISNUMBER(M461)),G461+(L461+M461)/1440,""))</x:f>
      </x:c>
      <x:c r="O461" s="2" t="str">
        <x:f>IF(A461="","",IF(OR(N461="",F461=""),"Dados incompletos",IF(OR(I461="pendente",I461="confirmado"),IF(K461="",0,COUNTIFS($F$2:$F$501,F461,$G$2:$G$501,"&lt;"&amp;N461,$N$2:$N$501,"&gt;"&amp;G461,$I$2:$I$501,"pendente",$K$2:$K$501,K461)+COUNTIFS($F$2:$F$501,F461,$G$2:$G$501,"&lt;"&amp;N461,$N$2:$N$501,"&gt;"&amp;G461,$I$2:$I$501,"confirmado",$K$2:$K$501,K461)-1),0)))</x:f>
      </x:c>
      <x:c r="P461" s="2" t="str">
        <x:f>IF(A461="","",IF(OR(N461="",F461=""),"Dados incompletos",IF(OR(I461="pendente",I461="confirmado"),COUNTIFS($F$2:$F$501,F461,$G$2:$G$501,"&lt;"&amp;N461,$N$2:$N$501,"&gt;"&amp;G461,$I$2:$I$501,"pendente",$E$2:$E$501,E461)+COUNTIFS($F$2:$F$501,F461,$G$2:$G$501,"&lt;"&amp;N461,$N$2:$N$501,"&gt;"&amp;G461,$I$2:$I$501,"confirmado",$E$2:$E$501,E461)-1,0)))</x:f>
      </x:c>
    </x:row>
    <x:row r="462" ht="24" customHeight="1">
      <x:c r="A462" s="17"/>
      <x:c r="B462" s="16"/>
      <x:c r="C462" s="2"/>
      <x:c r="D462" s="17"/>
      <x:c r="E462" s="2"/>
      <x:c r="F462" s="10"/>
      <x:c r="G462" s="11"/>
      <x:c r="H462" s="2"/>
      <x:c r="I462" s="7"/>
      <x:c r="J462" s="2"/>
      <x:c r="K462" s="2"/>
      <x:c r="L462" s="2"/>
      <x:c r="M462" s="2"/>
      <x:c r="N462" s="11" t="str">
        <x:f>IF(A462="","",IF(AND(ISNUMBER(G462),ISNUMBER(L462),ISNUMBER(M462)),G462+(L462+M462)/1440,""))</x:f>
      </x:c>
      <x:c r="O462" s="2" t="str">
        <x:f>IF(A462="","",IF(OR(N462="",F462=""),"Dados incompletos",IF(OR(I462="pendente",I462="confirmado"),IF(K462="",0,COUNTIFS($F$2:$F$501,F462,$G$2:$G$501,"&lt;"&amp;N462,$N$2:$N$501,"&gt;"&amp;G462,$I$2:$I$501,"pendente",$K$2:$K$501,K462)+COUNTIFS($F$2:$F$501,F462,$G$2:$G$501,"&lt;"&amp;N462,$N$2:$N$501,"&gt;"&amp;G462,$I$2:$I$501,"confirmado",$K$2:$K$501,K462)-1),0)))</x:f>
      </x:c>
      <x:c r="P462" s="2" t="str">
        <x:f>IF(A462="","",IF(OR(N462="",F462=""),"Dados incompletos",IF(OR(I462="pendente",I462="confirmado"),COUNTIFS($F$2:$F$501,F462,$G$2:$G$501,"&lt;"&amp;N462,$N$2:$N$501,"&gt;"&amp;G462,$I$2:$I$501,"pendente",$E$2:$E$501,E462)+COUNTIFS($F$2:$F$501,F462,$G$2:$G$501,"&lt;"&amp;N462,$N$2:$N$501,"&gt;"&amp;G462,$I$2:$I$501,"confirmado",$E$2:$E$501,E462)-1,0)))</x:f>
      </x:c>
    </x:row>
    <x:row r="463" ht="24" customHeight="1">
      <x:c r="A463" s="17"/>
      <x:c r="B463" s="16"/>
      <x:c r="C463" s="2"/>
      <x:c r="D463" s="17"/>
      <x:c r="E463" s="2"/>
      <x:c r="F463" s="10"/>
      <x:c r="G463" s="11"/>
      <x:c r="H463" s="2"/>
      <x:c r="I463" s="7"/>
      <x:c r="J463" s="2"/>
      <x:c r="K463" s="2"/>
      <x:c r="L463" s="2"/>
      <x:c r="M463" s="2"/>
      <x:c r="N463" s="11" t="str">
        <x:f>IF(A463="","",IF(AND(ISNUMBER(G463),ISNUMBER(L463),ISNUMBER(M463)),G463+(L463+M463)/1440,""))</x:f>
      </x:c>
      <x:c r="O463" s="2" t="str">
        <x:f>IF(A463="","",IF(OR(N463="",F463=""),"Dados incompletos",IF(OR(I463="pendente",I463="confirmado"),IF(K463="",0,COUNTIFS($F$2:$F$501,F463,$G$2:$G$501,"&lt;"&amp;N463,$N$2:$N$501,"&gt;"&amp;G463,$I$2:$I$501,"pendente",$K$2:$K$501,K463)+COUNTIFS($F$2:$F$501,F463,$G$2:$G$501,"&lt;"&amp;N463,$N$2:$N$501,"&gt;"&amp;G463,$I$2:$I$501,"confirmado",$K$2:$K$501,K463)-1),0)))</x:f>
      </x:c>
      <x:c r="P463" s="2" t="str">
        <x:f>IF(A463="","",IF(OR(N463="",F463=""),"Dados incompletos",IF(OR(I463="pendente",I463="confirmado"),COUNTIFS($F$2:$F$501,F463,$G$2:$G$501,"&lt;"&amp;N463,$N$2:$N$501,"&gt;"&amp;G463,$I$2:$I$501,"pendente",$E$2:$E$501,E463)+COUNTIFS($F$2:$F$501,F463,$G$2:$G$501,"&lt;"&amp;N463,$N$2:$N$501,"&gt;"&amp;G463,$I$2:$I$501,"confirmado",$E$2:$E$501,E463)-1,0)))</x:f>
      </x:c>
    </x:row>
    <x:row r="464" ht="24" customHeight="1">
      <x:c r="A464" s="17"/>
      <x:c r="B464" s="16"/>
      <x:c r="C464" s="2"/>
      <x:c r="D464" s="17"/>
      <x:c r="E464" s="2"/>
      <x:c r="F464" s="10"/>
      <x:c r="G464" s="11"/>
      <x:c r="H464" s="2"/>
      <x:c r="I464" s="7"/>
      <x:c r="J464" s="2"/>
      <x:c r="K464" s="2"/>
      <x:c r="L464" s="2"/>
      <x:c r="M464" s="2"/>
      <x:c r="N464" s="11" t="str">
        <x:f>IF(A464="","",IF(AND(ISNUMBER(G464),ISNUMBER(L464),ISNUMBER(M464)),G464+(L464+M464)/1440,""))</x:f>
      </x:c>
      <x:c r="O464" s="2" t="str">
        <x:f>IF(A464="","",IF(OR(N464="",F464=""),"Dados incompletos",IF(OR(I464="pendente",I464="confirmado"),IF(K464="",0,COUNTIFS($F$2:$F$501,F464,$G$2:$G$501,"&lt;"&amp;N464,$N$2:$N$501,"&gt;"&amp;G464,$I$2:$I$501,"pendente",$K$2:$K$501,K464)+COUNTIFS($F$2:$F$501,F464,$G$2:$G$501,"&lt;"&amp;N464,$N$2:$N$501,"&gt;"&amp;G464,$I$2:$I$501,"confirmado",$K$2:$K$501,K464)-1),0)))</x:f>
      </x:c>
      <x:c r="P464" s="2" t="str">
        <x:f>IF(A464="","",IF(OR(N464="",F464=""),"Dados incompletos",IF(OR(I464="pendente",I464="confirmado"),COUNTIFS($F$2:$F$501,F464,$G$2:$G$501,"&lt;"&amp;N464,$N$2:$N$501,"&gt;"&amp;G464,$I$2:$I$501,"pendente",$E$2:$E$501,E464)+COUNTIFS($F$2:$F$501,F464,$G$2:$G$501,"&lt;"&amp;N464,$N$2:$N$501,"&gt;"&amp;G464,$I$2:$I$501,"confirmado",$E$2:$E$501,E464)-1,0)))</x:f>
      </x:c>
    </x:row>
    <x:row r="465" ht="24" customHeight="1">
      <x:c r="A465" s="17"/>
      <x:c r="B465" s="16"/>
      <x:c r="C465" s="2"/>
      <x:c r="D465" s="17"/>
      <x:c r="E465" s="2"/>
      <x:c r="F465" s="10"/>
      <x:c r="G465" s="11"/>
      <x:c r="H465" s="2"/>
      <x:c r="I465" s="7"/>
      <x:c r="J465" s="2"/>
      <x:c r="K465" s="2"/>
      <x:c r="L465" s="2"/>
      <x:c r="M465" s="2"/>
      <x:c r="N465" s="11" t="str">
        <x:f>IF(A465="","",IF(AND(ISNUMBER(G465),ISNUMBER(L465),ISNUMBER(M465)),G465+(L465+M465)/1440,""))</x:f>
      </x:c>
      <x:c r="O465" s="2" t="str">
        <x:f>IF(A465="","",IF(OR(N465="",F465=""),"Dados incompletos",IF(OR(I465="pendente",I465="confirmado"),IF(K465="",0,COUNTIFS($F$2:$F$501,F465,$G$2:$G$501,"&lt;"&amp;N465,$N$2:$N$501,"&gt;"&amp;G465,$I$2:$I$501,"pendente",$K$2:$K$501,K465)+COUNTIFS($F$2:$F$501,F465,$G$2:$G$501,"&lt;"&amp;N465,$N$2:$N$501,"&gt;"&amp;G465,$I$2:$I$501,"confirmado",$K$2:$K$501,K465)-1),0)))</x:f>
      </x:c>
      <x:c r="P465" s="2" t="str">
        <x:f>IF(A465="","",IF(OR(N465="",F465=""),"Dados incompletos",IF(OR(I465="pendente",I465="confirmado"),COUNTIFS($F$2:$F$501,F465,$G$2:$G$501,"&lt;"&amp;N465,$N$2:$N$501,"&gt;"&amp;G465,$I$2:$I$501,"pendente",$E$2:$E$501,E465)+COUNTIFS($F$2:$F$501,F465,$G$2:$G$501,"&lt;"&amp;N465,$N$2:$N$501,"&gt;"&amp;G465,$I$2:$I$501,"confirmado",$E$2:$E$501,E465)-1,0)))</x:f>
      </x:c>
    </x:row>
    <x:row r="466" ht="24" customHeight="1">
      <x:c r="A466" s="17"/>
      <x:c r="B466" s="16"/>
      <x:c r="C466" s="2"/>
      <x:c r="D466" s="17"/>
      <x:c r="E466" s="2"/>
      <x:c r="F466" s="10"/>
      <x:c r="G466" s="11"/>
      <x:c r="H466" s="2"/>
      <x:c r="I466" s="7"/>
      <x:c r="J466" s="2"/>
      <x:c r="K466" s="2"/>
      <x:c r="L466" s="2"/>
      <x:c r="M466" s="2"/>
      <x:c r="N466" s="11" t="str">
        <x:f>IF(A466="","",IF(AND(ISNUMBER(G466),ISNUMBER(L466),ISNUMBER(M466)),G466+(L466+M466)/1440,""))</x:f>
      </x:c>
      <x:c r="O466" s="2" t="str">
        <x:f>IF(A466="","",IF(OR(N466="",F466=""),"Dados incompletos",IF(OR(I466="pendente",I466="confirmado"),IF(K466="",0,COUNTIFS($F$2:$F$501,F466,$G$2:$G$501,"&lt;"&amp;N466,$N$2:$N$501,"&gt;"&amp;G466,$I$2:$I$501,"pendente",$K$2:$K$501,K466)+COUNTIFS($F$2:$F$501,F466,$G$2:$G$501,"&lt;"&amp;N466,$N$2:$N$501,"&gt;"&amp;G466,$I$2:$I$501,"confirmado",$K$2:$K$501,K466)-1),0)))</x:f>
      </x:c>
      <x:c r="P466" s="2" t="str">
        <x:f>IF(A466="","",IF(OR(N466="",F466=""),"Dados incompletos",IF(OR(I466="pendente",I466="confirmado"),COUNTIFS($F$2:$F$501,F466,$G$2:$G$501,"&lt;"&amp;N466,$N$2:$N$501,"&gt;"&amp;G466,$I$2:$I$501,"pendente",$E$2:$E$501,E466)+COUNTIFS($F$2:$F$501,F466,$G$2:$G$501,"&lt;"&amp;N466,$N$2:$N$501,"&gt;"&amp;G466,$I$2:$I$501,"confirmado",$E$2:$E$501,E466)-1,0)))</x:f>
      </x:c>
    </x:row>
    <x:row r="467" ht="24" customHeight="1">
      <x:c r="A467" s="17"/>
      <x:c r="B467" s="16"/>
      <x:c r="C467" s="2"/>
      <x:c r="D467" s="17"/>
      <x:c r="E467" s="2"/>
      <x:c r="F467" s="10"/>
      <x:c r="G467" s="11"/>
      <x:c r="H467" s="2"/>
      <x:c r="I467" s="7"/>
      <x:c r="J467" s="2"/>
      <x:c r="K467" s="2"/>
      <x:c r="L467" s="2"/>
      <x:c r="M467" s="2"/>
      <x:c r="N467" s="11" t="str">
        <x:f>IF(A467="","",IF(AND(ISNUMBER(G467),ISNUMBER(L467),ISNUMBER(M467)),G467+(L467+M467)/1440,""))</x:f>
      </x:c>
      <x:c r="O467" s="2" t="str">
        <x:f>IF(A467="","",IF(OR(N467="",F467=""),"Dados incompletos",IF(OR(I467="pendente",I467="confirmado"),IF(K467="",0,COUNTIFS($F$2:$F$501,F467,$G$2:$G$501,"&lt;"&amp;N467,$N$2:$N$501,"&gt;"&amp;G467,$I$2:$I$501,"pendente",$K$2:$K$501,K467)+COUNTIFS($F$2:$F$501,F467,$G$2:$G$501,"&lt;"&amp;N467,$N$2:$N$501,"&gt;"&amp;G467,$I$2:$I$501,"confirmado",$K$2:$K$501,K467)-1),0)))</x:f>
      </x:c>
      <x:c r="P467" s="2" t="str">
        <x:f>IF(A467="","",IF(OR(N467="",F467=""),"Dados incompletos",IF(OR(I467="pendente",I467="confirmado"),COUNTIFS($F$2:$F$501,F467,$G$2:$G$501,"&lt;"&amp;N467,$N$2:$N$501,"&gt;"&amp;G467,$I$2:$I$501,"pendente",$E$2:$E$501,E467)+COUNTIFS($F$2:$F$501,F467,$G$2:$G$501,"&lt;"&amp;N467,$N$2:$N$501,"&gt;"&amp;G467,$I$2:$I$501,"confirmado",$E$2:$E$501,E467)-1,0)))</x:f>
      </x:c>
    </x:row>
    <x:row r="468" ht="24" customHeight="1">
      <x:c r="A468" s="17"/>
      <x:c r="B468" s="16"/>
      <x:c r="C468" s="2"/>
      <x:c r="D468" s="17"/>
      <x:c r="E468" s="2"/>
      <x:c r="F468" s="10"/>
      <x:c r="G468" s="11"/>
      <x:c r="H468" s="2"/>
      <x:c r="I468" s="7"/>
      <x:c r="J468" s="2"/>
      <x:c r="K468" s="2"/>
      <x:c r="L468" s="2"/>
      <x:c r="M468" s="2"/>
      <x:c r="N468" s="11" t="str">
        <x:f>IF(A468="","",IF(AND(ISNUMBER(G468),ISNUMBER(L468),ISNUMBER(M468)),G468+(L468+M468)/1440,""))</x:f>
      </x:c>
      <x:c r="O468" s="2" t="str">
        <x:f>IF(A468="","",IF(OR(N468="",F468=""),"Dados incompletos",IF(OR(I468="pendente",I468="confirmado"),IF(K468="",0,COUNTIFS($F$2:$F$501,F468,$G$2:$G$501,"&lt;"&amp;N468,$N$2:$N$501,"&gt;"&amp;G468,$I$2:$I$501,"pendente",$K$2:$K$501,K468)+COUNTIFS($F$2:$F$501,F468,$G$2:$G$501,"&lt;"&amp;N468,$N$2:$N$501,"&gt;"&amp;G468,$I$2:$I$501,"confirmado",$K$2:$K$501,K468)-1),0)))</x:f>
      </x:c>
      <x:c r="P468" s="2" t="str">
        <x:f>IF(A468="","",IF(OR(N468="",F468=""),"Dados incompletos",IF(OR(I468="pendente",I468="confirmado"),COUNTIFS($F$2:$F$501,F468,$G$2:$G$501,"&lt;"&amp;N468,$N$2:$N$501,"&gt;"&amp;G468,$I$2:$I$501,"pendente",$E$2:$E$501,E468)+COUNTIFS($F$2:$F$501,F468,$G$2:$G$501,"&lt;"&amp;N468,$N$2:$N$501,"&gt;"&amp;G468,$I$2:$I$501,"confirmado",$E$2:$E$501,E468)-1,0)))</x:f>
      </x:c>
    </x:row>
    <x:row r="469" ht="24" customHeight="1">
      <x:c r="A469" s="17"/>
      <x:c r="B469" s="16"/>
      <x:c r="C469" s="2"/>
      <x:c r="D469" s="17"/>
      <x:c r="E469" s="2"/>
      <x:c r="F469" s="10"/>
      <x:c r="G469" s="11"/>
      <x:c r="H469" s="2"/>
      <x:c r="I469" s="7"/>
      <x:c r="J469" s="2"/>
      <x:c r="K469" s="2"/>
      <x:c r="L469" s="2"/>
      <x:c r="M469" s="2"/>
      <x:c r="N469" s="11" t="str">
        <x:f>IF(A469="","",IF(AND(ISNUMBER(G469),ISNUMBER(L469),ISNUMBER(M469)),G469+(L469+M469)/1440,""))</x:f>
      </x:c>
      <x:c r="O469" s="2" t="str">
        <x:f>IF(A469="","",IF(OR(N469="",F469=""),"Dados incompletos",IF(OR(I469="pendente",I469="confirmado"),IF(K469="",0,COUNTIFS($F$2:$F$501,F469,$G$2:$G$501,"&lt;"&amp;N469,$N$2:$N$501,"&gt;"&amp;G469,$I$2:$I$501,"pendente",$K$2:$K$501,K469)+COUNTIFS($F$2:$F$501,F469,$G$2:$G$501,"&lt;"&amp;N469,$N$2:$N$501,"&gt;"&amp;G469,$I$2:$I$501,"confirmado",$K$2:$K$501,K469)-1),0)))</x:f>
      </x:c>
      <x:c r="P469" s="2" t="str">
        <x:f>IF(A469="","",IF(OR(N469="",F469=""),"Dados incompletos",IF(OR(I469="pendente",I469="confirmado"),COUNTIFS($F$2:$F$501,F469,$G$2:$G$501,"&lt;"&amp;N469,$N$2:$N$501,"&gt;"&amp;G469,$I$2:$I$501,"pendente",$E$2:$E$501,E469)+COUNTIFS($F$2:$F$501,F469,$G$2:$G$501,"&lt;"&amp;N469,$N$2:$N$501,"&gt;"&amp;G469,$I$2:$I$501,"confirmado",$E$2:$E$501,E469)-1,0)))</x:f>
      </x:c>
    </x:row>
    <x:row r="470" ht="24" customHeight="1">
      <x:c r="A470" s="17"/>
      <x:c r="B470" s="16"/>
      <x:c r="C470" s="2"/>
      <x:c r="D470" s="17"/>
      <x:c r="E470" s="2"/>
      <x:c r="F470" s="10"/>
      <x:c r="G470" s="11"/>
      <x:c r="H470" s="2"/>
      <x:c r="I470" s="7"/>
      <x:c r="J470" s="2"/>
      <x:c r="K470" s="2"/>
      <x:c r="L470" s="2"/>
      <x:c r="M470" s="2"/>
      <x:c r="N470" s="11" t="str">
        <x:f>IF(A470="","",IF(AND(ISNUMBER(G470),ISNUMBER(L470),ISNUMBER(M470)),G470+(L470+M470)/1440,""))</x:f>
      </x:c>
      <x:c r="O470" s="2" t="str">
        <x:f>IF(A470="","",IF(OR(N470="",F470=""),"Dados incompletos",IF(OR(I470="pendente",I470="confirmado"),IF(K470="",0,COUNTIFS($F$2:$F$501,F470,$G$2:$G$501,"&lt;"&amp;N470,$N$2:$N$501,"&gt;"&amp;G470,$I$2:$I$501,"pendente",$K$2:$K$501,K470)+COUNTIFS($F$2:$F$501,F470,$G$2:$G$501,"&lt;"&amp;N470,$N$2:$N$501,"&gt;"&amp;G470,$I$2:$I$501,"confirmado",$K$2:$K$501,K470)-1),0)))</x:f>
      </x:c>
      <x:c r="P470" s="2" t="str">
        <x:f>IF(A470="","",IF(OR(N470="",F470=""),"Dados incompletos",IF(OR(I470="pendente",I470="confirmado"),COUNTIFS($F$2:$F$501,F470,$G$2:$G$501,"&lt;"&amp;N470,$N$2:$N$501,"&gt;"&amp;G470,$I$2:$I$501,"pendente",$E$2:$E$501,E470)+COUNTIFS($F$2:$F$501,F470,$G$2:$G$501,"&lt;"&amp;N470,$N$2:$N$501,"&gt;"&amp;G470,$I$2:$I$501,"confirmado",$E$2:$E$501,E470)-1,0)))</x:f>
      </x:c>
    </x:row>
    <x:row r="471" ht="24" customHeight="1">
      <x:c r="A471" s="17"/>
      <x:c r="B471" s="16"/>
      <x:c r="C471" s="2"/>
      <x:c r="D471" s="17"/>
      <x:c r="E471" s="2"/>
      <x:c r="F471" s="10"/>
      <x:c r="G471" s="11"/>
      <x:c r="H471" s="2"/>
      <x:c r="I471" s="7"/>
      <x:c r="J471" s="2"/>
      <x:c r="K471" s="2"/>
      <x:c r="L471" s="2"/>
      <x:c r="M471" s="2"/>
      <x:c r="N471" s="11" t="str">
        <x:f>IF(A471="","",IF(AND(ISNUMBER(G471),ISNUMBER(L471),ISNUMBER(M471)),G471+(L471+M471)/1440,""))</x:f>
      </x:c>
      <x:c r="O471" s="2" t="str">
        <x:f>IF(A471="","",IF(OR(N471="",F471=""),"Dados incompletos",IF(OR(I471="pendente",I471="confirmado"),IF(K471="",0,COUNTIFS($F$2:$F$501,F471,$G$2:$G$501,"&lt;"&amp;N471,$N$2:$N$501,"&gt;"&amp;G471,$I$2:$I$501,"pendente",$K$2:$K$501,K471)+COUNTIFS($F$2:$F$501,F471,$G$2:$G$501,"&lt;"&amp;N471,$N$2:$N$501,"&gt;"&amp;G471,$I$2:$I$501,"confirmado",$K$2:$K$501,K471)-1),0)))</x:f>
      </x:c>
      <x:c r="P471" s="2" t="str">
        <x:f>IF(A471="","",IF(OR(N471="",F471=""),"Dados incompletos",IF(OR(I471="pendente",I471="confirmado"),COUNTIFS($F$2:$F$501,F471,$G$2:$G$501,"&lt;"&amp;N471,$N$2:$N$501,"&gt;"&amp;G471,$I$2:$I$501,"pendente",$E$2:$E$501,E471)+COUNTIFS($F$2:$F$501,F471,$G$2:$G$501,"&lt;"&amp;N471,$N$2:$N$501,"&gt;"&amp;G471,$I$2:$I$501,"confirmado",$E$2:$E$501,E471)-1,0)))</x:f>
      </x:c>
    </x:row>
    <x:row r="472" ht="24" customHeight="1">
      <x:c r="A472" s="17"/>
      <x:c r="B472" s="16"/>
      <x:c r="C472" s="2"/>
      <x:c r="D472" s="17"/>
      <x:c r="E472" s="2"/>
      <x:c r="F472" s="10"/>
      <x:c r="G472" s="11"/>
      <x:c r="H472" s="2"/>
      <x:c r="I472" s="7"/>
      <x:c r="J472" s="2"/>
      <x:c r="K472" s="2"/>
      <x:c r="L472" s="2"/>
      <x:c r="M472" s="2"/>
      <x:c r="N472" s="11" t="str">
        <x:f>IF(A472="","",IF(AND(ISNUMBER(G472),ISNUMBER(L472),ISNUMBER(M472)),G472+(L472+M472)/1440,""))</x:f>
      </x:c>
      <x:c r="O472" s="2" t="str">
        <x:f>IF(A472="","",IF(OR(N472="",F472=""),"Dados incompletos",IF(OR(I472="pendente",I472="confirmado"),IF(K472="",0,COUNTIFS($F$2:$F$501,F472,$G$2:$G$501,"&lt;"&amp;N472,$N$2:$N$501,"&gt;"&amp;G472,$I$2:$I$501,"pendente",$K$2:$K$501,K472)+COUNTIFS($F$2:$F$501,F472,$G$2:$G$501,"&lt;"&amp;N472,$N$2:$N$501,"&gt;"&amp;G472,$I$2:$I$501,"confirmado",$K$2:$K$501,K472)-1),0)))</x:f>
      </x:c>
      <x:c r="P472" s="2" t="str">
        <x:f>IF(A472="","",IF(OR(N472="",F472=""),"Dados incompletos",IF(OR(I472="pendente",I472="confirmado"),COUNTIFS($F$2:$F$501,F472,$G$2:$G$501,"&lt;"&amp;N472,$N$2:$N$501,"&gt;"&amp;G472,$I$2:$I$501,"pendente",$E$2:$E$501,E472)+COUNTIFS($F$2:$F$501,F472,$G$2:$G$501,"&lt;"&amp;N472,$N$2:$N$501,"&gt;"&amp;G472,$I$2:$I$501,"confirmado",$E$2:$E$501,E472)-1,0)))</x:f>
      </x:c>
    </x:row>
    <x:row r="473" ht="24" customHeight="1">
      <x:c r="A473" s="17"/>
      <x:c r="B473" s="16"/>
      <x:c r="C473" s="2"/>
      <x:c r="D473" s="17"/>
      <x:c r="E473" s="2"/>
      <x:c r="F473" s="10"/>
      <x:c r="G473" s="11"/>
      <x:c r="H473" s="2"/>
      <x:c r="I473" s="7"/>
      <x:c r="J473" s="2"/>
      <x:c r="K473" s="2"/>
      <x:c r="L473" s="2"/>
      <x:c r="M473" s="2"/>
      <x:c r="N473" s="11" t="str">
        <x:f>IF(A473="","",IF(AND(ISNUMBER(G473),ISNUMBER(L473),ISNUMBER(M473)),G473+(L473+M473)/1440,""))</x:f>
      </x:c>
      <x:c r="O473" s="2" t="str">
        <x:f>IF(A473="","",IF(OR(N473="",F473=""),"Dados incompletos",IF(OR(I473="pendente",I473="confirmado"),IF(K473="",0,COUNTIFS($F$2:$F$501,F473,$G$2:$G$501,"&lt;"&amp;N473,$N$2:$N$501,"&gt;"&amp;G473,$I$2:$I$501,"pendente",$K$2:$K$501,K473)+COUNTIFS($F$2:$F$501,F473,$G$2:$G$501,"&lt;"&amp;N473,$N$2:$N$501,"&gt;"&amp;G473,$I$2:$I$501,"confirmado",$K$2:$K$501,K473)-1),0)))</x:f>
      </x:c>
      <x:c r="P473" s="2" t="str">
        <x:f>IF(A473="","",IF(OR(N473="",F473=""),"Dados incompletos",IF(OR(I473="pendente",I473="confirmado"),COUNTIFS($F$2:$F$501,F473,$G$2:$G$501,"&lt;"&amp;N473,$N$2:$N$501,"&gt;"&amp;G473,$I$2:$I$501,"pendente",$E$2:$E$501,E473)+COUNTIFS($F$2:$F$501,F473,$G$2:$G$501,"&lt;"&amp;N473,$N$2:$N$501,"&gt;"&amp;G473,$I$2:$I$501,"confirmado",$E$2:$E$501,E473)-1,0)))</x:f>
      </x:c>
    </x:row>
    <x:row r="474" ht="24" customHeight="1">
      <x:c r="A474" s="17"/>
      <x:c r="B474" s="16"/>
      <x:c r="C474" s="2"/>
      <x:c r="D474" s="17"/>
      <x:c r="E474" s="2"/>
      <x:c r="F474" s="10"/>
      <x:c r="G474" s="11"/>
      <x:c r="H474" s="2"/>
      <x:c r="I474" s="7"/>
      <x:c r="J474" s="2"/>
      <x:c r="K474" s="2"/>
      <x:c r="L474" s="2"/>
      <x:c r="M474" s="2"/>
      <x:c r="N474" s="11" t="str">
        <x:f>IF(A474="","",IF(AND(ISNUMBER(G474),ISNUMBER(L474),ISNUMBER(M474)),G474+(L474+M474)/1440,""))</x:f>
      </x:c>
      <x:c r="O474" s="2" t="str">
        <x:f>IF(A474="","",IF(OR(N474="",F474=""),"Dados incompletos",IF(OR(I474="pendente",I474="confirmado"),IF(K474="",0,COUNTIFS($F$2:$F$501,F474,$G$2:$G$501,"&lt;"&amp;N474,$N$2:$N$501,"&gt;"&amp;G474,$I$2:$I$501,"pendente",$K$2:$K$501,K474)+COUNTIFS($F$2:$F$501,F474,$G$2:$G$501,"&lt;"&amp;N474,$N$2:$N$501,"&gt;"&amp;G474,$I$2:$I$501,"confirmado",$K$2:$K$501,K474)-1),0)))</x:f>
      </x:c>
      <x:c r="P474" s="2" t="str">
        <x:f>IF(A474="","",IF(OR(N474="",F474=""),"Dados incompletos",IF(OR(I474="pendente",I474="confirmado"),COUNTIFS($F$2:$F$501,F474,$G$2:$G$501,"&lt;"&amp;N474,$N$2:$N$501,"&gt;"&amp;G474,$I$2:$I$501,"pendente",$E$2:$E$501,E474)+COUNTIFS($F$2:$F$501,F474,$G$2:$G$501,"&lt;"&amp;N474,$N$2:$N$501,"&gt;"&amp;G474,$I$2:$I$501,"confirmado",$E$2:$E$501,E474)-1,0)))</x:f>
      </x:c>
    </x:row>
    <x:row r="475" ht="24" customHeight="1">
      <x:c r="A475" s="17"/>
      <x:c r="B475" s="16"/>
      <x:c r="C475" s="2"/>
      <x:c r="D475" s="17"/>
      <x:c r="E475" s="2"/>
      <x:c r="F475" s="10"/>
      <x:c r="G475" s="11"/>
      <x:c r="H475" s="2"/>
      <x:c r="I475" s="7"/>
      <x:c r="J475" s="2"/>
      <x:c r="K475" s="2"/>
      <x:c r="L475" s="2"/>
      <x:c r="M475" s="2"/>
      <x:c r="N475" s="11" t="str">
        <x:f>IF(A475="","",IF(AND(ISNUMBER(G475),ISNUMBER(L475),ISNUMBER(M475)),G475+(L475+M475)/1440,""))</x:f>
      </x:c>
      <x:c r="O475" s="2" t="str">
        <x:f>IF(A475="","",IF(OR(N475="",F475=""),"Dados incompletos",IF(OR(I475="pendente",I475="confirmado"),IF(K475="",0,COUNTIFS($F$2:$F$501,F475,$G$2:$G$501,"&lt;"&amp;N475,$N$2:$N$501,"&gt;"&amp;G475,$I$2:$I$501,"pendente",$K$2:$K$501,K475)+COUNTIFS($F$2:$F$501,F475,$G$2:$G$501,"&lt;"&amp;N475,$N$2:$N$501,"&gt;"&amp;G475,$I$2:$I$501,"confirmado",$K$2:$K$501,K475)-1),0)))</x:f>
      </x:c>
      <x:c r="P475" s="2" t="str">
        <x:f>IF(A475="","",IF(OR(N475="",F475=""),"Dados incompletos",IF(OR(I475="pendente",I475="confirmado"),COUNTIFS($F$2:$F$501,F475,$G$2:$G$501,"&lt;"&amp;N475,$N$2:$N$501,"&gt;"&amp;G475,$I$2:$I$501,"pendente",$E$2:$E$501,E475)+COUNTIFS($F$2:$F$501,F475,$G$2:$G$501,"&lt;"&amp;N475,$N$2:$N$501,"&gt;"&amp;G475,$I$2:$I$501,"confirmado",$E$2:$E$501,E475)-1,0)))</x:f>
      </x:c>
    </x:row>
    <x:row r="476" ht="24" customHeight="1">
      <x:c r="A476" s="17"/>
      <x:c r="B476" s="16"/>
      <x:c r="C476" s="2"/>
      <x:c r="D476" s="17"/>
      <x:c r="E476" s="2"/>
      <x:c r="F476" s="10"/>
      <x:c r="G476" s="11"/>
      <x:c r="H476" s="2"/>
      <x:c r="I476" s="7"/>
      <x:c r="J476" s="2"/>
      <x:c r="K476" s="2"/>
      <x:c r="L476" s="2"/>
      <x:c r="M476" s="2"/>
      <x:c r="N476" s="11" t="str">
        <x:f>IF(A476="","",IF(AND(ISNUMBER(G476),ISNUMBER(L476),ISNUMBER(M476)),G476+(L476+M476)/1440,""))</x:f>
      </x:c>
      <x:c r="O476" s="2" t="str">
        <x:f>IF(A476="","",IF(OR(N476="",F476=""),"Dados incompletos",IF(OR(I476="pendente",I476="confirmado"),IF(K476="",0,COUNTIFS($F$2:$F$501,F476,$G$2:$G$501,"&lt;"&amp;N476,$N$2:$N$501,"&gt;"&amp;G476,$I$2:$I$501,"pendente",$K$2:$K$501,K476)+COUNTIFS($F$2:$F$501,F476,$G$2:$G$501,"&lt;"&amp;N476,$N$2:$N$501,"&gt;"&amp;G476,$I$2:$I$501,"confirmado",$K$2:$K$501,K476)-1),0)))</x:f>
      </x:c>
      <x:c r="P476" s="2" t="str">
        <x:f>IF(A476="","",IF(OR(N476="",F476=""),"Dados incompletos",IF(OR(I476="pendente",I476="confirmado"),COUNTIFS($F$2:$F$501,F476,$G$2:$G$501,"&lt;"&amp;N476,$N$2:$N$501,"&gt;"&amp;G476,$I$2:$I$501,"pendente",$E$2:$E$501,E476)+COUNTIFS($F$2:$F$501,F476,$G$2:$G$501,"&lt;"&amp;N476,$N$2:$N$501,"&gt;"&amp;G476,$I$2:$I$501,"confirmado",$E$2:$E$501,E476)-1,0)))</x:f>
      </x:c>
    </x:row>
    <x:row r="477" ht="24" customHeight="1">
      <x:c r="A477" s="17"/>
      <x:c r="B477" s="16"/>
      <x:c r="C477" s="2"/>
      <x:c r="D477" s="17"/>
      <x:c r="E477" s="2"/>
      <x:c r="F477" s="10"/>
      <x:c r="G477" s="11"/>
      <x:c r="H477" s="2"/>
      <x:c r="I477" s="7"/>
      <x:c r="J477" s="2"/>
      <x:c r="K477" s="2"/>
      <x:c r="L477" s="2"/>
      <x:c r="M477" s="2"/>
      <x:c r="N477" s="11" t="str">
        <x:f>IF(A477="","",IF(AND(ISNUMBER(G477),ISNUMBER(L477),ISNUMBER(M477)),G477+(L477+M477)/1440,""))</x:f>
      </x:c>
      <x:c r="O477" s="2" t="str">
        <x:f>IF(A477="","",IF(OR(N477="",F477=""),"Dados incompletos",IF(OR(I477="pendente",I477="confirmado"),IF(K477="",0,COUNTIFS($F$2:$F$501,F477,$G$2:$G$501,"&lt;"&amp;N477,$N$2:$N$501,"&gt;"&amp;G477,$I$2:$I$501,"pendente",$K$2:$K$501,K477)+COUNTIFS($F$2:$F$501,F477,$G$2:$G$501,"&lt;"&amp;N477,$N$2:$N$501,"&gt;"&amp;G477,$I$2:$I$501,"confirmado",$K$2:$K$501,K477)-1),0)))</x:f>
      </x:c>
      <x:c r="P477" s="2" t="str">
        <x:f>IF(A477="","",IF(OR(N477="",F477=""),"Dados incompletos",IF(OR(I477="pendente",I477="confirmado"),COUNTIFS($F$2:$F$501,F477,$G$2:$G$501,"&lt;"&amp;N477,$N$2:$N$501,"&gt;"&amp;G477,$I$2:$I$501,"pendente",$E$2:$E$501,E477)+COUNTIFS($F$2:$F$501,F477,$G$2:$G$501,"&lt;"&amp;N477,$N$2:$N$501,"&gt;"&amp;G477,$I$2:$I$501,"confirmado",$E$2:$E$501,E477)-1,0)))</x:f>
      </x:c>
    </x:row>
    <x:row r="478" ht="24" customHeight="1">
      <x:c r="A478" s="17"/>
      <x:c r="B478" s="16"/>
      <x:c r="C478" s="2"/>
      <x:c r="D478" s="17"/>
      <x:c r="E478" s="2"/>
      <x:c r="F478" s="10"/>
      <x:c r="G478" s="11"/>
      <x:c r="H478" s="2"/>
      <x:c r="I478" s="7"/>
      <x:c r="J478" s="2"/>
      <x:c r="K478" s="2"/>
      <x:c r="L478" s="2"/>
      <x:c r="M478" s="2"/>
      <x:c r="N478" s="11" t="str">
        <x:f>IF(A478="","",IF(AND(ISNUMBER(G478),ISNUMBER(L478),ISNUMBER(M478)),G478+(L478+M478)/1440,""))</x:f>
      </x:c>
      <x:c r="O478" s="2" t="str">
        <x:f>IF(A478="","",IF(OR(N478="",F478=""),"Dados incompletos",IF(OR(I478="pendente",I478="confirmado"),IF(K478="",0,COUNTIFS($F$2:$F$501,F478,$G$2:$G$501,"&lt;"&amp;N478,$N$2:$N$501,"&gt;"&amp;G478,$I$2:$I$501,"pendente",$K$2:$K$501,K478)+COUNTIFS($F$2:$F$501,F478,$G$2:$G$501,"&lt;"&amp;N478,$N$2:$N$501,"&gt;"&amp;G478,$I$2:$I$501,"confirmado",$K$2:$K$501,K478)-1),0)))</x:f>
      </x:c>
      <x:c r="P478" s="2" t="str">
        <x:f>IF(A478="","",IF(OR(N478="",F478=""),"Dados incompletos",IF(OR(I478="pendente",I478="confirmado"),COUNTIFS($F$2:$F$501,F478,$G$2:$G$501,"&lt;"&amp;N478,$N$2:$N$501,"&gt;"&amp;G478,$I$2:$I$501,"pendente",$E$2:$E$501,E478)+COUNTIFS($F$2:$F$501,F478,$G$2:$G$501,"&lt;"&amp;N478,$N$2:$N$501,"&gt;"&amp;G478,$I$2:$I$501,"confirmado",$E$2:$E$501,E478)-1,0)))</x:f>
      </x:c>
    </x:row>
    <x:row r="479" ht="24" customHeight="1">
      <x:c r="A479" s="17"/>
      <x:c r="B479" s="16"/>
      <x:c r="C479" s="2"/>
      <x:c r="D479" s="17"/>
      <x:c r="E479" s="2"/>
      <x:c r="F479" s="10"/>
      <x:c r="G479" s="11"/>
      <x:c r="H479" s="2"/>
      <x:c r="I479" s="7"/>
      <x:c r="J479" s="2"/>
      <x:c r="K479" s="2"/>
      <x:c r="L479" s="2"/>
      <x:c r="M479" s="2"/>
      <x:c r="N479" s="11" t="str">
        <x:f>IF(A479="","",IF(AND(ISNUMBER(G479),ISNUMBER(L479),ISNUMBER(M479)),G479+(L479+M479)/1440,""))</x:f>
      </x:c>
      <x:c r="O479" s="2" t="str">
        <x:f>IF(A479="","",IF(OR(N479="",F479=""),"Dados incompletos",IF(OR(I479="pendente",I479="confirmado"),IF(K479="",0,COUNTIFS($F$2:$F$501,F479,$G$2:$G$501,"&lt;"&amp;N479,$N$2:$N$501,"&gt;"&amp;G479,$I$2:$I$501,"pendente",$K$2:$K$501,K479)+COUNTIFS($F$2:$F$501,F479,$G$2:$G$501,"&lt;"&amp;N479,$N$2:$N$501,"&gt;"&amp;G479,$I$2:$I$501,"confirmado",$K$2:$K$501,K479)-1),0)))</x:f>
      </x:c>
      <x:c r="P479" s="2" t="str">
        <x:f>IF(A479="","",IF(OR(N479="",F479=""),"Dados incompletos",IF(OR(I479="pendente",I479="confirmado"),COUNTIFS($F$2:$F$501,F479,$G$2:$G$501,"&lt;"&amp;N479,$N$2:$N$501,"&gt;"&amp;G479,$I$2:$I$501,"pendente",$E$2:$E$501,E479)+COUNTIFS($F$2:$F$501,F479,$G$2:$G$501,"&lt;"&amp;N479,$N$2:$N$501,"&gt;"&amp;G479,$I$2:$I$501,"confirmado",$E$2:$E$501,E479)-1,0)))</x:f>
      </x:c>
    </x:row>
    <x:row r="480" ht="24" customHeight="1">
      <x:c r="A480" s="17"/>
      <x:c r="B480" s="16"/>
      <x:c r="C480" s="2"/>
      <x:c r="D480" s="17"/>
      <x:c r="E480" s="2"/>
      <x:c r="F480" s="10"/>
      <x:c r="G480" s="11"/>
      <x:c r="H480" s="2"/>
      <x:c r="I480" s="7"/>
      <x:c r="J480" s="2"/>
      <x:c r="K480" s="2"/>
      <x:c r="L480" s="2"/>
      <x:c r="M480" s="2"/>
      <x:c r="N480" s="11" t="str">
        <x:f>IF(A480="","",IF(AND(ISNUMBER(G480),ISNUMBER(L480),ISNUMBER(M480)),G480+(L480+M480)/1440,""))</x:f>
      </x:c>
      <x:c r="O480" s="2" t="str">
        <x:f>IF(A480="","",IF(OR(N480="",F480=""),"Dados incompletos",IF(OR(I480="pendente",I480="confirmado"),IF(K480="",0,COUNTIFS($F$2:$F$501,F480,$G$2:$G$501,"&lt;"&amp;N480,$N$2:$N$501,"&gt;"&amp;G480,$I$2:$I$501,"pendente",$K$2:$K$501,K480)+COUNTIFS($F$2:$F$501,F480,$G$2:$G$501,"&lt;"&amp;N480,$N$2:$N$501,"&gt;"&amp;G480,$I$2:$I$501,"confirmado",$K$2:$K$501,K480)-1),0)))</x:f>
      </x:c>
      <x:c r="P480" s="2" t="str">
        <x:f>IF(A480="","",IF(OR(N480="",F480=""),"Dados incompletos",IF(OR(I480="pendente",I480="confirmado"),COUNTIFS($F$2:$F$501,F480,$G$2:$G$501,"&lt;"&amp;N480,$N$2:$N$501,"&gt;"&amp;G480,$I$2:$I$501,"pendente",$E$2:$E$501,E480)+COUNTIFS($F$2:$F$501,F480,$G$2:$G$501,"&lt;"&amp;N480,$N$2:$N$501,"&gt;"&amp;G480,$I$2:$I$501,"confirmado",$E$2:$E$501,E480)-1,0)))</x:f>
      </x:c>
    </x:row>
    <x:row r="481" ht="24" customHeight="1">
      <x:c r="A481" s="17"/>
      <x:c r="B481" s="16"/>
      <x:c r="C481" s="2"/>
      <x:c r="D481" s="17"/>
      <x:c r="E481" s="2"/>
      <x:c r="F481" s="10"/>
      <x:c r="G481" s="11"/>
      <x:c r="H481" s="2"/>
      <x:c r="I481" s="7"/>
      <x:c r="J481" s="2"/>
      <x:c r="K481" s="2"/>
      <x:c r="L481" s="2"/>
      <x:c r="M481" s="2"/>
      <x:c r="N481" s="11" t="str">
        <x:f>IF(A481="","",IF(AND(ISNUMBER(G481),ISNUMBER(L481),ISNUMBER(M481)),G481+(L481+M481)/1440,""))</x:f>
      </x:c>
      <x:c r="O481" s="2" t="str">
        <x:f>IF(A481="","",IF(OR(N481="",F481=""),"Dados incompletos",IF(OR(I481="pendente",I481="confirmado"),IF(K481="",0,COUNTIFS($F$2:$F$501,F481,$G$2:$G$501,"&lt;"&amp;N481,$N$2:$N$501,"&gt;"&amp;G481,$I$2:$I$501,"pendente",$K$2:$K$501,K481)+COUNTIFS($F$2:$F$501,F481,$G$2:$G$501,"&lt;"&amp;N481,$N$2:$N$501,"&gt;"&amp;G481,$I$2:$I$501,"confirmado",$K$2:$K$501,K481)-1),0)))</x:f>
      </x:c>
      <x:c r="P481" s="2" t="str">
        <x:f>IF(A481="","",IF(OR(N481="",F481=""),"Dados incompletos",IF(OR(I481="pendente",I481="confirmado"),COUNTIFS($F$2:$F$501,F481,$G$2:$G$501,"&lt;"&amp;N481,$N$2:$N$501,"&gt;"&amp;G481,$I$2:$I$501,"pendente",$E$2:$E$501,E481)+COUNTIFS($F$2:$F$501,F481,$G$2:$G$501,"&lt;"&amp;N481,$N$2:$N$501,"&gt;"&amp;G481,$I$2:$I$501,"confirmado",$E$2:$E$501,E481)-1,0)))</x:f>
      </x:c>
    </x:row>
    <x:row r="482" ht="24" customHeight="1">
      <x:c r="A482" s="17"/>
      <x:c r="B482" s="16"/>
      <x:c r="C482" s="2"/>
      <x:c r="D482" s="17"/>
      <x:c r="E482" s="2"/>
      <x:c r="F482" s="10"/>
      <x:c r="G482" s="11"/>
      <x:c r="H482" s="2"/>
      <x:c r="I482" s="7"/>
      <x:c r="J482" s="2"/>
      <x:c r="K482" s="2"/>
      <x:c r="L482" s="2"/>
      <x:c r="M482" s="2"/>
      <x:c r="N482" s="11" t="str">
        <x:f>IF(A482="","",IF(AND(ISNUMBER(G482),ISNUMBER(L482),ISNUMBER(M482)),G482+(L482+M482)/1440,""))</x:f>
      </x:c>
      <x:c r="O482" s="2" t="str">
        <x:f>IF(A482="","",IF(OR(N482="",F482=""),"Dados incompletos",IF(OR(I482="pendente",I482="confirmado"),IF(K482="",0,COUNTIFS($F$2:$F$501,F482,$G$2:$G$501,"&lt;"&amp;N482,$N$2:$N$501,"&gt;"&amp;G482,$I$2:$I$501,"pendente",$K$2:$K$501,K482)+COUNTIFS($F$2:$F$501,F482,$G$2:$G$501,"&lt;"&amp;N482,$N$2:$N$501,"&gt;"&amp;G482,$I$2:$I$501,"confirmado",$K$2:$K$501,K482)-1),0)))</x:f>
      </x:c>
      <x:c r="P482" s="2" t="str">
        <x:f>IF(A482="","",IF(OR(N482="",F482=""),"Dados incompletos",IF(OR(I482="pendente",I482="confirmado"),COUNTIFS($F$2:$F$501,F482,$G$2:$G$501,"&lt;"&amp;N482,$N$2:$N$501,"&gt;"&amp;G482,$I$2:$I$501,"pendente",$E$2:$E$501,E482)+COUNTIFS($F$2:$F$501,F482,$G$2:$G$501,"&lt;"&amp;N482,$N$2:$N$501,"&gt;"&amp;G482,$I$2:$I$501,"confirmado",$E$2:$E$501,E482)-1,0)))</x:f>
      </x:c>
    </x:row>
    <x:row r="483" ht="24" customHeight="1">
      <x:c r="A483" s="17"/>
      <x:c r="B483" s="16"/>
      <x:c r="C483" s="2"/>
      <x:c r="D483" s="17"/>
      <x:c r="E483" s="2"/>
      <x:c r="F483" s="10"/>
      <x:c r="G483" s="11"/>
      <x:c r="H483" s="2"/>
      <x:c r="I483" s="7"/>
      <x:c r="J483" s="2"/>
      <x:c r="K483" s="2"/>
      <x:c r="L483" s="2"/>
      <x:c r="M483" s="2"/>
      <x:c r="N483" s="11" t="str">
        <x:f>IF(A483="","",IF(AND(ISNUMBER(G483),ISNUMBER(L483),ISNUMBER(M483)),G483+(L483+M483)/1440,""))</x:f>
      </x:c>
      <x:c r="O483" s="2" t="str">
        <x:f>IF(A483="","",IF(OR(N483="",F483=""),"Dados incompletos",IF(OR(I483="pendente",I483="confirmado"),IF(K483="",0,COUNTIFS($F$2:$F$501,F483,$G$2:$G$501,"&lt;"&amp;N483,$N$2:$N$501,"&gt;"&amp;G483,$I$2:$I$501,"pendente",$K$2:$K$501,K483)+COUNTIFS($F$2:$F$501,F483,$G$2:$G$501,"&lt;"&amp;N483,$N$2:$N$501,"&gt;"&amp;G483,$I$2:$I$501,"confirmado",$K$2:$K$501,K483)-1),0)))</x:f>
      </x:c>
      <x:c r="P483" s="2" t="str">
        <x:f>IF(A483="","",IF(OR(N483="",F483=""),"Dados incompletos",IF(OR(I483="pendente",I483="confirmado"),COUNTIFS($F$2:$F$501,F483,$G$2:$G$501,"&lt;"&amp;N483,$N$2:$N$501,"&gt;"&amp;G483,$I$2:$I$501,"pendente",$E$2:$E$501,E483)+COUNTIFS($F$2:$F$501,F483,$G$2:$G$501,"&lt;"&amp;N483,$N$2:$N$501,"&gt;"&amp;G483,$I$2:$I$501,"confirmado",$E$2:$E$501,E483)-1,0)))</x:f>
      </x:c>
    </x:row>
    <x:row r="484" ht="24" customHeight="1">
      <x:c r="A484" s="17"/>
      <x:c r="B484" s="16"/>
      <x:c r="C484" s="2"/>
      <x:c r="D484" s="17"/>
      <x:c r="E484" s="2"/>
      <x:c r="F484" s="10"/>
      <x:c r="G484" s="11"/>
      <x:c r="H484" s="2"/>
      <x:c r="I484" s="7"/>
      <x:c r="J484" s="2"/>
      <x:c r="K484" s="2"/>
      <x:c r="L484" s="2"/>
      <x:c r="M484" s="2"/>
      <x:c r="N484" s="11" t="str">
        <x:f>IF(A484="","",IF(AND(ISNUMBER(G484),ISNUMBER(L484),ISNUMBER(M484)),G484+(L484+M484)/1440,""))</x:f>
      </x:c>
      <x:c r="O484" s="2" t="str">
        <x:f>IF(A484="","",IF(OR(N484="",F484=""),"Dados incompletos",IF(OR(I484="pendente",I484="confirmado"),IF(K484="",0,COUNTIFS($F$2:$F$501,F484,$G$2:$G$501,"&lt;"&amp;N484,$N$2:$N$501,"&gt;"&amp;G484,$I$2:$I$501,"pendente",$K$2:$K$501,K484)+COUNTIFS($F$2:$F$501,F484,$G$2:$G$501,"&lt;"&amp;N484,$N$2:$N$501,"&gt;"&amp;G484,$I$2:$I$501,"confirmado",$K$2:$K$501,K484)-1),0)))</x:f>
      </x:c>
      <x:c r="P484" s="2" t="str">
        <x:f>IF(A484="","",IF(OR(N484="",F484=""),"Dados incompletos",IF(OR(I484="pendente",I484="confirmado"),COUNTIFS($F$2:$F$501,F484,$G$2:$G$501,"&lt;"&amp;N484,$N$2:$N$501,"&gt;"&amp;G484,$I$2:$I$501,"pendente",$E$2:$E$501,E484)+COUNTIFS($F$2:$F$501,F484,$G$2:$G$501,"&lt;"&amp;N484,$N$2:$N$501,"&gt;"&amp;G484,$I$2:$I$501,"confirmado",$E$2:$E$501,E484)-1,0)))</x:f>
      </x:c>
    </x:row>
    <x:row r="485" ht="24" customHeight="1">
      <x:c r="A485" s="17"/>
      <x:c r="B485" s="16"/>
      <x:c r="C485" s="2"/>
      <x:c r="D485" s="17"/>
      <x:c r="E485" s="2"/>
      <x:c r="F485" s="10"/>
      <x:c r="G485" s="11"/>
      <x:c r="H485" s="2"/>
      <x:c r="I485" s="7"/>
      <x:c r="J485" s="2"/>
      <x:c r="K485" s="2"/>
      <x:c r="L485" s="2"/>
      <x:c r="M485" s="2"/>
      <x:c r="N485" s="11" t="str">
        <x:f>IF(A485="","",IF(AND(ISNUMBER(G485),ISNUMBER(L485),ISNUMBER(M485)),G485+(L485+M485)/1440,""))</x:f>
      </x:c>
      <x:c r="O485" s="2" t="str">
        <x:f>IF(A485="","",IF(OR(N485="",F485=""),"Dados incompletos",IF(OR(I485="pendente",I485="confirmado"),IF(K485="",0,COUNTIFS($F$2:$F$501,F485,$G$2:$G$501,"&lt;"&amp;N485,$N$2:$N$501,"&gt;"&amp;G485,$I$2:$I$501,"pendente",$K$2:$K$501,K485)+COUNTIFS($F$2:$F$501,F485,$G$2:$G$501,"&lt;"&amp;N485,$N$2:$N$501,"&gt;"&amp;G485,$I$2:$I$501,"confirmado",$K$2:$K$501,K485)-1),0)))</x:f>
      </x:c>
      <x:c r="P485" s="2" t="str">
        <x:f>IF(A485="","",IF(OR(N485="",F485=""),"Dados incompletos",IF(OR(I485="pendente",I485="confirmado"),COUNTIFS($F$2:$F$501,F485,$G$2:$G$501,"&lt;"&amp;N485,$N$2:$N$501,"&gt;"&amp;G485,$I$2:$I$501,"pendente",$E$2:$E$501,E485)+COUNTIFS($F$2:$F$501,F485,$G$2:$G$501,"&lt;"&amp;N485,$N$2:$N$501,"&gt;"&amp;G485,$I$2:$I$501,"confirmado",$E$2:$E$501,E485)-1,0)))</x:f>
      </x:c>
    </x:row>
    <x:row r="486" ht="24" customHeight="1">
      <x:c r="A486" s="17"/>
      <x:c r="B486" s="16"/>
      <x:c r="C486" s="2"/>
      <x:c r="D486" s="17"/>
      <x:c r="E486" s="2"/>
      <x:c r="F486" s="10"/>
      <x:c r="G486" s="11"/>
      <x:c r="H486" s="2"/>
      <x:c r="I486" s="7"/>
      <x:c r="J486" s="2"/>
      <x:c r="K486" s="2"/>
      <x:c r="L486" s="2"/>
      <x:c r="M486" s="2"/>
      <x:c r="N486" s="11" t="str">
        <x:f>IF(A486="","",IF(AND(ISNUMBER(G486),ISNUMBER(L486),ISNUMBER(M486)),G486+(L486+M486)/1440,""))</x:f>
      </x:c>
      <x:c r="O486" s="2" t="str">
        <x:f>IF(A486="","",IF(OR(N486="",F486=""),"Dados incompletos",IF(OR(I486="pendente",I486="confirmado"),IF(K486="",0,COUNTIFS($F$2:$F$501,F486,$G$2:$G$501,"&lt;"&amp;N486,$N$2:$N$501,"&gt;"&amp;G486,$I$2:$I$501,"pendente",$K$2:$K$501,K486)+COUNTIFS($F$2:$F$501,F486,$G$2:$G$501,"&lt;"&amp;N486,$N$2:$N$501,"&gt;"&amp;G486,$I$2:$I$501,"confirmado",$K$2:$K$501,K486)-1),0)))</x:f>
      </x:c>
      <x:c r="P486" s="2" t="str">
        <x:f>IF(A486="","",IF(OR(N486="",F486=""),"Dados incompletos",IF(OR(I486="pendente",I486="confirmado"),COUNTIFS($F$2:$F$501,F486,$G$2:$G$501,"&lt;"&amp;N486,$N$2:$N$501,"&gt;"&amp;G486,$I$2:$I$501,"pendente",$E$2:$E$501,E486)+COUNTIFS($F$2:$F$501,F486,$G$2:$G$501,"&lt;"&amp;N486,$N$2:$N$501,"&gt;"&amp;G486,$I$2:$I$501,"confirmado",$E$2:$E$501,E486)-1,0)))</x:f>
      </x:c>
    </x:row>
    <x:row r="487" ht="24" customHeight="1">
      <x:c r="A487" s="17"/>
      <x:c r="B487" s="16"/>
      <x:c r="C487" s="2"/>
      <x:c r="D487" s="17"/>
      <x:c r="E487" s="2"/>
      <x:c r="F487" s="10"/>
      <x:c r="G487" s="11"/>
      <x:c r="H487" s="2"/>
      <x:c r="I487" s="7"/>
      <x:c r="J487" s="2"/>
      <x:c r="K487" s="2"/>
      <x:c r="L487" s="2"/>
      <x:c r="M487" s="2"/>
      <x:c r="N487" s="11" t="str">
        <x:f>IF(A487="","",IF(AND(ISNUMBER(G487),ISNUMBER(L487),ISNUMBER(M487)),G487+(L487+M487)/1440,""))</x:f>
      </x:c>
      <x:c r="O487" s="2" t="str">
        <x:f>IF(A487="","",IF(OR(N487="",F487=""),"Dados incompletos",IF(OR(I487="pendente",I487="confirmado"),IF(K487="",0,COUNTIFS($F$2:$F$501,F487,$G$2:$G$501,"&lt;"&amp;N487,$N$2:$N$501,"&gt;"&amp;G487,$I$2:$I$501,"pendente",$K$2:$K$501,K487)+COUNTIFS($F$2:$F$501,F487,$G$2:$G$501,"&lt;"&amp;N487,$N$2:$N$501,"&gt;"&amp;G487,$I$2:$I$501,"confirmado",$K$2:$K$501,K487)-1),0)))</x:f>
      </x:c>
      <x:c r="P487" s="2" t="str">
        <x:f>IF(A487="","",IF(OR(N487="",F487=""),"Dados incompletos",IF(OR(I487="pendente",I487="confirmado"),COUNTIFS($F$2:$F$501,F487,$G$2:$G$501,"&lt;"&amp;N487,$N$2:$N$501,"&gt;"&amp;G487,$I$2:$I$501,"pendente",$E$2:$E$501,E487)+COUNTIFS($F$2:$F$501,F487,$G$2:$G$501,"&lt;"&amp;N487,$N$2:$N$501,"&gt;"&amp;G487,$I$2:$I$501,"confirmado",$E$2:$E$501,E487)-1,0)))</x:f>
      </x:c>
    </x:row>
    <x:row r="488" ht="24" customHeight="1">
      <x:c r="A488" s="17"/>
      <x:c r="B488" s="16"/>
      <x:c r="C488" s="2"/>
      <x:c r="D488" s="17"/>
      <x:c r="E488" s="2"/>
      <x:c r="F488" s="10"/>
      <x:c r="G488" s="11"/>
      <x:c r="H488" s="2"/>
      <x:c r="I488" s="7"/>
      <x:c r="J488" s="2"/>
      <x:c r="K488" s="2"/>
      <x:c r="L488" s="2"/>
      <x:c r="M488" s="2"/>
      <x:c r="N488" s="11" t="str">
        <x:f>IF(A488="","",IF(AND(ISNUMBER(G488),ISNUMBER(L488),ISNUMBER(M488)),G488+(L488+M488)/1440,""))</x:f>
      </x:c>
      <x:c r="O488" s="2" t="str">
        <x:f>IF(A488="","",IF(OR(N488="",F488=""),"Dados incompletos",IF(OR(I488="pendente",I488="confirmado"),IF(K488="",0,COUNTIFS($F$2:$F$501,F488,$G$2:$G$501,"&lt;"&amp;N488,$N$2:$N$501,"&gt;"&amp;G488,$I$2:$I$501,"pendente",$K$2:$K$501,K488)+COUNTIFS($F$2:$F$501,F488,$G$2:$G$501,"&lt;"&amp;N488,$N$2:$N$501,"&gt;"&amp;G488,$I$2:$I$501,"confirmado",$K$2:$K$501,K488)-1),0)))</x:f>
      </x:c>
      <x:c r="P488" s="2" t="str">
        <x:f>IF(A488="","",IF(OR(N488="",F488=""),"Dados incompletos",IF(OR(I488="pendente",I488="confirmado"),COUNTIFS($F$2:$F$501,F488,$G$2:$G$501,"&lt;"&amp;N488,$N$2:$N$501,"&gt;"&amp;G488,$I$2:$I$501,"pendente",$E$2:$E$501,E488)+COUNTIFS($F$2:$F$501,F488,$G$2:$G$501,"&lt;"&amp;N488,$N$2:$N$501,"&gt;"&amp;G488,$I$2:$I$501,"confirmado",$E$2:$E$501,E488)-1,0)))</x:f>
      </x:c>
    </x:row>
    <x:row r="489" ht="24" customHeight="1">
      <x:c r="A489" s="17"/>
      <x:c r="B489" s="16"/>
      <x:c r="C489" s="2"/>
      <x:c r="D489" s="17"/>
      <x:c r="E489" s="2"/>
      <x:c r="F489" s="10"/>
      <x:c r="G489" s="11"/>
      <x:c r="H489" s="2"/>
      <x:c r="I489" s="7"/>
      <x:c r="J489" s="2"/>
      <x:c r="K489" s="2"/>
      <x:c r="L489" s="2"/>
      <x:c r="M489" s="2"/>
      <x:c r="N489" s="11" t="str">
        <x:f>IF(A489="","",IF(AND(ISNUMBER(G489),ISNUMBER(L489),ISNUMBER(M489)),G489+(L489+M489)/1440,""))</x:f>
      </x:c>
      <x:c r="O489" s="2" t="str">
        <x:f>IF(A489="","",IF(OR(N489="",F489=""),"Dados incompletos",IF(OR(I489="pendente",I489="confirmado"),IF(K489="",0,COUNTIFS($F$2:$F$501,F489,$G$2:$G$501,"&lt;"&amp;N489,$N$2:$N$501,"&gt;"&amp;G489,$I$2:$I$501,"pendente",$K$2:$K$501,K489)+COUNTIFS($F$2:$F$501,F489,$G$2:$G$501,"&lt;"&amp;N489,$N$2:$N$501,"&gt;"&amp;G489,$I$2:$I$501,"confirmado",$K$2:$K$501,K489)-1),0)))</x:f>
      </x:c>
      <x:c r="P489" s="2" t="str">
        <x:f>IF(A489="","",IF(OR(N489="",F489=""),"Dados incompletos",IF(OR(I489="pendente",I489="confirmado"),COUNTIFS($F$2:$F$501,F489,$G$2:$G$501,"&lt;"&amp;N489,$N$2:$N$501,"&gt;"&amp;G489,$I$2:$I$501,"pendente",$E$2:$E$501,E489)+COUNTIFS($F$2:$F$501,F489,$G$2:$G$501,"&lt;"&amp;N489,$N$2:$N$501,"&gt;"&amp;G489,$I$2:$I$501,"confirmado",$E$2:$E$501,E489)-1,0)))</x:f>
      </x:c>
    </x:row>
    <x:row r="490" ht="24" customHeight="1">
      <x:c r="A490" s="17"/>
      <x:c r="B490" s="16"/>
      <x:c r="C490" s="2"/>
      <x:c r="D490" s="17"/>
      <x:c r="E490" s="2"/>
      <x:c r="F490" s="10"/>
      <x:c r="G490" s="11"/>
      <x:c r="H490" s="2"/>
      <x:c r="I490" s="7"/>
      <x:c r="J490" s="2"/>
      <x:c r="K490" s="2"/>
      <x:c r="L490" s="2"/>
      <x:c r="M490" s="2"/>
      <x:c r="N490" s="11" t="str">
        <x:f>IF(A490="","",IF(AND(ISNUMBER(G490),ISNUMBER(L490),ISNUMBER(M490)),G490+(L490+M490)/1440,""))</x:f>
      </x:c>
      <x:c r="O490" s="2" t="str">
        <x:f>IF(A490="","",IF(OR(N490="",F490=""),"Dados incompletos",IF(OR(I490="pendente",I490="confirmado"),IF(K490="",0,COUNTIFS($F$2:$F$501,F490,$G$2:$G$501,"&lt;"&amp;N490,$N$2:$N$501,"&gt;"&amp;G490,$I$2:$I$501,"pendente",$K$2:$K$501,K490)+COUNTIFS($F$2:$F$501,F490,$G$2:$G$501,"&lt;"&amp;N490,$N$2:$N$501,"&gt;"&amp;G490,$I$2:$I$501,"confirmado",$K$2:$K$501,K490)-1),0)))</x:f>
      </x:c>
      <x:c r="P490" s="2" t="str">
        <x:f>IF(A490="","",IF(OR(N490="",F490=""),"Dados incompletos",IF(OR(I490="pendente",I490="confirmado"),COUNTIFS($F$2:$F$501,F490,$G$2:$G$501,"&lt;"&amp;N490,$N$2:$N$501,"&gt;"&amp;G490,$I$2:$I$501,"pendente",$E$2:$E$501,E490)+COUNTIFS($F$2:$F$501,F490,$G$2:$G$501,"&lt;"&amp;N490,$N$2:$N$501,"&gt;"&amp;G490,$I$2:$I$501,"confirmado",$E$2:$E$501,E490)-1,0)))</x:f>
      </x:c>
    </x:row>
    <x:row r="491" ht="24" customHeight="1">
      <x:c r="A491" s="17"/>
      <x:c r="B491" s="16"/>
      <x:c r="C491" s="2"/>
      <x:c r="D491" s="17"/>
      <x:c r="E491" s="2"/>
      <x:c r="F491" s="10"/>
      <x:c r="G491" s="11"/>
      <x:c r="H491" s="2"/>
      <x:c r="I491" s="7"/>
      <x:c r="J491" s="2"/>
      <x:c r="K491" s="2"/>
      <x:c r="L491" s="2"/>
      <x:c r="M491" s="2"/>
      <x:c r="N491" s="11" t="str">
        <x:f>IF(A491="","",IF(AND(ISNUMBER(G491),ISNUMBER(L491),ISNUMBER(M491)),G491+(L491+M491)/1440,""))</x:f>
      </x:c>
      <x:c r="O491" s="2" t="str">
        <x:f>IF(A491="","",IF(OR(N491="",F491=""),"Dados incompletos",IF(OR(I491="pendente",I491="confirmado"),IF(K491="",0,COUNTIFS($F$2:$F$501,F491,$G$2:$G$501,"&lt;"&amp;N491,$N$2:$N$501,"&gt;"&amp;G491,$I$2:$I$501,"pendente",$K$2:$K$501,K491)+COUNTIFS($F$2:$F$501,F491,$G$2:$G$501,"&lt;"&amp;N491,$N$2:$N$501,"&gt;"&amp;G491,$I$2:$I$501,"confirmado",$K$2:$K$501,K491)-1),0)))</x:f>
      </x:c>
      <x:c r="P491" s="2" t="str">
        <x:f>IF(A491="","",IF(OR(N491="",F491=""),"Dados incompletos",IF(OR(I491="pendente",I491="confirmado"),COUNTIFS($F$2:$F$501,F491,$G$2:$G$501,"&lt;"&amp;N491,$N$2:$N$501,"&gt;"&amp;G491,$I$2:$I$501,"pendente",$E$2:$E$501,E491)+COUNTIFS($F$2:$F$501,F491,$G$2:$G$501,"&lt;"&amp;N491,$N$2:$N$501,"&gt;"&amp;G491,$I$2:$I$501,"confirmado",$E$2:$E$501,E491)-1,0)))</x:f>
      </x:c>
    </x:row>
    <x:row r="492" ht="24" customHeight="1">
      <x:c r="A492" s="17"/>
      <x:c r="B492" s="16"/>
      <x:c r="C492" s="2"/>
      <x:c r="D492" s="17"/>
      <x:c r="E492" s="2"/>
      <x:c r="F492" s="10"/>
      <x:c r="G492" s="11"/>
      <x:c r="H492" s="2"/>
      <x:c r="I492" s="7"/>
      <x:c r="J492" s="2"/>
      <x:c r="K492" s="2"/>
      <x:c r="L492" s="2"/>
      <x:c r="M492" s="2"/>
      <x:c r="N492" s="11" t="str">
        <x:f>IF(A492="","",IF(AND(ISNUMBER(G492),ISNUMBER(L492),ISNUMBER(M492)),G492+(L492+M492)/1440,""))</x:f>
      </x:c>
      <x:c r="O492" s="2" t="str">
        <x:f>IF(A492="","",IF(OR(N492="",F492=""),"Dados incompletos",IF(OR(I492="pendente",I492="confirmado"),IF(K492="",0,COUNTIFS($F$2:$F$501,F492,$G$2:$G$501,"&lt;"&amp;N492,$N$2:$N$501,"&gt;"&amp;G492,$I$2:$I$501,"pendente",$K$2:$K$501,K492)+COUNTIFS($F$2:$F$501,F492,$G$2:$G$501,"&lt;"&amp;N492,$N$2:$N$501,"&gt;"&amp;G492,$I$2:$I$501,"confirmado",$K$2:$K$501,K492)-1),0)))</x:f>
      </x:c>
      <x:c r="P492" s="2" t="str">
        <x:f>IF(A492="","",IF(OR(N492="",F492=""),"Dados incompletos",IF(OR(I492="pendente",I492="confirmado"),COUNTIFS($F$2:$F$501,F492,$G$2:$G$501,"&lt;"&amp;N492,$N$2:$N$501,"&gt;"&amp;G492,$I$2:$I$501,"pendente",$E$2:$E$501,E492)+COUNTIFS($F$2:$F$501,F492,$G$2:$G$501,"&lt;"&amp;N492,$N$2:$N$501,"&gt;"&amp;G492,$I$2:$I$501,"confirmado",$E$2:$E$501,E492)-1,0)))</x:f>
      </x:c>
    </x:row>
    <x:row r="493" ht="24" customHeight="1">
      <x:c r="A493" s="17"/>
      <x:c r="B493" s="16"/>
      <x:c r="C493" s="2"/>
      <x:c r="D493" s="17"/>
      <x:c r="E493" s="2"/>
      <x:c r="F493" s="10"/>
      <x:c r="G493" s="11"/>
      <x:c r="H493" s="2"/>
      <x:c r="I493" s="7"/>
      <x:c r="J493" s="2"/>
      <x:c r="K493" s="2"/>
      <x:c r="L493" s="2"/>
      <x:c r="M493" s="2"/>
      <x:c r="N493" s="11" t="str">
        <x:f>IF(A493="","",IF(AND(ISNUMBER(G493),ISNUMBER(L493),ISNUMBER(M493)),G493+(L493+M493)/1440,""))</x:f>
      </x:c>
      <x:c r="O493" s="2" t="str">
        <x:f>IF(A493="","",IF(OR(N493="",F493=""),"Dados incompletos",IF(OR(I493="pendente",I493="confirmado"),IF(K493="",0,COUNTIFS($F$2:$F$501,F493,$G$2:$G$501,"&lt;"&amp;N493,$N$2:$N$501,"&gt;"&amp;G493,$I$2:$I$501,"pendente",$K$2:$K$501,K493)+COUNTIFS($F$2:$F$501,F493,$G$2:$G$501,"&lt;"&amp;N493,$N$2:$N$501,"&gt;"&amp;G493,$I$2:$I$501,"confirmado",$K$2:$K$501,K493)-1),0)))</x:f>
      </x:c>
      <x:c r="P493" s="2" t="str">
        <x:f>IF(A493="","",IF(OR(N493="",F493=""),"Dados incompletos",IF(OR(I493="pendente",I493="confirmado"),COUNTIFS($F$2:$F$501,F493,$G$2:$G$501,"&lt;"&amp;N493,$N$2:$N$501,"&gt;"&amp;G493,$I$2:$I$501,"pendente",$E$2:$E$501,E493)+COUNTIFS($F$2:$F$501,F493,$G$2:$G$501,"&lt;"&amp;N493,$N$2:$N$501,"&gt;"&amp;G493,$I$2:$I$501,"confirmado",$E$2:$E$501,E493)-1,0)))</x:f>
      </x:c>
    </x:row>
    <x:row r="494" ht="24" customHeight="1">
      <x:c r="A494" s="17"/>
      <x:c r="B494" s="16"/>
      <x:c r="C494" s="2"/>
      <x:c r="D494" s="17"/>
      <x:c r="E494" s="2"/>
      <x:c r="F494" s="10"/>
      <x:c r="G494" s="11"/>
      <x:c r="H494" s="2"/>
      <x:c r="I494" s="7"/>
      <x:c r="J494" s="2"/>
      <x:c r="K494" s="2"/>
      <x:c r="L494" s="2"/>
      <x:c r="M494" s="2"/>
      <x:c r="N494" s="11" t="str">
        <x:f>IF(A494="","",IF(AND(ISNUMBER(G494),ISNUMBER(L494),ISNUMBER(M494)),G494+(L494+M494)/1440,""))</x:f>
      </x:c>
      <x:c r="O494" s="2" t="str">
        <x:f>IF(A494="","",IF(OR(N494="",F494=""),"Dados incompletos",IF(OR(I494="pendente",I494="confirmado"),IF(K494="",0,COUNTIFS($F$2:$F$501,F494,$G$2:$G$501,"&lt;"&amp;N494,$N$2:$N$501,"&gt;"&amp;G494,$I$2:$I$501,"pendente",$K$2:$K$501,K494)+COUNTIFS($F$2:$F$501,F494,$G$2:$G$501,"&lt;"&amp;N494,$N$2:$N$501,"&gt;"&amp;G494,$I$2:$I$501,"confirmado",$K$2:$K$501,K494)-1),0)))</x:f>
      </x:c>
      <x:c r="P494" s="2" t="str">
        <x:f>IF(A494="","",IF(OR(N494="",F494=""),"Dados incompletos",IF(OR(I494="pendente",I494="confirmado"),COUNTIFS($F$2:$F$501,F494,$G$2:$G$501,"&lt;"&amp;N494,$N$2:$N$501,"&gt;"&amp;G494,$I$2:$I$501,"pendente",$E$2:$E$501,E494)+COUNTIFS($F$2:$F$501,F494,$G$2:$G$501,"&lt;"&amp;N494,$N$2:$N$501,"&gt;"&amp;G494,$I$2:$I$501,"confirmado",$E$2:$E$501,E494)-1,0)))</x:f>
      </x:c>
    </x:row>
    <x:row r="495" ht="24" customHeight="1">
      <x:c r="A495" s="17"/>
      <x:c r="B495" s="16"/>
      <x:c r="C495" s="2"/>
      <x:c r="D495" s="17"/>
      <x:c r="E495" s="2"/>
      <x:c r="F495" s="10"/>
      <x:c r="G495" s="11"/>
      <x:c r="H495" s="2"/>
      <x:c r="I495" s="7"/>
      <x:c r="J495" s="2"/>
      <x:c r="K495" s="2"/>
      <x:c r="L495" s="2"/>
      <x:c r="M495" s="2"/>
      <x:c r="N495" s="11" t="str">
        <x:f>IF(A495="","",IF(AND(ISNUMBER(G495),ISNUMBER(L495),ISNUMBER(M495)),G495+(L495+M495)/1440,""))</x:f>
      </x:c>
      <x:c r="O495" s="2" t="str">
        <x:f>IF(A495="","",IF(OR(N495="",F495=""),"Dados incompletos",IF(OR(I495="pendente",I495="confirmado"),IF(K495="",0,COUNTIFS($F$2:$F$501,F495,$G$2:$G$501,"&lt;"&amp;N495,$N$2:$N$501,"&gt;"&amp;G495,$I$2:$I$501,"pendente",$K$2:$K$501,K495)+COUNTIFS($F$2:$F$501,F495,$G$2:$G$501,"&lt;"&amp;N495,$N$2:$N$501,"&gt;"&amp;G495,$I$2:$I$501,"confirmado",$K$2:$K$501,K495)-1),0)))</x:f>
      </x:c>
      <x:c r="P495" s="2" t="str">
        <x:f>IF(A495="","",IF(OR(N495="",F495=""),"Dados incompletos",IF(OR(I495="pendente",I495="confirmado"),COUNTIFS($F$2:$F$501,F495,$G$2:$G$501,"&lt;"&amp;N495,$N$2:$N$501,"&gt;"&amp;G495,$I$2:$I$501,"pendente",$E$2:$E$501,E495)+COUNTIFS($F$2:$F$501,F495,$G$2:$G$501,"&lt;"&amp;N495,$N$2:$N$501,"&gt;"&amp;G495,$I$2:$I$501,"confirmado",$E$2:$E$501,E495)-1,0)))</x:f>
      </x:c>
    </x:row>
    <x:row r="496" ht="24" customHeight="1">
      <x:c r="A496" s="17"/>
      <x:c r="B496" s="16"/>
      <x:c r="C496" s="2"/>
      <x:c r="D496" s="17"/>
      <x:c r="E496" s="2"/>
      <x:c r="F496" s="10"/>
      <x:c r="G496" s="11"/>
      <x:c r="H496" s="2"/>
      <x:c r="I496" s="7"/>
      <x:c r="J496" s="2"/>
      <x:c r="K496" s="2"/>
      <x:c r="L496" s="2"/>
      <x:c r="M496" s="2"/>
      <x:c r="N496" s="11" t="str">
        <x:f>IF(A496="","",IF(AND(ISNUMBER(G496),ISNUMBER(L496),ISNUMBER(M496)),G496+(L496+M496)/1440,""))</x:f>
      </x:c>
      <x:c r="O496" s="2" t="str">
        <x:f>IF(A496="","",IF(OR(N496="",F496=""),"Dados incompletos",IF(OR(I496="pendente",I496="confirmado"),IF(K496="",0,COUNTIFS($F$2:$F$501,F496,$G$2:$G$501,"&lt;"&amp;N496,$N$2:$N$501,"&gt;"&amp;G496,$I$2:$I$501,"pendente",$K$2:$K$501,K496)+COUNTIFS($F$2:$F$501,F496,$G$2:$G$501,"&lt;"&amp;N496,$N$2:$N$501,"&gt;"&amp;G496,$I$2:$I$501,"confirmado",$K$2:$K$501,K496)-1),0)))</x:f>
      </x:c>
      <x:c r="P496" s="2" t="str">
        <x:f>IF(A496="","",IF(OR(N496="",F496=""),"Dados incompletos",IF(OR(I496="pendente",I496="confirmado"),COUNTIFS($F$2:$F$501,F496,$G$2:$G$501,"&lt;"&amp;N496,$N$2:$N$501,"&gt;"&amp;G496,$I$2:$I$501,"pendente",$E$2:$E$501,E496)+COUNTIFS($F$2:$F$501,F496,$G$2:$G$501,"&lt;"&amp;N496,$N$2:$N$501,"&gt;"&amp;G496,$I$2:$I$501,"confirmado",$E$2:$E$501,E496)-1,0)))</x:f>
      </x:c>
    </x:row>
    <x:row r="497" ht="24" customHeight="1">
      <x:c r="A497" s="17"/>
      <x:c r="B497" s="16"/>
      <x:c r="C497" s="2"/>
      <x:c r="D497" s="17"/>
      <x:c r="E497" s="2"/>
      <x:c r="F497" s="10"/>
      <x:c r="G497" s="11"/>
      <x:c r="H497" s="2"/>
      <x:c r="I497" s="7"/>
      <x:c r="J497" s="2"/>
      <x:c r="K497" s="2"/>
      <x:c r="L497" s="2"/>
      <x:c r="M497" s="2"/>
      <x:c r="N497" s="11" t="str">
        <x:f>IF(A497="","",IF(AND(ISNUMBER(G497),ISNUMBER(L497),ISNUMBER(M497)),G497+(L497+M497)/1440,""))</x:f>
      </x:c>
      <x:c r="O497" s="2" t="str">
        <x:f>IF(A497="","",IF(OR(N497="",F497=""),"Dados incompletos",IF(OR(I497="pendente",I497="confirmado"),IF(K497="",0,COUNTIFS($F$2:$F$501,F497,$G$2:$G$501,"&lt;"&amp;N497,$N$2:$N$501,"&gt;"&amp;G497,$I$2:$I$501,"pendente",$K$2:$K$501,K497)+COUNTIFS($F$2:$F$501,F497,$G$2:$G$501,"&lt;"&amp;N497,$N$2:$N$501,"&gt;"&amp;G497,$I$2:$I$501,"confirmado",$K$2:$K$501,K497)-1),0)))</x:f>
      </x:c>
      <x:c r="P497" s="2" t="str">
        <x:f>IF(A497="","",IF(OR(N497="",F497=""),"Dados incompletos",IF(OR(I497="pendente",I497="confirmado"),COUNTIFS($F$2:$F$501,F497,$G$2:$G$501,"&lt;"&amp;N497,$N$2:$N$501,"&gt;"&amp;G497,$I$2:$I$501,"pendente",$E$2:$E$501,E497)+COUNTIFS($F$2:$F$501,F497,$G$2:$G$501,"&lt;"&amp;N497,$N$2:$N$501,"&gt;"&amp;G497,$I$2:$I$501,"confirmado",$E$2:$E$501,E497)-1,0)))</x:f>
      </x:c>
    </x:row>
    <x:row r="498" ht="24" customHeight="1">
      <x:c r="A498" s="17"/>
      <x:c r="B498" s="16"/>
      <x:c r="C498" s="2"/>
      <x:c r="D498" s="17"/>
      <x:c r="E498" s="2"/>
      <x:c r="F498" s="10"/>
      <x:c r="G498" s="11"/>
      <x:c r="H498" s="2"/>
      <x:c r="I498" s="7"/>
      <x:c r="J498" s="2"/>
      <x:c r="K498" s="2"/>
      <x:c r="L498" s="2"/>
      <x:c r="M498" s="2"/>
      <x:c r="N498" s="11" t="str">
        <x:f>IF(A498="","",IF(AND(ISNUMBER(G498),ISNUMBER(L498),ISNUMBER(M498)),G498+(L498+M498)/1440,""))</x:f>
      </x:c>
      <x:c r="O498" s="2" t="str">
        <x:f>IF(A498="","",IF(OR(N498="",F498=""),"Dados incompletos",IF(OR(I498="pendente",I498="confirmado"),IF(K498="",0,COUNTIFS($F$2:$F$501,F498,$G$2:$G$501,"&lt;"&amp;N498,$N$2:$N$501,"&gt;"&amp;G498,$I$2:$I$501,"pendente",$K$2:$K$501,K498)+COUNTIFS($F$2:$F$501,F498,$G$2:$G$501,"&lt;"&amp;N498,$N$2:$N$501,"&gt;"&amp;G498,$I$2:$I$501,"confirmado",$K$2:$K$501,K498)-1),0)))</x:f>
      </x:c>
      <x:c r="P498" s="2" t="str">
        <x:f>IF(A498="","",IF(OR(N498="",F498=""),"Dados incompletos",IF(OR(I498="pendente",I498="confirmado"),COUNTIFS($F$2:$F$501,F498,$G$2:$G$501,"&lt;"&amp;N498,$N$2:$N$501,"&gt;"&amp;G498,$I$2:$I$501,"pendente",$E$2:$E$501,E498)+COUNTIFS($F$2:$F$501,F498,$G$2:$G$501,"&lt;"&amp;N498,$N$2:$N$501,"&gt;"&amp;G498,$I$2:$I$501,"confirmado",$E$2:$E$501,E498)-1,0)))</x:f>
      </x:c>
    </x:row>
    <x:row r="499" ht="24" customHeight="1">
      <x:c r="A499" s="17"/>
      <x:c r="B499" s="16"/>
      <x:c r="C499" s="2"/>
      <x:c r="D499" s="17"/>
      <x:c r="E499" s="2"/>
      <x:c r="F499" s="10"/>
      <x:c r="G499" s="11"/>
      <x:c r="H499" s="2"/>
      <x:c r="I499" s="7"/>
      <x:c r="J499" s="2"/>
      <x:c r="K499" s="2"/>
      <x:c r="L499" s="2"/>
      <x:c r="M499" s="2"/>
      <x:c r="N499" s="11" t="str">
        <x:f>IF(A499="","",IF(AND(ISNUMBER(G499),ISNUMBER(L499),ISNUMBER(M499)),G499+(L499+M499)/1440,""))</x:f>
      </x:c>
      <x:c r="O499" s="2" t="str">
        <x:f>IF(A499="","",IF(OR(N499="",F499=""),"Dados incompletos",IF(OR(I499="pendente",I499="confirmado"),IF(K499="",0,COUNTIFS($F$2:$F$501,F499,$G$2:$G$501,"&lt;"&amp;N499,$N$2:$N$501,"&gt;"&amp;G499,$I$2:$I$501,"pendente",$K$2:$K$501,K499)+COUNTIFS($F$2:$F$501,F499,$G$2:$G$501,"&lt;"&amp;N499,$N$2:$N$501,"&gt;"&amp;G499,$I$2:$I$501,"confirmado",$K$2:$K$501,K499)-1),0)))</x:f>
      </x:c>
      <x:c r="P499" s="2" t="str">
        <x:f>IF(A499="","",IF(OR(N499="",F499=""),"Dados incompletos",IF(OR(I499="pendente",I499="confirmado"),COUNTIFS($F$2:$F$501,F499,$G$2:$G$501,"&lt;"&amp;N499,$N$2:$N$501,"&gt;"&amp;G499,$I$2:$I$501,"pendente",$E$2:$E$501,E499)+COUNTIFS($F$2:$F$501,F499,$G$2:$G$501,"&lt;"&amp;N499,$N$2:$N$501,"&gt;"&amp;G499,$I$2:$I$501,"confirmado",$E$2:$E$501,E499)-1,0)))</x:f>
      </x:c>
    </x:row>
    <x:row r="500" ht="24" customHeight="1">
      <x:c r="A500" s="17"/>
      <x:c r="B500" s="16"/>
      <x:c r="C500" s="2"/>
      <x:c r="D500" s="17"/>
      <x:c r="E500" s="2"/>
      <x:c r="F500" s="10"/>
      <x:c r="G500" s="11"/>
      <x:c r="H500" s="2"/>
      <x:c r="I500" s="7"/>
      <x:c r="J500" s="2"/>
      <x:c r="K500" s="2"/>
      <x:c r="L500" s="2"/>
      <x:c r="M500" s="2"/>
      <x:c r="N500" s="11" t="str">
        <x:f>IF(A500="","",IF(AND(ISNUMBER(G500),ISNUMBER(L500),ISNUMBER(M500)),G500+(L500+M500)/1440,""))</x:f>
      </x:c>
      <x:c r="O500" s="2" t="str">
        <x:f>IF(A500="","",IF(OR(N500="",F500=""),"Dados incompletos",IF(OR(I500="pendente",I500="confirmado"),IF(K500="",0,COUNTIFS($F$2:$F$501,F500,$G$2:$G$501,"&lt;"&amp;N500,$N$2:$N$501,"&gt;"&amp;G500,$I$2:$I$501,"pendente",$K$2:$K$501,K500)+COUNTIFS($F$2:$F$501,F500,$G$2:$G$501,"&lt;"&amp;N500,$N$2:$N$501,"&gt;"&amp;G500,$I$2:$I$501,"confirmado",$K$2:$K$501,K500)-1),0)))</x:f>
      </x:c>
      <x:c r="P500" s="2" t="str">
        <x:f>IF(A500="","",IF(OR(N500="",F500=""),"Dados incompletos",IF(OR(I500="pendente",I500="confirmado"),COUNTIFS($F$2:$F$501,F500,$G$2:$G$501,"&lt;"&amp;N500,$N$2:$N$501,"&gt;"&amp;G500,$I$2:$I$501,"pendente",$E$2:$E$501,E500)+COUNTIFS($F$2:$F$501,F500,$G$2:$G$501,"&lt;"&amp;N500,$N$2:$N$501,"&gt;"&amp;G500,$I$2:$I$501,"confirmado",$E$2:$E$501,E500)-1,0)))</x:f>
      </x:c>
    </x:row>
    <x:row r="501" ht="24" customHeight="1">
      <x:c r="A501" s="17"/>
      <x:c r="B501" s="16"/>
      <x:c r="C501" s="2"/>
      <x:c r="D501" s="17"/>
      <x:c r="E501" s="2"/>
      <x:c r="F501" s="10"/>
      <x:c r="G501" s="11"/>
      <x:c r="H501" s="2"/>
      <x:c r="I501" s="7"/>
      <x:c r="J501" s="2"/>
      <x:c r="K501" s="2"/>
      <x:c r="L501" s="2"/>
      <x:c r="M501" s="2"/>
      <x:c r="N501" s="11" t="str">
        <x:f>IF(A501="","",IF(AND(ISNUMBER(G501),ISNUMBER(L501),ISNUMBER(M501)),G501+(L501+M501)/1440,""))</x:f>
      </x:c>
      <x:c r="O501" s="2" t="str">
        <x:f>IF(A501="","",IF(OR(N501="",F501=""),"Dados incompletos",IF(OR(I501="pendente",I501="confirmado"),IF(K501="",0,COUNTIFS($F$2:$F$501,F501,$G$2:$G$501,"&lt;"&amp;N501,$N$2:$N$501,"&gt;"&amp;G501,$I$2:$I$501,"pendente",$K$2:$K$501,K501)+COUNTIFS($F$2:$F$501,F501,$G$2:$G$501,"&lt;"&amp;N501,$N$2:$N$501,"&gt;"&amp;G501,$I$2:$I$501,"confirmado",$K$2:$K$501,K501)-1),0)))</x:f>
      </x:c>
      <x:c r="P501" s="2" t="str">
        <x:f>IF(A501="","",IF(OR(N501="",F501=""),"Dados incompletos",IF(OR(I501="pendente",I501="confirmado"),COUNTIFS($F$2:$F$501,F501,$G$2:$G$501,"&lt;"&amp;N501,$N$2:$N$501,"&gt;"&amp;G501,$I$2:$I$501,"pendente",$E$2:$E$501,E501)+COUNTIFS($F$2:$F$501,F501,$G$2:$G$501,"&lt;"&amp;N501,$N$2:$N$501,"&gt;"&amp;G501,$I$2:$I$501,"confirmado",$E$2:$E$501,E501)-1,0)))</x:f>
      </x:c>
    </x:row>
  </x:sheetData>
  <x:conditionalFormatting sqref="O2:P501">
    <x:cfRule type="cellIs" dxfId="1" priority="1" operator="greaterThan">
      <x:formula>0</x:formula>
    </x:cfRule>
  </x:conditionalFormatting>
  <x:dataValidations count="4">
    <x:dataValidation type="list" sqref="E2:E501">
      <x:formula1>"Aline Reis,Géssyca Martins,Laura Casanova"</x:formula1>
    </x:dataValidation>
    <x:dataValidation type="list" sqref="H2:H501">
      <x:formula1>"presencial,online"</x:formula1>
    </x:dataValidation>
    <x:dataValidation type="list" sqref="I2:I501">
      <x:formula1>"pendente,confirmado,cancelado"</x:formula1>
    </x:dataValidation>
    <x:dataValidation type="list" sqref="K2:K501">
      <x:formula1>"Sala 1,Sala 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4122963e854b75"/>
  </x:tableParts>
</x:worksheet>
</file>